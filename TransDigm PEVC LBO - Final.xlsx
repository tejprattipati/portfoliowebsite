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updateLinks="always"/>
  <mc:AlternateContent xmlns:mc="http://schemas.openxmlformats.org/markup-compatibility/2006">
    <mc:Choice Requires="x15">
      <x15ac:absPath xmlns:x15ac="http://schemas.microsoft.com/office/spreadsheetml/2010/11/ac" url="https://umich-my.sharepoint.com/personal/ranais_umich_edu/Documents/"/>
    </mc:Choice>
  </mc:AlternateContent>
  <xr:revisionPtr revIDLastSave="0" documentId="8_{7B1B8600-FBE2-4320-9DC9-F4BF6CD1FF5D}" xr6:coauthVersionLast="47" xr6:coauthVersionMax="47" xr10:uidLastSave="{00000000-0000-0000-0000-000000000000}"/>
  <bookViews>
    <workbookView xWindow="-110" yWindow="-110" windowWidth="19420" windowHeight="10300" firstSheet="2" activeTab="1" xr2:uid="{00000000-000D-0000-FFFF-FFFF00000000}"/>
  </bookViews>
  <sheets>
    <sheet name="Cover" sheetId="1" r:id="rId1"/>
    <sheet name="LBO Model" sheetId="20" r:id="rId2"/>
    <sheet name="DCF" sheetId="8" r:id="rId3"/>
    <sheet name="WACC" sheetId="7" r:id="rId4"/>
    <sheet name="Revenue Build" sheetId="19" r:id="rId5"/>
    <sheet name="Revenue Assumptions" sheetId="25" r:id="rId6"/>
    <sheet name="Operating Model" sheetId="21" r:id="rId7"/>
    <sheet name="Operating Assumptions" sheetId="26" r:id="rId8"/>
    <sheet name="Comps" sheetId="3" r:id="rId9"/>
    <sheet name="Precedents" sheetId="4" r:id="rId10"/>
    <sheet name="Support &gt;&gt;" sheetId="10" r:id="rId11"/>
    <sheet name="IS" sheetId="27" r:id="rId12"/>
    <sheet name="CFS" sheetId="28" r:id="rId13"/>
    <sheet name="BS" sheetId="29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FDS_HYPERLINK_TOGGLE_STATE__">"ON"</definedName>
    <definedName name="__FDS_UNIQUE_RANGE_ID_GENERATOR_COUNTER">5</definedName>
    <definedName name="__IntlFixup">TRUE</definedName>
    <definedName name="__q3">'[1]1601 Detail information'!$H$97:$H$129</definedName>
    <definedName name="_1__FDSAUDITLINK__">{"fdsup://directions/FAT Viewer?action=UPDATE&amp;creator=factset&amp;DYN_ARGS=TRUE&amp;DOC_NAME=FAT:FQL_AUDITING_CLIENT_TEMPLATE.FAT&amp;display_string=Audit&amp;VAR:KEY=ZOVKJMRYDO&amp;VAR:QUERY=SlVMSUFOKElDX0VTVElNQVRFKEVQUygpLE1FQU4sQU5OX1JPTEwsKzEsMCkuZGF0ZXMp&amp;WINDOW=FIRST_POP","UP&amp;HEIGHT=450&amp;WIDTH=450&amp;START_MAXIMIZED=FALSE&amp;VAR:CALENDAR=US&amp;VAR:SYMBOL=MDCO&amp;VAR:INDEX=0"}</definedName>
    <definedName name="_2__FDSAUDITLINK__">{"fdsup://directions/FAT Viewer?action=UPDATE&amp;creator=factset&amp;DYN_ARGS=TRUE&amp;DOC_NAME=FAT:FQL_AUDITING_CLIENT_TEMPLATE.FAT&amp;display_string=Audit&amp;VAR:KEY=RUVMRUFEDA&amp;VAR:QUERY=SlVMSUFOKElDX0VTVElNQVRFKFNBTEVTKCksTUVBTixBTk5fUk9MTCwrMSwwKS5kYXRlcyk=&amp;WINDOW=FIRST","_POPUP&amp;HEIGHT=450&amp;WIDTH=450&amp;START_MAXIMIZED=FALSE&amp;VAR:CALENDAR=US&amp;VAR:SYMBOL=MDCO&amp;VAR:INDEX=0"}</definedName>
    <definedName name="_3__FDSAUDITLINK__">{"fdsup://directions/FAT Viewer?action=UPDATE&amp;creator=factset&amp;DYN_ARGS=TRUE&amp;DOC_NAME=FAT:FQL_AUDITING_CLIENT_TEMPLATE.FAT&amp;display_string=Audit&amp;VAR:KEY=NUFAVMLAZW&amp;VAR:QUERY=SlVMSUFOKElDX0VTVElNQVRFKEVCSVREQSxNRUFOLEFOTl9ST0xMLCsxLDApLmRhdGVzKQ==&amp;WINDOW=FIRST","_POPUP&amp;HEIGHT=450&amp;WIDTH=450&amp;START_MAXIMIZED=FALSE&amp;VAR:CALENDAR=US&amp;VAR:SYMBOL=MDCO&amp;VAR:INDEX=0"}</definedName>
    <definedName name="_4__FDSAUDITLINK__">{"fdsup://directions/FAT Viewer?action=UPDATE&amp;creator=factset&amp;DYN_ARGS=TRUE&amp;DOC_NAME=FAT:FQL_AUDITING_CLIENT_TEMPLATE.FAT&amp;display_string=Audit&amp;VAR:KEY=VIHYHADUTW&amp;VAR:QUERY=SlVMSUFOKElDX0VTVElNQVRFKEVCSVREQSxNRUFOLEFOTl9ST0xMLCsxLDApLmRhdGVzKQ==&amp;WINDOW=FIRST","_POPUP&amp;HEIGHT=450&amp;WIDTH=450&amp;START_MAXIMIZED=FALSE&amp;VAR:CALENDAR=US&amp;VAR:SYMBOL=MDCO&amp;VAR:INDEX=0"}</definedName>
    <definedName name="_bdm.0052b2d879b443fb8b5b7f9b7e1d1cd2.edm">'[2]Precedent Transactions'!$1:$1048576</definedName>
    <definedName name="_bdm.006A679C67724FC79389DC4D22927E9A.edm">[3]Output!$A:$IV</definedName>
    <definedName name="_bdm.00a08cb028504395b46a809724d12a5d.edm">'[2]Football Field'!$1:$1048576</definedName>
    <definedName name="_bdm.00c6e94a41b24656b09a54c8f0719816.edm">'[4]Strat. Alt.'!$1:$1048576</definedName>
    <definedName name="_bdm.015D17FCDC584596B596D0D9D9E42423.edm">[3]Output!$A:$IV</definedName>
    <definedName name="_bdm.0260b451a590464bb4192c2c003e5ff7.edm">[4]DCF!$1:$1048576</definedName>
    <definedName name="_bdm.02cf64abf374488fa51fc1ec41a32c4e.edm">'[4]M&amp;A Comps'!$1:$1048576</definedName>
    <definedName name="_bdm.02fca72f590d4af7b3e2c2954abe00c8.edm">[5]FF!$1:$1048576</definedName>
    <definedName name="_bdm.037EABD3E1C143E0A4C9EFAB96C2176C.edm">'[6]ghdx_gxdx output NEW'!$A:$IV</definedName>
    <definedName name="_bdm.03882b6fb0ef474bba0ef95ad063bcc3.edm">'[4]Football Field'!$1:$1048576</definedName>
    <definedName name="_bdm.03c17d6584414e4196fd5fce20d5c9ae.edm">'[2]Precedent Transactions'!$1:$1048576</definedName>
    <definedName name="_bdm.04b02edf28d94ee8b930259f38694521.edm">'[4]Strat. Alt.'!$1:$1048576</definedName>
    <definedName name="_bdm.04b7c7d82827448f95077a89ad31c896.edm">'[4]MP Charts 3.0'!$1:$1048576</definedName>
    <definedName name="_bdm.04d904f4c97e4d7296658df009e83741.edm">'[7]Fin Profile'!$1:$1048576</definedName>
    <definedName name="_bdm.0519f2ffd92b4534bd66ba989a17ab75.edm">'[7]LBO Summary'!$1:$1048576</definedName>
    <definedName name="_bdm.055852185cfd4528ade49f8915ecc655.edm">[5]FF!$1:$1048576</definedName>
    <definedName name="_bdm.05960a26cde14c82936a636b600ec85b.edm">'[7]LBO Summary'!$1:$1048576</definedName>
    <definedName name="_bdm.06000a289da64609969ecdd055070953.edm">'[4]Strat. Alt.'!$1:$1048576</definedName>
    <definedName name="_bdm.060F2793D9E2423998467AD3EC73BB2C.edm">[8]Output!$A:$IV</definedName>
    <definedName name="_bdm.06b66d61a14c4d479731f0e3143c6d48.edm">'[4]M&amp;A Comps'!$1:$1048576</definedName>
    <definedName name="_bdm.0761830ae81b49f58448fda978756af4.edm">'[7]LBO Summary'!$1:$1048576</definedName>
    <definedName name="_bdm.07ba5318194a4b26b4697fe251d98fa8.edm">'[4]M&amp;A Comps'!$1:$1048576</definedName>
    <definedName name="_bdm.0845d45cfd504654aa9ed88eac98d1e3.edm">'[4]Summary P.L'!$1:$1048576</definedName>
    <definedName name="_bdm.085e7abc2f75496fb1e071b3e4a5e59e.edm">'[4]Comps.2'!$1:$1048576</definedName>
    <definedName name="_bdm.08b6390c3de54834803333bfc8711f1e.edm">[4]AVP!$1:$1048576</definedName>
    <definedName name="_bdm.08C1D7BE819C4781A74CF6318805C5E2.edm">'[9]Spec. Pharma M&amp;A Precedents'!$A:$IV</definedName>
    <definedName name="_bdm.0921c0170a6144df873c830ceeb4c7f4.edm">[4]Charts!$1:$1048576</definedName>
    <definedName name="_bdm.092f2dd0c7ce49d5a3bd0cf81be33132.edm">[5]DCF_2015!$1:$1048576</definedName>
    <definedName name="_bdm.098D708957BC4D3F8BBF2C8937342EBA.edm">[3]Output!$A:$IV</definedName>
    <definedName name="_bdm.09d586f35a89421eaf61944923137dc2.edm">'[4]M&amp;A Comps'!$1:$1048576</definedName>
    <definedName name="_bdm.0A2E67B530F240BBBBDC3B4DC5001469.edm">[3]Output!$A:$IV</definedName>
    <definedName name="_bdm.0A9A50A4D9834205863153CF17E3B531.edm">[10]Charts!$A:$IV</definedName>
    <definedName name="_bdm.0AC2A1A0F3DD4A8BA18D8B4DA9E7CA5B.edm">[8]GXDX_IPO!$A:$IV</definedName>
    <definedName name="_bdm.0adb85cc32c04880bda5c8e99564a438.edm">'[7]Fin Profile'!$1:$1048576</definedName>
    <definedName name="_bdm.0b13a4d3931044539d21ac8f0fcd4444.edm">[4]DCF!$1:$1048576</definedName>
    <definedName name="_bdm.0b3c4a7be18446b2a153c2d1c8dd5c6e.edm">'[7]LBO Summary'!$1:$1048576</definedName>
    <definedName name="_bdm.0b7059d39d334c30959e118c5f0bf441.edm">'[7]LBO Summary'!$1:$1048576</definedName>
    <definedName name="_bdm.0bc7c6ddbe0f44efba274db558b3aec4.edm">'[7]LBO Summary'!$1:$1048576</definedName>
    <definedName name="_bdm.0bfb419883cb4b36826dab2bfdf29fd7.edm">[4]DCF!$1:$1048576</definedName>
    <definedName name="_bdm.0C60A6498314461E91091A5BC4B2CC02.edm">'[6]ghdx_gxdx output NEW'!$A:$IV</definedName>
    <definedName name="_bdm.0d13198c568342d1bfddc65de125a842.edm">'[4]M&amp;A Comps'!$1:$1048576</definedName>
    <definedName name="_bdm.0d3c0384f46845d49626641f4044ba2d.edm">[7]IS!$1:$1048576</definedName>
    <definedName name="_bdm.0da3f46c7de146b598f9c074ef7cfc33.edm">[5]FF!$1:$1048576</definedName>
    <definedName name="_bdm.0eb9bfa0140945f1bbb693e439a697a9.edm">[4]DCF!$1:$1048576</definedName>
    <definedName name="_bdm.0ed65bae934742c59e0407895da36f8b.edm">[5]FF!$1:$1048576</definedName>
    <definedName name="_bdm.0f17cba32be64ef29b27fc1162234c18.edm">'[4]Strat. Alt.'!$1:$1048576</definedName>
    <definedName name="_bdm.0f4ea587d40948f59c1bc31c3573b963.edm">[2]AVP!$1:$1048576</definedName>
    <definedName name="_bdm.0FE355E66A5E41AC8F880A3AA51226B8.edm">'[9]SP Comps'!$A:$IV</definedName>
    <definedName name="_bdm.0fe9c490c9134e2ba6a6e35f5ed6aa57.edm">'[7]LBO Summary'!$1:$1048576</definedName>
    <definedName name="_bdm.1036a40be0a24a779dd008958eaac621.edm">'[4]MP Charts 3.0'!$1:$1048576</definedName>
    <definedName name="_bdm.1080a96a06e340e1a3cd6799139b7ac5.edm">'[7]LBO Summary'!$1:$1048576</definedName>
    <definedName name="_bdm.10A1BA92E6AF42689069FA0C225AE53E.edm">[10]Charts!$A:$IV</definedName>
    <definedName name="_bdm.115087044f204ca8ac825c0da8260cd6.edm">'[7]LBO Summary'!$1:$1048576</definedName>
    <definedName name="_bdm.12fbfc733a914c22a3982519f6484a19.edm">[5]FF!$1:$1048576</definedName>
    <definedName name="_bdm.132db457ce734dd0a95cac7dbcbb5842.edm">'[4]M&amp;A Comps'!$1:$1048576</definedName>
    <definedName name="_bdm.13AC5C95A4324304BFB4E0F0B43DBAA6.edm">[10]Charts!$IV$1</definedName>
    <definedName name="_bdm.13C499D78DB94018ADBEE150800E43E7.edm">[3]Output!$A:$IV</definedName>
    <definedName name="_bdm.13d164acd1db4e8d88392622dcf632cc.edm">'[4]Strat. Alt.'!$1:$1048576</definedName>
    <definedName name="_bdm.1482261739544e0ebafb9c57748cfd30.edm">'[4]Summary P.L'!$1:$1048576</definedName>
    <definedName name="_bdm.14D7BCE1F69F4CDF9FEF991C2D52E9CC.edm">[3]Output!$IU$1</definedName>
    <definedName name="_bdm.14e4bcdd57d54c80bbe3d963be194efd.edm">[7]IS!$1:$1048576</definedName>
    <definedName name="_bdm.14ecc3ae66854afeb6431016d9b9b428.edm">'[4]Strat. Alt.'!$1:$1048576</definedName>
    <definedName name="_bdm.1643573ee75a44758d7f5fce13499833.edm">[4]AVP!$1:$1048576</definedName>
    <definedName name="_bdm.167ce278d65c465f83eed460db06427e.edm">#REF!</definedName>
    <definedName name="_bdm.16b3d750548d47f385dd98bb651bf8f9.edm">'[4]Comps.2'!$1:$1048576</definedName>
    <definedName name="_bdm.1799eba6c5934eedb89c0f9dc8f0f44b.edm">'[7]LBO Summary'!$1:$1048576</definedName>
    <definedName name="_bdm.179be4d172a147beac1973107cb1ff0d.edm">[4]AVP!$1:$1048576</definedName>
    <definedName name="_bdm.17bb2f78c8094a45bbe75d79fbf86024.edm">'[4]M&amp;A Comps'!$1:$1048576</definedName>
    <definedName name="_bdm.17f3375756dd455ebefd4b0d0f33bcfb.edm">'[7]LBO Summary'!$1:$1048576</definedName>
    <definedName name="_bdm.17fb44c2c38b41f2a2ee2fa86c9eb392.edm">'[4]M&amp;A Comps'!$1:$1048576</definedName>
    <definedName name="_bdm.182543540a1345738fdfb09b99f51e2c.edm">'[4]Strat. Alt.'!$1:$1048576</definedName>
    <definedName name="_bdm.18e038f65b164bd88a4f66822510568a.edm">'[4]MP Charts 3.0'!$1:$1048576</definedName>
    <definedName name="_bdm.18ea75df67e744de894c757cd64a0ec1.edm">[5]LBO!$1:$1048576</definedName>
    <definedName name="_bdm.191075a53eeb445880dff04e5f5c0e2c.edm">[4]DCF!$1:$1048576</definedName>
    <definedName name="_bdm.1914ea04b2e841978aba89f098349c0a.edm">'[7]LBO Summary'!$1:$1048576</definedName>
    <definedName name="_bdm.19188c514923423784ba597b24d01e96.edm">[5]FF!$1:$1048576</definedName>
    <definedName name="_bdm.191d0ff2448544919766f85de86cda41.edm">'[7]LBO Summary'!$1:$1048576</definedName>
    <definedName name="_bdm.1a2c4a6762114740b5eae1e655037644.edm">'[4]MP Charts 3.0'!$1:$1048576</definedName>
    <definedName name="_bdm.1a6af96774c04a18a7b4bc4d3d97efc7.edm">'[2]Precedent Transactions'!$1:$1048576</definedName>
    <definedName name="_bdm.1A7ADA0C0F2043E58B02A03CB3370667.edm">[10]Charts!$A:$IV</definedName>
    <definedName name="_bdm.1a7ea744b8854c2195abe82a800bb2d4.edm">'[4]MP Charts 3.0'!$1:$1048576</definedName>
    <definedName name="_bdm.1adf92271fc3435a88e7da0bad2aabef.edm">'[4]MP Charts 3.0'!$1:$1048576</definedName>
    <definedName name="_bdm.1af0f1e379214220ad1540cecf6a098f.edm">'[4]Strat. Alt.'!$1:$1048576</definedName>
    <definedName name="_bdm.1affd768f23e40d0a176096c7c4a73b5.edm">'[7]LBO Summary'!$1:$1048576</definedName>
    <definedName name="_bdm.1b29071fd747412c95c1c3d4b5d7b256.edm">'[7]LBO Summary'!$1:$1048576</definedName>
    <definedName name="_bdm.1bbeac187709405895a0b50328526470.edm">[2]AVP!$1:$1048576</definedName>
    <definedName name="_bdm.1bc830d27959480a89dfe8d26c8a8858.edm">'[4]Strat. Alt.'!$1:$1048576</definedName>
    <definedName name="_bdm.1bebc23e423d4270addc09cfd6bcf726.edm">'[4]Strat. Alt.'!$1:$1048576</definedName>
    <definedName name="_bdm.1cb0580557094e709604b04cad352a1b.edm">[2]AVP!$1:$1048576</definedName>
    <definedName name="_bdm.1cea2b5000864ccb907adab96258d52b.edm">'[2]Football Field'!$1:$1048576</definedName>
    <definedName name="_bdm.1cedd3118d9c4aa7a46853167c578a1b.edm">'[7]LBO Summary'!$1:$1048576</definedName>
    <definedName name="_bdm.1d3ecbaf69f9434cb9a00dfef02fd7fa.edm">'[7]LBO Summary'!$1:$1048576</definedName>
    <definedName name="_bdm.1d512c7fb71c4cecb91222660fd5a992.edm">[5]FF!$1:$1048576</definedName>
    <definedName name="_bdm.1d6e6676ded84f158e84a6ab0e9c0107.edm">[11]WACC!$1:$1048576</definedName>
    <definedName name="_bdm.1d9a585c691b4a9c8994a16141cfb89f.edm">'[7]LBO Summary'!$1:$1048576</definedName>
    <definedName name="_bdm.1E934D3EDA4C4C40BD934193D610D416.edm">[10]Charts!$A:$IV</definedName>
    <definedName name="_bdm.1EA825FE2D324E3E9F6749E9BA13E435.edm">[10]Charts!$A:$IV</definedName>
    <definedName name="_bdm.1ec1aee52b004f50b16a6fedef102066.edm">'[4]Strat. Alt.'!$1:$1048576</definedName>
    <definedName name="_bdm.1ef6f49f834f417cbaf6beb9a0922ad2.edm">'[7]LBO Summary'!$1:$1048576</definedName>
    <definedName name="_bdm.1f40e22b1cc849c5b6400d1b2e314a42.edm">'[7]LBO Summary'!$1:$1048576</definedName>
    <definedName name="_bdm.20106ac8a1e443b2b5d2b7855aedc34b.edm">'[4]M&amp;A Comps'!$1:$1048576</definedName>
    <definedName name="_bdm.20165b1e77c343cb8f6a4878d22f6421.edm">'[4]Football Field'!$1:$1048576</definedName>
    <definedName name="_bdm.203446f17e294250bc5676c75bfd8dfb.edm">'[7]LBO Summary'!$1:$1048576</definedName>
    <definedName name="_bdm.215CF8DF63814BD6844B1225209429D9.edm">'[9]SP Comps'!$A:$IV</definedName>
    <definedName name="_bdm.21bf03aea9cb4d35bcad3a01519a59d3.edm">'[4]MP Charts 3.0'!$1:$1048576</definedName>
    <definedName name="_bdm.21e55b8248a1461b83be5152c9499c3f.edm">'[4]Football Field'!$1:$1048576</definedName>
    <definedName name="_bdm.220701784cdf4c359b10cb85e9918938.edm">'[4]MP Charts 3.0'!$1:$1048576</definedName>
    <definedName name="_bdm.22443813188e4228aa7a583b907c37cb.edm">'[2]Precedent Transactions'!$1:$1048576</definedName>
    <definedName name="_bdm.2281244202ab4426a07edcdf18bbb6de.edm">'[2]Precedent Transactions'!$1:$1048576</definedName>
    <definedName name="_bdm.23b5bbbc2ee240ab8dbe8862f1479383.edm">'[4]Strat. Alt.'!$1:$1048576</definedName>
    <definedName name="_bdm.23E42FE1B3B44ACFB6C08474E2EF9C0D.edm">'[12]Balance Sheet'!$IV$1</definedName>
    <definedName name="_bdm.24754ea2d17c47ad94c654203fd55bf0.edm">[4]DCF!$1:$1048576</definedName>
    <definedName name="_bdm.247d00d897a842e6a807af0e7b15acec.edm">[4]DCF!$1:$1048576</definedName>
    <definedName name="_bdm.24a2c6d40ba64870b2b1e6298fd1946b.edm">'[7]LBO Summary'!$1:$1048576</definedName>
    <definedName name="_bdm.24fb96dee9744affa554bef964f2bbb4.edm">'[4]M&amp;A Comps'!$1:$1048576</definedName>
    <definedName name="_bdm.251c87c72d4848d8a277bcf2d965bcb1.edm">'[2]Football Field'!$1:$1048576</definedName>
    <definedName name="_bdm.2533f575cfa84b2599d205c9af62360a.edm">'[4]M&amp;A Comps'!$1:$1048576</definedName>
    <definedName name="_bdm.25c981e5878144dd8a8f6b186adcb9a1.edm">[4]WACC!$1:$1048576</definedName>
    <definedName name="_bdm.25D2D540FA4E4AA0B4F312FD20FF257B.edm">'[9]Spec. Pharma M&amp;A Precedents'!$A:$IV</definedName>
    <definedName name="_bdm.25EFBDD9DE484E10856DAA864366CB95.edm">'[6]ghdx_gxdx output NEW'!$A:$IV</definedName>
    <definedName name="_bdm.2634a3b0f03440d39288587e1b6ffb79.edm">'[7]LBO Summary'!$1:$1048576</definedName>
    <definedName name="_bdm.266f72e8e4bd4fd78ac781e3aaf465ea.edm">[5]FF!$1:$1048576</definedName>
    <definedName name="_bdm.2671cb9857f6482ca562c3fb72ffb659.edm">[5]FF!$1:$1048576</definedName>
    <definedName name="_bdm.26f42845b2984045986375d8aba694e9.edm">[4]WACC!$1:$1048576</definedName>
    <definedName name="_bdm.2738b34d57864cdba1933d83732a75e6.edm">'[5]Formatted P&amp;L'!$1:$1048576</definedName>
    <definedName name="_bdm.27757bab60ab4b2cb5926265f2f5d550.edm">'[4]Strat. Alt.'!$1:$1048576</definedName>
    <definedName name="_bdm.27c0980be36d4b95a9b7cd32769f6071.edm">'[4]Strat. Alt.'!$1:$1048576</definedName>
    <definedName name="_bdm.27f62360bb3a42e1b15420b610275fe0.edm">'[7]LBO Summary'!$1:$1048576</definedName>
    <definedName name="_bdm.284E5B032CE04845BC7B72A555A0C99A.edm">[10]Charts!$A:$IV</definedName>
    <definedName name="_bdm.294c94d50857484eb20fa2c118f89f53.edm">'[4]Strat. Alt.'!$1:$1048576</definedName>
    <definedName name="_bdm.2a20da70461b4957836ac05cf6a98246.edm">'[4]M&amp;A Comps'!$1:$1048576</definedName>
    <definedName name="_bdm.2a2725f7b0154ad89d3c4a84eccb2376.edm">'[4]M&amp;A Comps (2)'!$1:$1048576</definedName>
    <definedName name="_bdm.2A8C118BF6DF4B7AA154A1AB2F27EBFA.edm">[10]Charts!$IV$1</definedName>
    <definedName name="_bdm.2a9587d2a6284210a70c99e58e16606f.edm">'[4]Strat. Alt.'!$1:$1048576</definedName>
    <definedName name="_bdm.2aaa32fc81b94780b2a31de7a256e7e6.edm">[5]Industry!$1:$1048576</definedName>
    <definedName name="_bdm.2ae7f6502f7b4ab8a0836b7320a5abd2.edm">'[4]Strat. Alt.'!$1:$1048576</definedName>
    <definedName name="_bdm.2aefbbdf98e04a898a7715c07c2548ce.edm">'[7]LBO Summary'!$1:$1048576</definedName>
    <definedName name="_bdm.2B86D9370718499EB4F04EEDE3B26AA0.edm">'[6]ghdx_gxdx output OLD'!$A:$IV</definedName>
    <definedName name="_bdm.2bdb14d6d9a947b29d4396d3574d0f5d.edm">'[4]Comps.2'!$1:$1048576</definedName>
    <definedName name="_bdm.2e06b54f064d4d83b4f9a12d114a9379.edm">[2]AVP!$1:$1048576</definedName>
    <definedName name="_bdm.2E29C3DFECA4450AAAB910FDA7BCAC99.edm">'[12]Revenue Break-up Pie charts'!$IV$1</definedName>
    <definedName name="_bdm.2e39a9f3b639422892801cf6e5655022.edm">[5]DCF_2015!$1:$1048576</definedName>
    <definedName name="_bdm.2e7957d4fc434333b5b513c19413f3f7.edm">[5]FF!$1:$1048576</definedName>
    <definedName name="_bdm.2ec2483b1d7b4d3390aaf60933290c96.edm">'[7]Fin Profile'!$1:$1048576</definedName>
    <definedName name="_bdm.2f3dfefefc8d4f52839d34a9750b1144.edm">'[4]M&amp;A Comps'!$1:$1048576</definedName>
    <definedName name="_bdm.2f5d5813e7fa4a5aa2310e455b2e231f.edm">'[4]MP Charts 3.0'!$1:$1048576</definedName>
    <definedName name="_bdm.2fa8d89374e14df59be693b865fb48f4.edm">'[7]LBO Summary'!$1:$1048576</definedName>
    <definedName name="_bdm.2fbc6d1de74949f08c9666e3adf5f070.edm">'[4]Football Field'!$1:$1048576</definedName>
    <definedName name="_bdm.2fcbad25ff4d43acbda37cc766007cf3.edm">'[4]Football Field'!$1:$1048576</definedName>
    <definedName name="_bdm.2fe65f3ed0a042d5a48337d1d18bbb6c.edm">'[4]Strat. Alt.'!$1:$1048576</definedName>
    <definedName name="_bdm.30171265509745e58f0287ca04690fcd.edm">'[7]LBO Summary'!$1:$1048576</definedName>
    <definedName name="_bdm.3062933eaf7d46acbeb4e6716dc8815e.edm">'[4]M&amp;A Comps'!$1:$1048576</definedName>
    <definedName name="_bdm.306dda59fcfc4e6daee1e892a49b98e4.edm">'[4]MP Charts 3.0'!$1:$1048576</definedName>
    <definedName name="_bdm.3150739116b74f11962e2928cf8596f1.edm">'[4]MP Charts 3.0'!$1:$1048576</definedName>
    <definedName name="_bdm.31542197e6b549f29ccc2ba101e9a062.edm">'[7]LBO Summary'!$1:$1048576</definedName>
    <definedName name="_bdm.316f4ac111e54fc59d706d646094a46a.edm">'[4]Valuation Charts'!$1:$1048576</definedName>
    <definedName name="_bdm.3292063b83864ccb9fe5f983d34b5d03.edm">'[4]Strat. Alt.'!$1:$1048576</definedName>
    <definedName name="_bdm.3311e15d738d4140bfd56e946e5ed37a.edm">[5]LBO!$1:$1048576</definedName>
    <definedName name="_bdm.33bd516d103a4fc58e0a1bd3f9dad015.edm">'[4]Strat. Alt.'!$1:$1048576</definedName>
    <definedName name="_bdm.3408e6cad3134bca8314939b33f8f940.edm">'[7]LBO Summary'!$1:$1048576</definedName>
    <definedName name="_bdm.341a330bcd114c5da6ed4ad0dddde74f.edm">'[7]LBO Summary'!$1:$1048576</definedName>
    <definedName name="_bdm.34437a9c7792440eb972949b5cd8567e.edm">'[4]Strat. Alt.'!$1:$1048576</definedName>
    <definedName name="_bdm.3461d74b804445168234086ff3bd3cab.edm">[4]DCF!$1:$1048576</definedName>
    <definedName name="_bdm.34a3161745514bc5891864eb534399b2.edm">'[4]MP Charts 3.0'!$1:$1048576</definedName>
    <definedName name="_bdm.34f9f0d61b764776954b09a210f3b412.edm">'[4]Strat. Alt.'!$1:$1048576</definedName>
    <definedName name="_bdm.35f4e4b06f98400fb2a5841d5a318183.edm">'[7]LBO Summary'!$1:$1048576</definedName>
    <definedName name="_bdm.36aca81fd81041c2bf903f72318333d3.edm">'[2]Football Field'!$1:$1048576</definedName>
    <definedName name="_bdm.36e4b7f5f3f8422d82ca8f6f6c84af6f.edm">[5]FF!$1:$1048576</definedName>
    <definedName name="_bdm.37098af8ceff44eba1786c6339b3890f.edm">'[4]Strat. Alt.'!$1:$1048576</definedName>
    <definedName name="_bdm.370bb5d5d69f4e5fb72a78b983442988.edm">'[7]LBO Summary'!$1:$1048576</definedName>
    <definedName name="_bdm.37a27c3eeb9540e9ba97e6a35612a4ad.edm">'[7]LBO Summary'!$1:$1048576</definedName>
    <definedName name="_bdm.37D2D8C1D7FD48ADB5E0E715BB30EC1F.edm">'[8]financial charts'!$A:$IV</definedName>
    <definedName name="_bdm.38497ec0cfcc476ea2f66a81b537ecb2.edm">'[4]M&amp;A Comps'!$1:$1048576</definedName>
    <definedName name="_bdm.3861ff9c8bb64354a0d80186b3924392.edm">'[2]Precedent Transactions'!$1:$1048576</definedName>
    <definedName name="_bdm.386feb37df644ec4b539c79a72adc532.edm">'[4]M&amp;A Comps'!$1:$1048576</definedName>
    <definedName name="_bdm.38e934ba7b2e4fbdb7cf8f76d1e36fc6.edm">'[4]Comps.2'!$1:$1048576</definedName>
    <definedName name="_bdm.38f020470af34e55af9e3e5ec868d756.edm">[4]AVP!$1:$1048576</definedName>
    <definedName name="_bdm.3902a26f858c480497747a6ec2136648.edm">[13]AVP!$1:$1048576</definedName>
    <definedName name="_bdm.3a2dc83c4586413885499941a22959b5.edm">[5]FF!$1:$1048576</definedName>
    <definedName name="_bdm.3a3d0e5d13ce416eb2cda25c6cadf807.edm">'[2]Precedent Transactions'!$1:$1048576</definedName>
    <definedName name="_bdm.3a4cb8e4debc440682b698a346844bce.edm">'[4]MP Charts 3.0'!$1:$1048576</definedName>
    <definedName name="_bdm.3a6812739c594ef59bcb7a40765b5ce6.edm">'[4]Strat. Alt.'!$1:$1048576</definedName>
    <definedName name="_bdm.3aebbc31dc9c426ba56248a7599e883b.edm">'[4]M&amp;A Comps'!$1:$1048576</definedName>
    <definedName name="_bdm.3b87f308d08c45d8936a154d3e418a47.edm">'[2]Precedent Transactions'!$1:$1048576</definedName>
    <definedName name="_bdm.3b93b9fbed7c4327b4b70d30782c9e4c.edm">'[4]Valuation Charts'!$1:$1048576</definedName>
    <definedName name="_bdm.3bbff3ee2f1b4a91927b532b484e2109.edm">'[4]Strat. Alt.'!$1:$1048576</definedName>
    <definedName name="_bdm.3c00b339a64541dc9865872f77f7aa4f.edm">'[2]Precedent Transactions'!$1:$1048576</definedName>
    <definedName name="_bdm.3c5d43f1986a4187885c5731e0796ab3.edm">[5]FF!$1:$1048576</definedName>
    <definedName name="_bdm.3c89c841aa9a43db9527ed1ee5fa216a.edm">'[7]LBO Summary'!$1:$1048576</definedName>
    <definedName name="_bdm.3cbf5f4d340240069066b17c29c0bb80.edm">'[7]LBO Summary'!$1:$1048576</definedName>
    <definedName name="_bdm.3d24b561450c4282a964544418e940e8.edm">'[2]Precedent Transactions'!$1:$1048576</definedName>
    <definedName name="_bdm.3d8b6f744c2345ceb9b06d93b93830c1.edm">'[4]Strat. Alt.'!$1:$1048576</definedName>
    <definedName name="_bdm.3db3104416b048a4b177acfa925c37bf.edm">'[13]M&amp;A Comps'!$1:$1048576</definedName>
    <definedName name="_bdm.3dce522a0a8a441aadf3d000eb83780e.edm">'[7]LBO Summary'!$1:$1048576</definedName>
    <definedName name="_bdm.3e48b527414b4e40a8cd753840413118.edm">'[4]MP Charts 3.0'!$1:$1048576</definedName>
    <definedName name="_bdm.3e51aaf1137f48288841bf411bafc4a4.edm">'[4]M&amp;A Comps'!$1:$1048576</definedName>
    <definedName name="_bdm.3E5AD3C7383E4B85B490E0100FEE3F1A.edm">[3]Output!$A:$IV</definedName>
    <definedName name="_bdm.3ed6202f553d4d389f2904b5d22698f7.edm">'[7]Fin Profile'!$1:$1048576</definedName>
    <definedName name="_bdm.3ee9463967d64d71870593006ceaec5e.edm">[5]FF!$1:$1048576</definedName>
    <definedName name="_bdm.3ef0707eb33f45e581d0adc7bdb06723.edm">'[4]M&amp;A Comps'!$1:$1048576</definedName>
    <definedName name="_bdm.3faaf6ea95c3489781259a57fbaea8c6.edm">'[4]M&amp;A Comps'!$1:$1048576</definedName>
    <definedName name="_bdm.400a7a19150a45948aefc6f78cf8cdab.edm">'[2]Precedent Transactions'!$1:$1048576</definedName>
    <definedName name="_bdm.40ce215af5204d15aac01a4fa1f2d240.edm">'[4]Valuation Charts'!$1:$1048576</definedName>
    <definedName name="_bdm.412B6BE675434F629678B2ECDFC54009.edm">[3]Output!$A:$IV</definedName>
    <definedName name="_bdm.416f8e96a7384b80a350146974fab74d.edm">'[2]Precedent Transactions'!$1:$1048576</definedName>
    <definedName name="_bdm.423C0B67E463443AB159C006FAF82AD5.edm">'[8]financial charts'!$A:$IV</definedName>
    <definedName name="_bdm.4266ac4ed33e40bfae6893c7a99215f9.edm">'[4]M&amp;A Comps'!$1:$1048576</definedName>
    <definedName name="_bdm.42a05471e35344fc8baa0b835224bde7.edm">[14]DCF!$1:$1048576</definedName>
    <definedName name="_bdm.42c5ae5bbff74ac6beffa3d309fb4dd9.edm">'[2]Precedent Transactions'!$1:$1048576</definedName>
    <definedName name="_bdm.42d04536bece426bbbbbfdbde46e26d7.edm">[4]DCF!$1:$1048576</definedName>
    <definedName name="_bdm.42EB3C72B23A4EE588C59E96DD7544E5.edm">[10]Charts!$A:$IV</definedName>
    <definedName name="_bdm.42EF92714CD04538863029F46FA7BA71.edm">'[9]Spec. Pharma M&amp;A Precedents'!$A:$IV</definedName>
    <definedName name="_bdm.439ceb15eb2c450f92fc7934ce11b09b.edm">[4]DCF!$1:$1048576</definedName>
    <definedName name="_bdm.43ef9f9fb7844e3cb68eab728f2e7ade.edm">'[7]LBO Summary'!$1:$1048576</definedName>
    <definedName name="_bdm.44b6644854eb4033936c05e437ae4c87.edm">'[4]Comps.2'!$1:$1048576</definedName>
    <definedName name="_bdm.452f3b959adb40029cea0c984fb522fa.edm">'[2]Precedent Transactions'!$1:$1048576</definedName>
    <definedName name="_bdm.4597b8ab0801481cb5a41875df1bccd5.edm">'[4]MP Charts 3.0'!$1:$1048576</definedName>
    <definedName name="_bdm.459ff2044fbd42699203629b4908f66d.edm">'[4]Strat. Alt.'!$1:$1048576</definedName>
    <definedName name="_bdm.46e936515f8340e493fcc4e21d698af7.edm">'[7]LBO Summary'!$1:$1048576</definedName>
    <definedName name="_bdm.47b28b7b0d7e4166a2575c9dc128f08c.edm">[5]FF!$1:$1048576</definedName>
    <definedName name="_bdm.47cb070785cf45dd996b8761469a4974.edm">'[2]Precedent Transactions'!$1:$1048576</definedName>
    <definedName name="_bdm.47cbdc88074447e4a7f7fdfb70867577.edm">[2]Financials!$1:$1048576</definedName>
    <definedName name="_bdm.4814626800AD480EA9CE0A9D402F9389.edm">'[12]Balance Sheet'!$A:$IV</definedName>
    <definedName name="_bdm.48360629b9ad4cd690d9a42cefa40add.edm">'[2]Precedent Transactions'!$1:$1048576</definedName>
    <definedName name="_bdm.4854798e258a4a7daad949caa4add42f.edm">'[4]M&amp;A Comps (2)'!$1:$1048576</definedName>
    <definedName name="_bdm.485622F5417D4129A456EAEA0DFFB358.edm">[3]Output!$A:$IV</definedName>
    <definedName name="_bdm.48b36c69f26f43949a534f60e0f855ab.edm">[5]FF!$1:$1048576</definedName>
    <definedName name="_bdm.48ed0d9461004979afb7a7ddb7fa5fdf.edm">'[4]Comps.2'!$1:$1048576</definedName>
    <definedName name="_bdm.48fe52fb70b8429ca81fb7f1379ec093.edm">[4]WACC!$1:$1048576</definedName>
    <definedName name="_bdm.492a68f081bf4f898693795d36dd0cc8.edm">'[4]Strat. Alt.'!$1:$1048576</definedName>
    <definedName name="_bdm.4964fb72c3f14eb4bd4e199c8b800d24.edm">'[7]Fin Profile'!$1:$1048576</definedName>
    <definedName name="_bdm.4a453a97d42e4f5cb9602896fe35df07.edm">'[2]Precedent Transactions'!$1:$1048576</definedName>
    <definedName name="_bdm.4a4d031c76174c2cb668fa6fc0717d5b.edm">'[7]LBO Summary'!$1:$1048576</definedName>
    <definedName name="_bdm.4a50b466e69f4a028bca57abb2f5ac8d.edm">[13]AVP!$1:$1048576</definedName>
    <definedName name="_bdm.4A73750E195A4DCA901E7ECA5D3D2955.edm">[3]Output!$A:$IV</definedName>
    <definedName name="_bdm.4b21bec6eda4441d82be3369191782ad.edm">'[7]LBO Summary'!$1:$1048576</definedName>
    <definedName name="_bdm.4b54c94ba2524784b2d6abbfc5f74b9b.edm">'[4]MP Charts 3.0'!$1:$1048576</definedName>
    <definedName name="_bdm.4bd710f3f9c346ff862c6cbc50e17e1d.edm">'[7]LBO Summary'!$1:$1048576</definedName>
    <definedName name="_bdm.4bde3a5da87a4453927115e55c85f7fb.edm">'[4]Comps.2'!$1:$1048576</definedName>
    <definedName name="_bdm.4c97a4c565924c97a1c008bbef4c7b61.edm">'[5]Formatted P&amp;L'!$1:$1048576</definedName>
    <definedName name="_bdm.4d5a6ba760ff414092a8da440dc315c4.edm">'[4]MP Charts 3.0'!$1:$1048576</definedName>
    <definedName name="_bdm.4D6A45C451CD4164B803A2E47ED4480E.edm">[8]GXDX!$A:$IV</definedName>
    <definedName name="_bdm.4df5610f206149d49f7b855fbdf69523.edm">'[4]Comps.2'!$1:$1048576</definedName>
    <definedName name="_bdm.4E2765D9F9824A61BA9136A67EF5B692.edm">[10]Charts!$IV$1</definedName>
    <definedName name="_bdm.4ead86a95e2f4540b8415b946167a2cf.edm">'[4]Strat. Alt.'!$1:$1048576</definedName>
    <definedName name="_bdm.4f2a6ef15ff04d878f915ea01bfadf8d.edm">'[7]LBO Summary'!$1:$1048576</definedName>
    <definedName name="_bdm.4f59e8f023024ddf9fcb7571f8d2cc90.edm">'[7]LBO Summary'!$1:$1048576</definedName>
    <definedName name="_bdm.4fb25c863d7845c39e2383db217f6f71.edm">'[2]Precedent Transactions'!$1:$1048576</definedName>
    <definedName name="_bdm.4fc5286e051745b38874cdab3400dab1.edm">'[4]MP Charts 3.0'!$1:$1048576</definedName>
    <definedName name="_bdm.505f369eb9364698a33804c2c9e68fc3.edm">[4]DCF!$1:$1048576</definedName>
    <definedName name="_bdm.50b68aca25034f61876720fb70ab333c.edm">'[15]Rev Breakdown'!$1:$1048576</definedName>
    <definedName name="_bdm.5198f623e4a2441888e52cb13ec61b11.edm">[5]FF!$1:$1048576</definedName>
    <definedName name="_bdm.51cd9b3c9b474d9c80f32e1659557cd8.edm">[4]WACC!$1:$1048576</definedName>
    <definedName name="_bdm.51db7fa75b5649e28a17010f75adee41.edm">'[4]M&amp;A Comps'!$1:$1048576</definedName>
    <definedName name="_bdm.524FB2AF19944949B0D5B945E0A0B59F.edm">[8]GXDX!$A:$IV</definedName>
    <definedName name="_bdm.53a6096ecc4b4076b18b1a51da671c82.edm">'[4]MP Charts 3.0'!$1:$1048576</definedName>
    <definedName name="_bdm.53d823ce1ea04145b5558bc9daa209d8.edm">'[4]MP Charts 3.0'!$1:$1048576</definedName>
    <definedName name="_bdm.5412B732995246B8B010B9738FB5B29C.edm">'[12]Revenue Break-up Pie charts'!$IV$1</definedName>
    <definedName name="_bdm.54a1754d98894f16ab5019ecf34a0870.edm">'[13]M&amp;A Comps'!$1:$1048576</definedName>
    <definedName name="_bdm.54e1f2857f4144aabca3e0448d0b768a.edm">'[7]LBO Summary'!$1:$1048576</definedName>
    <definedName name="_bdm.5531eb003f4c42c3b963bbe2c84389fa.edm">'[4]Strat. Alt.'!$1:$1048576</definedName>
    <definedName name="_bdm.55370942BC62484096E0E6848C97E738.edm">'[6]ghdx_gxdx output NEW'!$A:$IV</definedName>
    <definedName name="_bdm.55B80C10E452485193F0A686D024F99C.edm">[8]GXDX_IPO!$A:$IV</definedName>
    <definedName name="_bdm.55db062ca1754df1ba6f4ad3df1dd97e.edm">[4]DCF!$1:$1048576</definedName>
    <definedName name="_bdm.564d2b1a2aee4e0f99cebfc6eb795dd9.edm">[5]FF!$1:$1048576</definedName>
    <definedName name="_bdm.56591cc2acab4950ad6daafe0efa742a.edm">[5]FF!$1:$1048576</definedName>
    <definedName name="_bdm.5663f8cfa27541c79d4b8e72ee818c79.edm">[4]WACC!$1:$1048576</definedName>
    <definedName name="_bdm.56d3ad0fc9934bed965eb0e1e8a9ce7a.edm">[4]DCF!$1:$1048576</definedName>
    <definedName name="_bdm.56da64a8d3784200b4571b0f0a25122a.edm">'[4]Strat. Alt.'!$1:$1048576</definedName>
    <definedName name="_bdm.5705b09582364a92b8c633bda8d224a2.edm">'[4]Comps.2'!$1:$1048576</definedName>
    <definedName name="_bdm.57d538ae2d144758b0f0b368ab80eee7.edm">'[4]Comps.2'!$1:$1048576</definedName>
    <definedName name="_bdm.58173b02b6ba42f08d51c7db3d5f7c34.edm">'[4]Strat. Alt.'!$1:$1048576</definedName>
    <definedName name="_bdm.594551a64e984a37be8abf4791e12961.edm">'[4]Strat. Alt.'!$1:$1048576</definedName>
    <definedName name="_bdm.5974703dbdc44e31b089d478941088ec.edm">'[7]Fin Profile'!$1:$1048576</definedName>
    <definedName name="_bdm.59dd5d3ce32b443eaddb9050102f39fc.edm">[4]DCF!$1:$1048576</definedName>
    <definedName name="_bdm.5a6260cdaad2496eaea43c670582135e.edm">[7]IS!$1:$1048576</definedName>
    <definedName name="_bdm.5CBA3BE06AD54A75BF69ACC8F52587C5.edm">'[8]financial charts'!$A:$IV</definedName>
    <definedName name="_bdm.5CBD02BA6922432CB090B5568AC83DDA.edm">'[12]Revenue Break-up Pie charts'!$A:$IV</definedName>
    <definedName name="_bdm.5ce688cd16f4413c9b8dcd95cabc1e14.edm">'[2]Precedent Transactions'!$1:$1048576</definedName>
    <definedName name="_bdm.5d034d987bea4c08be2b91da3df5ad35.edm">'[13]M&amp;A Comps'!$1:$1048576</definedName>
    <definedName name="_bdm.5D040D112293467395E98D895DF873B5.edm">[10]Charts!$A:$IV</definedName>
    <definedName name="_bdm.5d22377b570e4607ab61292d87ec44b7.edm">'[4]MP Charts 3.0'!$1:$1048576</definedName>
    <definedName name="_bdm.5d2a941aa21f4b0e84fbd5ea93e78534.edm">'[4]Comps.2'!$1:$1048576</definedName>
    <definedName name="_bdm.5D5BF56264AC4B94B0C6A90E05CAEC26.edm">[8]range!$A:$IV</definedName>
    <definedName name="_bdm.5dda29d1d53c415f9122fb241695da60.edm">'[7]Fin Profile'!$1:$1048576</definedName>
    <definedName name="_bdm.5DEBF4CF23DF4234BFBDF1EB55A553FA.edm">'[12]Revenue Break-up Pie charts'!$A:$IV</definedName>
    <definedName name="_bdm.5df8421436964130a5c0eb0c5cfa2704.edm">[4]AVP!$1:$1048576</definedName>
    <definedName name="_bdm.5e0e2618d3914746811d2632c47d71fc.edm">'[4]Football Field'!$1:$1048576</definedName>
    <definedName name="_bdm.5E3FF3B70DF243A3811021092FFDF3B8.edm">'[12]Revenue Break-up Pie charts'!$IV$1</definedName>
    <definedName name="_bdm.5e691e155ad3406a971263aa31e66431.edm">[5]FF!$1:$1048576</definedName>
    <definedName name="_bdm.5eb775cbb7c345c2a4dc6b4d053b27d3.edm">[4]Charts!$1:$1048576</definedName>
    <definedName name="_bdm.5f1cc9cb99f24a98ad5e201c80b01bdd.edm">'[4]Strat. Alt.'!$1:$1048576</definedName>
    <definedName name="_bdm.5fa3d0bb4c624503a19825f4d744a741.edm">[5]FF!$1:$1048576</definedName>
    <definedName name="_bdm.5fd9b19797b3481eafeb979c27c060c5.edm">[5]DCF_2015!$1:$1048576</definedName>
    <definedName name="_bdm.602a23b72c624f8eab959c85b053f1c3.edm">[4]WACC!$1:$1048576</definedName>
    <definedName name="_bdm.606853534d3347608ef627517fef511e.edm">'[7]LBO Summary'!$1:$1048576</definedName>
    <definedName name="_bdm.60B628D9CD1E452CB5D523930B7A1128.edm">'[6]ghdx_gxdx output OLD'!$A:$IV</definedName>
    <definedName name="_bdm.60f214d16dda4a999f064e415edba6bb.edm">[5]LBO!$1:$1048576</definedName>
    <definedName name="_bdm.60f6036dc7d741f4a7b30cf136372ef4.edm">[4]AVP!$1:$1048576</definedName>
    <definedName name="_bdm.612f9e03329c4d2d859badbbeaa06b1e.edm">[4]DCF!$1:$1048576</definedName>
    <definedName name="_bdm.61321ebd44954b2281098291c93e0057.edm">'[2]Precedent Transactions'!$1:$1048576</definedName>
    <definedName name="_bdm.615347516bcc460a887fde77d4d622f1.edm">[4]DCF!$1:$1048576</definedName>
    <definedName name="_bdm.619e10d0d7254c659f6d0eb647e84638.edm">'[7]LBO Summary'!$1:$1048576</definedName>
    <definedName name="_bdm.625087a1dd1d49899399e9a8ee6c65a7.edm">[4]DCF!$1:$1048576</definedName>
    <definedName name="_bdm.62738641D8E04023AD1E6F293388953D.edm">'[8]financial charts'!$A:$IV</definedName>
    <definedName name="_bdm.63B8B55DCF1C49248D4B07DBF84658DB.edm">'[9]SP Comps'!$A:$IV</definedName>
    <definedName name="_bdm.645fedbb85be47919e263f8e90f7027d.edm">'[4]Strat. Alt.'!$1:$1048576</definedName>
    <definedName name="_bdm.6483443ab221465b95f8f5bc4284fc83.edm">'[5]Revenue Chart'!$1:$1048576</definedName>
    <definedName name="_bdm.64b0782b13fa449a8896ba30d62a5f3f.edm">[5]FF!$1:$1048576</definedName>
    <definedName name="_bdm.64EC6A2E1CAC42DD894BCB24723720D7.edm">'[16]Index Chart'!$A:$IV</definedName>
    <definedName name="_bdm.65b71dc6c6af423a9ecc188adb996f0b.edm">'[4]Comps.2'!$1:$1048576</definedName>
    <definedName name="_bdm.6606ed598e7b4fdcb50559527b211951.edm">'[7]LBO Summary'!$1:$1048576</definedName>
    <definedName name="_bdm.6680814393304BC9843681CC5AEA9DD0.edm">'[9]SP Comps'!$A:$IV</definedName>
    <definedName name="_bdm.66aa651378b648b89d1915e8cdc70c8e.edm">[4]AVP!$1:$1048576</definedName>
    <definedName name="_bdm.66b034afdc534b00b7b6cf001c1271a5.edm">'[2]Precedent Transactions'!$1:$1048576</definedName>
    <definedName name="_bdm.66CF8A1C68BB4BE286D851B56F8BFBFF.edm">'[12]Revenue Break-up Pie charts'!$A:$IV</definedName>
    <definedName name="_bdm.66f7fb84a4ea4c57b0a8d52f7517c5c7.edm">'[4]MP Charts 3.0'!$1:$1048576</definedName>
    <definedName name="_bdm.671e428952854def9cdd26299c9739d1.edm">'[4]Comps.2'!$1:$1048576</definedName>
    <definedName name="_bdm.676110b8843448bcac5374d162f15903.edm">'[4]Strat. Alt.'!$1:$1048576</definedName>
    <definedName name="_bdm.677F1958984D40F4BF564DCD95DE89A1.edm">[8]GXDX_IPO!$A:$IV</definedName>
    <definedName name="_bdm.67e50299103e44499301b3d2d6c34268.edm">'[4]Valuation Charts'!$1:$1048576</definedName>
    <definedName name="_bdm.682dc14126014427be976939c6a33763.edm">[5]FF!$1:$1048576</definedName>
    <definedName name="_bdm.693118b79f2d430499b5a4efbf9d9c55.edm">'[4]Comps.2'!$1:$1048576</definedName>
    <definedName name="_bdm.69968d3343c74843b5820152f97e7401.edm">'[4]Valuation Charts'!$1:$1048576</definedName>
    <definedName name="_bdm.69e8dc9d3e424fcc847ab21926a5fc4e.edm">'[7]LBO Summary'!$1:$1048576</definedName>
    <definedName name="_bdm.6A2CFD1E89F44BE1A9A670E2BA637D1A.edm">[8]GXDX_IPO!$A:$IV</definedName>
    <definedName name="_bdm.6a670ccc932d4d3abab67d832c51aba6.edm">'[4]Strat. Alt.'!$1:$1048576</definedName>
    <definedName name="_bdm.6ab713932d9347aba6fe08cf55a88889.edm">'[7]LBO Summary'!$1:$1048576</definedName>
    <definedName name="_bdm.6b965b267e7c406ab490dc0131115eb8.edm">[5]FF!$1:$1048576</definedName>
    <definedName name="_bdm.6BFE8C1F60E4425B97295FA594F86E11.edm">'[12]Balance Sheet'!$A:$IV</definedName>
    <definedName name="_bdm.6c335cf4dacf471e8176ed9bbd73e898.edm">'[7]LBO Summary'!$1:$1048576</definedName>
    <definedName name="_bdm.6D66DD92E625413788F175253B9C9B99.edm">[3]Output!$A:$IV</definedName>
    <definedName name="_bdm.6dd992e2f6194de4887dc8464dc3de2a.edm">'[2]Precedent Transactions'!$1:$1048576</definedName>
    <definedName name="_bdm.6e1fc2e7dea44b2d949dff91c460aa84.edm">'[4]MP Charts 3.0'!$1:$1048576</definedName>
    <definedName name="_bdm.6eb78bbe96f8477b988b5ab380845e53.edm">'[2]Precedent Transactions'!$1:$1048576</definedName>
    <definedName name="_bdm.6eeac6b2ad4c449f9b120886b0adb3fa.edm">'[7]LBO Summary'!$1:$1048576</definedName>
    <definedName name="_bdm.6fc93b3defe34ffbbd5402937c2c3278.edm">'[7]LBO Summary'!$1:$1048576</definedName>
    <definedName name="_bdm.6ff5c336493848d794057fb9911c6398.edm">'[4]MP Charts 3.0'!$1:$1048576</definedName>
    <definedName name="_bdm.711888d4f81e477bb9d11ccaced6ad90.edm">'[4]Strat. Alt.'!$1:$1048576</definedName>
    <definedName name="_bdm.71206ab862c9465589e8d541e01ab12d.edm">[4]AVP!$1:$1048576</definedName>
    <definedName name="_bdm.71D5645B58A74077B3DCDDC5F164CE40.edm">'[12]Balance Sheet'!$A:$IV</definedName>
    <definedName name="_bdm.720b3908f95f4a188d4837237a5a70d5.edm">'[4]Football Field'!$1:$1048576</definedName>
    <definedName name="_bdm.727cccf00cf04836b14e4bc93a2429d0.edm">'[7]LBO Summary'!$1:$1048576</definedName>
    <definedName name="_bdm.72B53786A02C4858AF82EC639669F0CB.edm">[8]GXDX_IPO!$A:$IV</definedName>
    <definedName name="_bdm.72BCF064952A4EB8A1215FE8C634EE01.edm">'[9]SP Comps'!$A:$IV</definedName>
    <definedName name="_bdm.72db9e415690406d86976bc69d01abac.edm">[7]IS!$1:$1048576</definedName>
    <definedName name="_bdm.72ff163d345241da9137c6cd251a2b03.edm">'[7]LBO Summary'!$1:$1048576</definedName>
    <definedName name="_bdm.7360A341F77744A38E381FFFFCACD4C5.edm">[3]Output!$A:$IV</definedName>
    <definedName name="_bdm.74fca38fae3f4615bb65cafe3d05a76f.edm">[5]DCF_2015!$1:$1048576</definedName>
    <definedName name="_bdm.74fd58468b8c458a8c0ef5e261a718c7.edm">'[2]Football Field'!$1:$1048576</definedName>
    <definedName name="_bdm.752af324e3af4657af766e99bea6da73.edm">'[2]Precedent Transactions'!$1:$1048576</definedName>
    <definedName name="_bdm.75417749c54f4132a1e98df00d05d0f5.edm">[5]FF!$1:$1048576</definedName>
    <definedName name="_bdm.758fa1a2273d462ea3d1caae174db62b.edm">[5]DCF_2015!$1:$1048576</definedName>
    <definedName name="_bdm.75AD9DA8CF9C449F9C80A3BA24DA03F0.edm">'[12]Revenue Break-up Pie charts'!$A:$IV</definedName>
    <definedName name="_bdm.75c6a84e7e5e42f3b01b8985c48990bc.edm">'[4]M&amp;A Comps'!$1:$1048576</definedName>
    <definedName name="_bdm.7640a9605f564344862eab2a4588c4d0.edm">[5]DCF_2015!$1:$1048576</definedName>
    <definedName name="_bdm.76749698E1AA43608E85C799640E509D.edm">[3]Output!$A:$IV</definedName>
    <definedName name="_bdm.7686202e9a3d4caf85dd0657e925cc88.edm">[13]AVP!$1:$1048576</definedName>
    <definedName name="_bdm.768fb333e2f8468c9356b25e95e8b092.edm">[4]DCF!$1:$1048576</definedName>
    <definedName name="_bdm.77B59F8820234209BA273C94AD3BBF0A.edm">'[9]Spec. Pharma M&amp;A Precedents'!$A:$IV</definedName>
    <definedName name="_bdm.785d7c812c08484e9d4cdd7228ca43ca.edm">'[2]Football Field'!$1:$1048576</definedName>
    <definedName name="_bdm.7951a3923af04a0f83c3a5453e36d626.edm">[5]FF!$1:$1048576</definedName>
    <definedName name="_bdm.79c867f0402f4fe3861c8fb9b3879401.edm">[7]IS!$1:$1048576</definedName>
    <definedName name="_bdm.7a04f0895a664d2eae36d0bc28949154.edm">'[4]M&amp;A Comps'!$1:$1048576</definedName>
    <definedName name="_bdm.7a9404f8eed048dcb6864724c00e67cb.edm">'[2]Precedent Transactions'!$1:$1048576</definedName>
    <definedName name="_bdm.7ab680c956a942c991538981d51719f3.edm">[4]DCF!$1:$1048576</definedName>
    <definedName name="_bdm.7b2cb41fa0e24374985d150f3246b1d5.edm">'[5]LBO Output'!$1:$1048576</definedName>
    <definedName name="_bdm.7b76ba65362f424f8abf4d167cd84ad6.edm">[5]FF!$1:$1048576</definedName>
    <definedName name="_bdm.7b7c3ee5843e4eb1a1b0a4b4959c39f8.edm">'[7]LBO Summary'!$1:$1048576</definedName>
    <definedName name="_bdm.7b88659688314e898969a23beccfdb83.edm">[4]DCF!$1:$1048576</definedName>
    <definedName name="_bdm.7b9704ea0c12491782689c4fef17fbf1.edm">'[2]Football Field'!$1:$1048576</definedName>
    <definedName name="_bdm.7bb93f7ab7b643caadca2967fbcb0efa.edm">[4]DCF!$1:$1048576</definedName>
    <definedName name="_bdm.7be568d6ed6a4b0090e41e8946372eab.edm">'[2]Precedent Transactions'!$1:$1048576</definedName>
    <definedName name="_bdm.7c4f178a399f4f78a1391041095b191d.edm">[4]DCF!$1:$1048576</definedName>
    <definedName name="_bdm.7c774880a6e44715ad0b34d8a7431c1a.edm">[5]FF!$1:$1048576</definedName>
    <definedName name="_bdm.7c7c666fe9724109b6e581e452194d50.edm">'[4]Comps.2'!$1:$1048576</definedName>
    <definedName name="_bdm.7C7ED5864B2C4A609B1A91238E98A1DA.edm">[8]GXDX!$A:$IV</definedName>
    <definedName name="_bdm.7c95669f4a35463db4d93f65d85ca27f.edm">'[4]Strat. Alt.'!$1:$1048576</definedName>
    <definedName name="_bdm.7cd595cf0ab5410a9fae9a5a2336e84a.edm">'[7]LBO Summary'!$1:$1048576</definedName>
    <definedName name="_bdm.7dd427ed2e7c4176982065727d05a4e2.edm">'[4]Strat. Alt.'!$1:$1048576</definedName>
    <definedName name="_bdm.7de940db85e649c69fcccda2bb9971ab.edm">'[2]Precedent Transactions'!$1:$1048576</definedName>
    <definedName name="_bdm.7e4636c7aaa54b7bb43ea6aaaa21db00.edm">[4]DCF!$1:$1048576</definedName>
    <definedName name="_bdm.7e7e1cce71254b2fa351fe1f9727c4f6.edm">[7]IS!$1:$1048576</definedName>
    <definedName name="_bdm.7e84dd9b4cf4490184e48d17c9056a90.edm">'[7]LBO Summary'!$1:$1048576</definedName>
    <definedName name="_bdm.7eb58ba27af647b180a46b623fbd4b27.edm">'[4]Valuation Charts'!$1:$1048576</definedName>
    <definedName name="_bdm.7ed4c7414271407a9e987e934b84fd90.edm">'[4]M&amp;A Comps (2)'!$1:$1048576</definedName>
    <definedName name="_bdm.7f00d14f36ca4d98ac7b6633af619414.edm">'[4]Comps.2'!$1:$1048576</definedName>
    <definedName name="_bdm.7f45023573074e94ab2d204d2529bedf.edm">'[4]Strat. Alt.'!$1:$1048576</definedName>
    <definedName name="_bdm.7f58aa1262034a60af65da8efd5d1efb.edm">'[4]M&amp;A Comps'!$1:$1048576</definedName>
    <definedName name="_bdm.7f9c747a338d4613957c514738538b04.edm">'[4]Valuation Charts'!$1:$1048576</definedName>
    <definedName name="_bdm.802AA908952D4EC79A0414989C99EF42.edm">[10]Charts!$A:$IV</definedName>
    <definedName name="_bdm.802e0b76b68b4cad9aec726de0b3ee48.edm">[5]FF!$1:$1048576</definedName>
    <definedName name="_bdm.805c7ec04e714425b52ab556cbeabc17.edm">'[4]M&amp;A Comps'!$1:$1048576</definedName>
    <definedName name="_bdm.80b4bee32c634d6e83591b960cbd6a9f.edm">'[4]Strat. Alt.'!$1:$1048576</definedName>
    <definedName name="_bdm.80E52BD9F8F644F095BE248F9BE5583D.edm">[10]Charts!$IV$1</definedName>
    <definedName name="_bdm.813EB349269B4048B318C2DAFA1249C7.edm">'[12]Revenue Break-up Pie charts'!$IV$1</definedName>
    <definedName name="_bdm.8171fc8964594a069e02db3b0637780b.edm">[5]FF!$1:$1048576</definedName>
    <definedName name="_bdm.81977dcadc8c447c91b6e186f5cb5329.edm">[5]FF!$1:$1048576</definedName>
    <definedName name="_bdm.8210c55064e14d1aa86245ac120194b3.edm">'[4]M&amp;A Comps'!$1:$1048576</definedName>
    <definedName name="_bdm.8383b109a7a640f193a6aceb39d24c68.edm">[13]AVP!$1:$1048576</definedName>
    <definedName name="_bdm.83b50e94a628471f984ea6e7efa2c095.edm">'[7]LBO Summary'!$1:$1048576</definedName>
    <definedName name="_bdm.84B0D8D427EC4F43B73E034534F2F1CC.edm">'[9]EB Comps'!$A:$IV</definedName>
    <definedName name="_bdm.84ccf81dce874788bb518acf36b05212.edm">'[7]LBO Summary'!$1:$1048576</definedName>
    <definedName name="_bdm.8535ee81d26549c6aded943e96e4d82c.edm">[14]Revenue!$1:$1048576</definedName>
    <definedName name="_bdm.856222e691a04166b4563311db53a687.edm">[5]FF!$1:$1048576</definedName>
    <definedName name="_bdm.85865127129744bf9f2adb54287b1ebc.edm">[13]AVP!$1:$1048576</definedName>
    <definedName name="_bdm.8609383f48a144fe8563f10184cd5790.edm">'[4]M&amp;A Comps'!$1:$1048576</definedName>
    <definedName name="_bdm.860fda8e07f045bc86774fdaae997b26.edm">'[4]Strat. Alt.'!$1:$1048576</definedName>
    <definedName name="_bdm.861D5644B66049D7ABF4975E79AFE6D9.edm">'[6]ghdx_gxdx output NEW'!$A:$IV</definedName>
    <definedName name="_bdm.87109d8066404fecbfa3f865a5fa55e6.edm">[4]DCF!$1:$1048576</definedName>
    <definedName name="_bdm.8737a58b19ce4c9b959ec95845cdc2b7.edm">'[7]LBO Summary'!$1:$1048576</definedName>
    <definedName name="_bdm.87d72d31b33c4362a13d210b90bd111a.edm">'[7]LBO Summary'!$1:$1048576</definedName>
    <definedName name="_bdm.87d76e47620d4f99964e59132bd722fe.edm">'[2]Football Field'!$1:$1048576</definedName>
    <definedName name="_bdm.87e724a3162247caab18c3b073a5efdf.edm">'[4]MP Charts 3.0'!$1:$1048576</definedName>
    <definedName name="_bdm.87f54383d74548c196054d90dc7dbb01.edm">[4]DCF!$1:$1048576</definedName>
    <definedName name="_bdm.8893b91292804bd481fc0b21771477cf.edm">'[7]LBO Summary'!$1:$1048576</definedName>
    <definedName name="_bdm.88AEFDEEF309401C8E282E8861328B77.edm">'[13]M&amp;A Comps'!$1:$1048576</definedName>
    <definedName name="_bdm.88b75396f73647f2986b74c1d99b07de.edm">'[4]Valuation Charts'!$1:$1048576</definedName>
    <definedName name="_bdm.8a1060dcc2ab4196a560aef1351c514a.edm">[5]FF!$1:$1048576</definedName>
    <definedName name="_bdm.8a507e8d421243ca911576a4571b21a8.edm">[5]FF!$1:$1048576</definedName>
    <definedName name="_bdm.8a6d815f6d6f4cfb96710ac86562873b.edm">[2]Financials!$1:$1048576</definedName>
    <definedName name="_bdm.8A7192087851492480B52D3E3C1262E6.edm">'[6]ghdx_gxdx output NEW'!$A:$IV</definedName>
    <definedName name="_bdm.8a79566389154869b7e30c9f94d20756.edm">'[7]LBO Summary'!$1:$1048576</definedName>
    <definedName name="_bdm.8a932a723f374eb990fa9b0b487be32d.edm">[11]WACC!$1:$1048576</definedName>
    <definedName name="_bdm.8B43ECD6734E43059ACB83BB0AAF50D1.edm">'[12]Revenue Break-up Pie charts'!$A:$IV</definedName>
    <definedName name="_bdm.8b765d90319e4d8abd2973d48399af62.edm">'[7]LBO Summary'!$1:$1048576</definedName>
    <definedName name="_bdm.8bc6d8fa49664fe0a434dbcb6333e459.edm">[7]IS!$1:$1048576</definedName>
    <definedName name="_bdm.8be33be1150c41dba7deae84ab25c1f7.edm">'[4]Strat. Alt.'!$1:$1048576</definedName>
    <definedName name="_bdm.8c4536c4b3c34889b0c2338727d945a0.edm">'[4]MP Charts 3.0'!$1:$1048576</definedName>
    <definedName name="_bdm.8c4c9ac6c4544a939f88d20707394ee5.edm">'[2]Football Field'!$1:$1048576</definedName>
    <definedName name="_bdm.8c7f00d651834df281db146cc5b57fb8.edm">'[4]Comps.2'!$1:$1048576</definedName>
    <definedName name="_bdm.8c8b90d568124dbfbfc2240247892d6f.edm">[11]WACC!$1:$1048576</definedName>
    <definedName name="_bdm.8cc6bd0123194f0ea61698e3774d74a6.edm">'[4]M&amp;A Comps'!$1:$1048576</definedName>
    <definedName name="_bdm.8e2a2228ba2e45538771dbf9828df2b3.edm">'[4]Strat. Alt.'!$1:$1048576</definedName>
    <definedName name="_bdm.8e9b352837274fbabddc2522c4a34923.edm">[7]IS!$1:$1048576</definedName>
    <definedName name="_bdm.8f2872253d4e42e48c18d7ec054e7e1f.edm">[4]DCF!$1:$1048576</definedName>
    <definedName name="_bdm.8fa1a1ffe29d4d74914ded57672c1493.edm">'[7]LBO Summary'!$1:$1048576</definedName>
    <definedName name="_bdm.906ad7fa2bce4f62ab6b0b144f06a901.edm">'[4]MP Charts 3.0'!$1:$1048576</definedName>
    <definedName name="_bdm.90900EA4CF344E3BABEF31884504C5B7.edm">[10]Charts!$A:$IV</definedName>
    <definedName name="_bdm.917c679c5d374132b54d7a3508791f2e.edm">[4]DCF!$1:$1048576</definedName>
    <definedName name="_bdm.9196e54ef198402599c4bbaf52df9674.edm">'[4]Strat. Alt.'!$1:$1048576</definedName>
    <definedName name="_bdm.91c63fb3fe4a430c9d476ec2b925f9fe.edm">[4]DCF!$1:$1048576</definedName>
    <definedName name="_bdm.91cee4540af3463390d0b07d57017b9e.edm">[5]DCF_2015!$1:$1048576</definedName>
    <definedName name="_bdm.91fa3d9e823c4d30a68b59f66bcc4be6.edm">[13]AVP!$1:$1048576</definedName>
    <definedName name="_bdm.92C9B2191A144D489D75B568248C80F6.edm">'[9]Spec. Pharma M&amp;A Precedents'!$A:$IV</definedName>
    <definedName name="_bdm.930002ce898d4d9590ae5e6d27f3f7ba.edm">[5]DCF_2015!$1:$1048576</definedName>
    <definedName name="_bdm.9306d3d0bf31488e84fa51fa027f49be.edm">'[4]M&amp;A Comps'!$1:$1048576</definedName>
    <definedName name="_bdm.933ee29eb3074aa8974d0c47dc092e2e.edm">[4]Charts!$1:$1048576</definedName>
    <definedName name="_bdm.9347ff4e64954102b4e6057af43e40e5.edm">'[4]Valuation Charts'!$1:$1048576</definedName>
    <definedName name="_bdm.9416d448d6c041e4963f2d00792c926d.edm">'[4]Strat. Alt.'!$1:$1048576</definedName>
    <definedName name="_bdm.94488147797A44D5A580CE8A92428323.edm">'[12]Revenue Break-up Pie charts'!$A:$IV</definedName>
    <definedName name="_bdm.944b4b03138b484b978e4b43de6f1bb9.edm">[4]DCF!$1:$1048576</definedName>
    <definedName name="_bdm.948671465f0f43fe816ad8bb821adfff.edm">'[5]Public Comps'!$1:$1048576</definedName>
    <definedName name="_bdm.94AF55E5C4BE4619821BD07246F25980.edm">[8]GXDX!$A:$IV</definedName>
    <definedName name="_bdm.94e08013419c4ebe9b3739a7221314de.edm">[11]WACC!$1:$1048576</definedName>
    <definedName name="_bdm.9524f43d964d4674a32ea994f87512f5.edm">[13]AVP!$1:$1048576</definedName>
    <definedName name="_bdm.9545d1ab1716404cb2cda04d37731257.edm">'[7]LBO Summary'!$1:$1048576</definedName>
    <definedName name="_bdm.95a9d120fe6a4381a63eb04d9686eb07.edm">[5]FF!$1:$1048576</definedName>
    <definedName name="_bdm.9606f11bf30a4b43995ed5c2c2c01af6.edm">'[4]Strat. Alt.'!$1:$1048576</definedName>
    <definedName name="_bdm.960d9146c5ff469486d78ee70bb9808a.edm">'[4]Comps.2'!$1:$1048576</definedName>
    <definedName name="_bdm.963e66aa91064c35880685179003b7c6.edm">'[4]MP Charts 3.0'!$1:$1048576</definedName>
    <definedName name="_bdm.9735cef79b44455f8719fe318c633dc4.edm">[5]FF!$1:$1048576</definedName>
    <definedName name="_bdm.97560aa126124bd981827199a97b4807.edm">'[2]Precedent Transactions'!$1:$1048576</definedName>
    <definedName name="_bdm.97661d2b6c0f4027bc34819ac0687133.edm">'[4]Valuation Charts'!$1:$1048576</definedName>
    <definedName name="_bdm.97804a508dd040d399bd22c0ef0529ad.edm">[14]DCF!$1:$1048576</definedName>
    <definedName name="_bdm.97b91fcea27546c9a51c0cf1833f28ae.edm">[5]FF!$1:$1048576</definedName>
    <definedName name="_bdm.97c9b6b9e46d4acebfb73041b6ec667f.edm">[5]FF!$1:$1048576</definedName>
    <definedName name="_bdm.98d5eb167d2a4e20bca8ec2c77401e07.edm">'[4]MP Charts 3.0'!$1:$1048576</definedName>
    <definedName name="_bdm.996BAD3DEB5A42E6B72E5F26BB8F667C.edm">'[12]Revenue Break-up Pie charts'!$IV$1</definedName>
    <definedName name="_bdm.99E5B3574A7C48D59D263360DF349283.edm">'[12]Revenue Break-up Pie charts'!$A:$IV</definedName>
    <definedName name="_bdm.9a27fb453be74cc9972bdfeeeccc296f.edm">'[4]Strat. Alt.'!$1:$1048576</definedName>
    <definedName name="_bdm.9afc44d681214747acd46acdf7f61131.edm">'[7]LBO Summary'!$1:$1048576</definedName>
    <definedName name="_bdm.9BB654F0E64F44AD9F998C1D7328F24C.edm">'[12]Revenue Break-up Pie charts'!$A:$IV</definedName>
    <definedName name="_bdm.9BE22C42F5D145949B11F4E68A8F9BBE.edm">'[6]ghdx_gxdx output OLD'!$A:$IV</definedName>
    <definedName name="_bdm.9bfe3649dd844d33b747db14bf114721.edm">'[4]Football Field'!$1:$1048576</definedName>
    <definedName name="_bdm.9c586ec711e340f185aca1d31adf4e2c.edm">'[7]LBO Summary'!$1:$1048576</definedName>
    <definedName name="_bdm.9cf7b34a9adf467dbfda3e9ee796c9db.edm">'[4]Football Field'!$1:$1048576</definedName>
    <definedName name="_bdm.9d1efa295927450fb5c62a72a1d762ef.edm">[7]IS!$1:$1048576</definedName>
    <definedName name="_bdm.9de9e3abafcd44a1ab029a3a55ca9b33.edm">'[7]LBO Summary'!$1:$1048576</definedName>
    <definedName name="_bdm.9f4b25fbe64746feae2e67593b1ec317.edm">'[7]LBO Summary'!$1:$1048576</definedName>
    <definedName name="_bdm.a0242ec375be411ba1d01b8c2d0cacbc.edm">'[4]MP Charts 3.0'!$1:$1048576</definedName>
    <definedName name="_bdm.a0813b20cee348129d11369bf325e582.edm">'[4]Strat. Alt.'!$1:$1048576</definedName>
    <definedName name="_bdm.a0929c9832f54698b3770dcea6d5f0e1.edm">'[7]LBO Summary'!$1:$1048576</definedName>
    <definedName name="_bdm.A0C6754351AA4669A8193313497E6B38.edm">[10]Charts!$IV$1</definedName>
    <definedName name="_bdm.A0D051BBDDFC4BE38BC55A8B41361A4F.edm">[8]GXDX!$A:$IV</definedName>
    <definedName name="_bdm.a22e2f2d19d94193a646c6e466e49ae4.edm">'[4]MP Charts 3.0'!$1:$1048576</definedName>
    <definedName name="_bdm.a22f5fbfdb2b4dd19fc419fc736b7ab1.edm">'[4]Strat. Alt.'!$1:$1048576</definedName>
    <definedName name="_bdm.A23E895D0EB84B319A4DD82A666BCC43.edm">[10]Charts!$IV$1</definedName>
    <definedName name="_bdm.A273AE63C96B420F85A9C16DF742532E.edm">'[9]Spec. Pharma M&amp;A Precedents'!$A:$IV</definedName>
    <definedName name="_bdm.a2c4dbcdb6354869838cb49f3f7f6e49.edm">[4]DCF!$1:$1048576</definedName>
    <definedName name="_bdm.A34FE07160B3417388EDF2AC514FA0EE.edm">'[9]Spec. Pharma M&amp;A Precedents'!$A:$IV</definedName>
    <definedName name="_bdm.a3b898088e3447808552a1e09b2c7927.edm">#REF!</definedName>
    <definedName name="_bdm.a3f16d070cfb42c396fef143892a089e.edm">[4]Charts!$1:$1048576</definedName>
    <definedName name="_bdm.a410a6338619472c8bc22a43ad3682f7.edm">'[4]MP Charts 3.0'!$1:$1048576</definedName>
    <definedName name="_bdm.a4b66bbed5c24a259a10d3d423cb47bd.edm">'[4]M&amp;A Comps'!$1:$1048576</definedName>
    <definedName name="_bdm.a4eef2f3d3984d85a59c5e0bb8bbb2fe.edm">'[7]LBO Summary'!$1:$1048576</definedName>
    <definedName name="_bdm.A4FD1690C0C14E5D917B38D47361486D.edm">'[9]Deal Comps'!$A:$IV</definedName>
    <definedName name="_bdm.a4fee91c5cf74331bf3711fad9bd665a.edm">'[4]M&amp;A Comps'!$1:$1048576</definedName>
    <definedName name="_bdm.a5c840d0b20c4393bb1d171e7942f7cc.edm">'[4]Strat. Alt.'!$1:$1048576</definedName>
    <definedName name="_bdm.a5e68a79c7d04072a45f4b4ec2780495.edm">'[2]Precedent Transactions'!$1:$1048576</definedName>
    <definedName name="_bdm.a60f010552ee45c49bff9b29290e79b2.edm">'[7]LBO Summary'!$1:$1048576</definedName>
    <definedName name="_bdm.a62f5b5e1d444da3b568c60f3392ecd9.edm">'[4]M&amp;A Comps'!$1:$1048576</definedName>
    <definedName name="_bdm.a63e18a41b1f4976bc2e1f5cb8478771.edm">[5]LBO!$1:$1048576</definedName>
    <definedName name="_bdm.a640ec7b4b894c5ab61c5d88e29f8202.edm">[5]FF!$1:$1048576</definedName>
    <definedName name="_bdm.a65346b1fa7f48dcabdcaf39f819089b.edm">'[2]Football Field'!$1:$1048576</definedName>
    <definedName name="_bdm.a6a805c5d4604d21a7386f1a7da2567f.edm">[5]FF!$1:$1048576</definedName>
    <definedName name="_bdm.a6b5a74aa13544bcb126ba6d44255a30.edm">'[7]LBO Summary'!$1:$1048576</definedName>
    <definedName name="_bdm.a705284ae63441eeb82cd24f51756b01.edm">[2]AVP!$1:$1048576</definedName>
    <definedName name="_bdm.a75cd4baf72a421bb83449e842a56bfe.edm">[5]FF!$1:$1048576</definedName>
    <definedName name="_bdm.a836da9d9bfb4cd3afc424ae619488cd.edm">'[7]LBO Summary'!$1:$1048576</definedName>
    <definedName name="_bdm.a8573dd3afd74ed1a15569474b146dfb.edm">[4]AVP!$1:$1048576</definedName>
    <definedName name="_bdm.A890E9457A774BB1B9C62DB2EBD5F9C5.edm">'[12]Balance Sheet'!$A:$IV</definedName>
    <definedName name="_bdm.A8A2C3FC3CA045B79C4BA2478C2D0795.edm">'[12]Balance Sheet'!$IV$1</definedName>
    <definedName name="_bdm.a92d97749a8b4db98f45ca899e2b6991.edm">'[7]LBO Summary'!$1:$1048576</definedName>
    <definedName name="_bdm.aa0a4f9029014694bb4f9c696ae8ff60.edm">[4]DCF!$1:$1048576</definedName>
    <definedName name="_bdm.ab1aca52b23d41a09f599501f898a0d4.edm">'[4]M&amp;A Comps'!$1:$1048576</definedName>
    <definedName name="_bdm.ac51fa95ed6d4a88928bc09948077d71.edm">'[2]Precedent Transactions'!$1:$1048576</definedName>
    <definedName name="_bdm.acbefa24498f4b768d846d6820061346.edm">'[4]M&amp;A Comps'!$1:$1048576</definedName>
    <definedName name="_bdm.ad583da44c7645d1848d3b0c3f1bddd4.edm">'[7]LBO Summary'!$1:$1048576</definedName>
    <definedName name="_bdm.ad7386495077457fa147482c1d78dcd8.edm">'[5]Revenue Chart'!$1:$1048576</definedName>
    <definedName name="_bdm.ae7b0dcc5f5f4feabeae2d2072b38857.edm">'[4]M&amp;A Comps'!$1:$1048576</definedName>
    <definedName name="_bdm.AEE3EEF1AA2241D6AE1EEB65B6D14936.edm">'[8]financial charts'!$A:$IV</definedName>
    <definedName name="_bdm.afd181d0471b4eaaaba1f47a41ceceaa.edm">'[4]MP Charts 3.0'!$1:$1048576</definedName>
    <definedName name="_bdm.b000027f29764a079da29e46715945a1.edm">'[4]Valuation Charts'!$1:$1048576</definedName>
    <definedName name="_bdm.b005f8ce70f24977bcfe6b4e37fd9d3e.edm">[5]FF!$1:$1048576</definedName>
    <definedName name="_bdm.b0f04a563b6141ee9ca9b09a5ee91049.edm">[5]FF!$1:$1048576</definedName>
    <definedName name="_bdm.b18d7e275eea44efbcd92f6749ecd705.edm">'[4]Strat. Alt.'!$1:$1048576</definedName>
    <definedName name="_bdm.B29E9F5EB73E4EA88825DFEB02AAD5D7.edm">[3]Output!$A:$IV</definedName>
    <definedName name="_bdm.b2a67b15e6564d1c86a182f4ef8de25a.edm">'[4]MP Charts 3.0'!$1:$1048576</definedName>
    <definedName name="_bdm.b31937be4a394e4ab8b7200d0bc0151d.edm">'[4]Strat. Alt.'!$1:$1048576</definedName>
    <definedName name="_bdm.b32f9e7e04fd480db82457e044390afa.edm">'[4]Strat. Alt.'!$1:$1048576</definedName>
    <definedName name="_bdm.B368FB574F5949968C3D07630B5AE593.edm">[3]Output!$A:$IV</definedName>
    <definedName name="_bdm.B37866961D1A4F5C8B19AB648BBBF633.edm">[10]Charts!$A:$IV</definedName>
    <definedName name="_bdm.B3B8EF1FF2F54AA4A39379B886DD4AB2.edm">'[9]EB Comps'!$A:$IV</definedName>
    <definedName name="_bdm.b3c68e9d5e6c4a388e267d0677a40e2c.edm">'[7]LBO Summary'!$1:$1048576</definedName>
    <definedName name="_bdm.b42d9dea8bbf4c879c8b2dff401e3e58.edm">'[4]Comps.2'!$1:$1048576</definedName>
    <definedName name="_bdm.b43b9319240c4df3b98293ef907eb909.edm">'[4]Strat. Alt.'!$1:$1048576</definedName>
    <definedName name="_bdm.b4a3f877bdf643e4b80eb71e80bb70b4.edm">'[4]MP Charts 3.0'!$1:$1048576</definedName>
    <definedName name="_bdm.b57ec0e51ef54cf794d4241a1994d9ed.edm">'[4]Strat. Alt.'!$1:$1048576</definedName>
    <definedName name="_bdm.b5d187a100e34b5b87b8035ae0ce5d33.edm">'[4]Comps.2'!$1:$1048576</definedName>
    <definedName name="_bdm.b60283474dc54892aa812f8b1500ac31.edm">[4]DCF!$1:$1048576</definedName>
    <definedName name="_bdm.b6078ad7793e4dd69f965c8c4bec7270.edm">'[7]LBO Summary'!$1:$1048576</definedName>
    <definedName name="_bdm.b6471b21da5c46879efa9433d5359f85.edm">[5]FF!$1:$1048576</definedName>
    <definedName name="_bdm.b6aa6489706b4ce88300b42de44618dc.edm">[5]DCF_2015!$1:$1048576</definedName>
    <definedName name="_bdm.b76528dc85b542388597d87733e550af.edm">'[4]Strat. Alt.'!$1:$1048576</definedName>
    <definedName name="_bdm.b77020319844475ca67b7794b7072bcb.edm">'[4]Strat. Alt.'!$1:$1048576</definedName>
    <definedName name="_bdm.b7dcb5f5a4364c329e468209f9757127.edm">'[4]MP Charts 3.0'!$1:$1048576</definedName>
    <definedName name="_bdm.B7FC7D979C9D406991DF237E21053145.edm">'[13]M&amp;A Comps'!$1:$1048576</definedName>
    <definedName name="_bdm.b81b47b5fd1b4fbd8ed0c2028dab55f9.edm">[4]DCF!$1:$1048576</definedName>
    <definedName name="_bdm.b8873c915ecc4a95a7e8839b587eafd5.edm">[4]DCF!$1:$1048576</definedName>
    <definedName name="_bdm.b8df9c3f41324bfc8a442334a8dacb06.edm">[5]DCF_2015!$1:$1048576</definedName>
    <definedName name="_bdm.b8f8ede2e7d74d9e8ec67c3cccb1c92c.edm">'[7]LBO Summary'!$1:$1048576</definedName>
    <definedName name="_bdm.b9ea7e3825c7456f8d44d66f40217c94.edm">'[4]Comps.2'!$1:$1048576</definedName>
    <definedName name="_bdm.ba0574e3ef244a57bd864717f5c63ffe.edm">[7]Charts!$1:$1048576</definedName>
    <definedName name="_bdm.ba930942f6b54bf6998da80f56642b26.edm">'[5]Formatted P&amp;L'!$1:$1048576</definedName>
    <definedName name="_bdm.ba964df8c6764f518e7e6efb69669f31.edm">'[4]Valuation Charts'!$1:$1048576</definedName>
    <definedName name="_bdm.bacb00a867c84279850cdeb352a1519e.edm">#REF!</definedName>
    <definedName name="_bdm.bb0ae0eee2f447a99f8690bc1b3fc27a.edm">[4]DCF!$1:$1048576</definedName>
    <definedName name="_bdm.BB6AC3D1F0AD4344A165118DDB20858E.edm">[8]GXDX!$A:$IV</definedName>
    <definedName name="_bdm.bb9b1ed6ea8e4b19b4348f504a5842cf.edm">'[4]Strat. Alt.'!$1:$1048576</definedName>
    <definedName name="_bdm.bbcd1096f292405ab53d27fef1dd9ae2.edm">'[4]Comps.2'!$1:$1048576</definedName>
    <definedName name="_bdm.bc1e24821658497ab6b9f0291e2d4f19.edm">'[7]LBO Summary'!$1:$1048576</definedName>
    <definedName name="_bdm.bc2084d4846f47d99aa67a1dbc0a470c.edm">[4]WACC!$1:$1048576</definedName>
    <definedName name="_bdm.BC424D0831FA4BF38B69F6A54D47FC7B.edm">'[6]ghdx_gxdx output OLD'!$A:$IV</definedName>
    <definedName name="_bdm.bc6df7bd195f4b2ea9251e52fda2e084.edm">[5]FF!$1:$1048576</definedName>
    <definedName name="_bdm.bcc2483ad0da4791aaf71071d687f0e4.edm">[4]DCF!$1:$1048576</definedName>
    <definedName name="_bdm.bce71dccb2e741b3905f784cebe7e53a.edm">[4]DCF!$1:$1048576</definedName>
    <definedName name="_bdm.bcfcbdc520dc4d82adea0c2028ae494b.edm">'[7]LBO Summary'!$1:$1048576</definedName>
    <definedName name="_bdm.bd544a5c2167436a9a473ac06fab208f.edm">'[4]Strat. Alt.'!$1:$1048576</definedName>
    <definedName name="_bdm.bd9eea102f714a8ca6fef828a284134e.edm">'[4]Strat. Alt.'!$1:$1048576</definedName>
    <definedName name="_bdm.BDA76BA495054A528CCBED2EAA28DF30.edm">[3]Output!$A:$IV</definedName>
    <definedName name="_bdm.bdfec735a33d432ca565f7dbf4c2ce2e.edm">[4]WACC!$1:$1048576</definedName>
    <definedName name="_bdm.BE20411E31CD4F74A0CA3604CA5F3C8B.edm">[8]GXDX_IPO!$A:$IV</definedName>
    <definedName name="_bdm.be635c6a36564262b9c131560af8ac1d.edm">'[7]LBO Summary'!$1:$1048576</definedName>
    <definedName name="_bdm.bedcf7cc780b4a4f9ef2a3113836727c.edm">'[4]MP Charts 3.0'!$1:$1048576</definedName>
    <definedName name="_bdm.bee589ff0fe64e638a52caa06e7c4fb7.edm">'[4]Strat. Alt.'!$1:$1048576</definedName>
    <definedName name="_bdm.beeaa625c6be4abc93406d8184c999ff.edm">'[4]Strat. Alt.'!$1:$1048576</definedName>
    <definedName name="_bdm.bf1ef9d90af84d24a031c5629eccea70.edm">'[2]Precedent Transactions'!$1:$1048576</definedName>
    <definedName name="_bdm.bf6d5773a2864ac2a6bd2d65250183cf.edm">[4]DCF!$1:$1048576</definedName>
    <definedName name="_bdm.bf77f74e2ff944159d3f50db17d02a5c.edm">'[4]Comps.2'!$1:$1048576</definedName>
    <definedName name="_bdm.bf9dd1c6236b49cc9eaccefd898037d4.edm">'[7]Fin Profile'!$1:$1048576</definedName>
    <definedName name="_bdm.c00bc3d4addb4d639f8c9ccbfd8af1d3.edm">[4]AVP!$1:$1048576</definedName>
    <definedName name="_bdm.c0108c8fff7f4e348eef748c06c54f39.edm">'[4]M&amp;A Comps'!$1:$1048576</definedName>
    <definedName name="_bdm.c06d2fd840814abf82eb92b111d3f7eb.edm">'[4]MP Charts 3.0'!$1:$1048576</definedName>
    <definedName name="_bdm.C0DC384D221044F8BDBCF7F3B6932DC2.edm">[8]GXDX_IPO!$A:$IV</definedName>
    <definedName name="_bdm.c1043fe355bf4676b9c91b3b92b05520.edm">'[7]LBO Summary'!$1:$1048576</definedName>
    <definedName name="_bdm.c16067aa909743538262919bbc960739.edm">'[4]MP Charts 3.0'!$1:$1048576</definedName>
    <definedName name="_bdm.c18ad6b823514f43a07b58f2b0bc4c91.edm">'[2]Football Field'!$1:$1048576</definedName>
    <definedName name="_bdm.c19e6fa71e174c3a8e09d5bb112d1cd3.edm">[7]Charts!$1:$1048576</definedName>
    <definedName name="_bdm.c1c45128ec0b4e0189ab236e5819fa8e.edm">[5]FF!$1:$1048576</definedName>
    <definedName name="_bdm.c202c26113554353bffcd3e99be1adc6.edm">'[4]Summary P.L'!$1:$1048576</definedName>
    <definedName name="_bdm.c22303b0ebb14469a394a91a21fdf750.edm">'[7]LBO Summary'!$1:$1048576</definedName>
    <definedName name="_bdm.c25458c169924f218ecfbc5db32a203c.edm">'[2]Precedent Transactions'!$1:$1048576</definedName>
    <definedName name="_bdm.c25a8decff3c43f497e87d58f138d5c9.edm">[4]DCF!$1:$1048576</definedName>
    <definedName name="_bdm.c260d9d1ad0d446a94b356e2fad6cdce.edm">'[7]LBO Summary'!$1:$1048576</definedName>
    <definedName name="_bdm.c2b46589760c42d989d1d109be99b3f9.edm">'[4]Strat. Alt.'!$1:$1048576</definedName>
    <definedName name="_bdm.c3211e4340e7420a889504c58472792b.edm">'[4]Football Field'!$1:$1048576</definedName>
    <definedName name="_bdm.c32fc1e339ad4ab68046983c3e34c074.edm">'[4]MP Charts 3.0'!$1:$1048576</definedName>
    <definedName name="_bdm.c375036ede894d0782ad2405b181656e.edm">'[7]LBO Summary'!$1:$1048576</definedName>
    <definedName name="_bdm.c37c2b9c9c894d54a4f7a956cc5d4968.edm">'[4]M&amp;A Comps'!$1:$1048576</definedName>
    <definedName name="_bdm.C3A3DF1B0B8447FDBCAD8E88E92344B5.edm">'[9]Spec. Pharma M&amp;A Precedents'!$A:$IV</definedName>
    <definedName name="_bdm.c3ce2de222a44b29823ea6d931c26516.edm">[4]DCF!$1:$1048576</definedName>
    <definedName name="_bdm.c3f39a7a840f470791d9098311cfe15a.edm">[4]DCF!$1:$1048576</definedName>
    <definedName name="_bdm.c40cbf1a2b31478b85d0eafd98bbac07.edm">[5]LBO!$1:$1048576</definedName>
    <definedName name="_bdm.c428f586c3f34bab969e0f8a1f3e3a09.edm">'[7]LBO Summary'!$1:$1048576</definedName>
    <definedName name="_bdm.c461bc79970a447e8cb10d90130c34bf.edm">'[4]Comps.2'!$1:$1048576</definedName>
    <definedName name="_bdm.c4c5754bf6b7475488e85c204792891d.edm">'[4]M&amp;A Comps'!$1:$1048576</definedName>
    <definedName name="_bdm.c4c9c29482b64616a221eb1c29d99cae.edm">'[7]LBO Summary'!$1:$1048576</definedName>
    <definedName name="_bdm.c56282ecde3242ab8a700fb754b9f01c.edm">'[7]LBO Summary'!$1:$1048576</definedName>
    <definedName name="_bdm.C58588CA069A40D0A3D59897EB4E6786.edm">'[12]Balance Sheet'!$A:$IV</definedName>
    <definedName name="_bdm.C6DAC68F2F124DA8B6113795033AC984.edm">[8]GXDX_IPO!$A:$IV</definedName>
    <definedName name="_bdm.c6eebe73af924692a1390771a52cd8d0.edm">'[4]Strat. Alt.'!$1:$1048576</definedName>
    <definedName name="_bdm.C6FD02A720FD489FA7CC27B1DF3E1216.edm">[10]Charts!$IV$1</definedName>
    <definedName name="_bdm.C70132599E994434AE0DF825AAF927B6.edm">'[12]Revenue Break-up Pie charts'!$A:$IV</definedName>
    <definedName name="_bdm.c73a529fc80a4e33a4942f7847133076.edm">'[4]MP Charts 3.0'!$1:$1048576</definedName>
    <definedName name="_bdm.c764279acc4e49069b0ce759c821e408.edm">'[5]Comp Charts'!$1:$1048576</definedName>
    <definedName name="_bdm.c76e1a634eda487e98f47866040b1dcc.edm">'[4]MP Charts 3.0'!$1:$1048576</definedName>
    <definedName name="_bdm.c7865d3211c34a0289ede12736609d45.edm">'[2]Precedent Transactions'!$1:$1048576</definedName>
    <definedName name="_bdm.c7b3185fc9904310b4c89dd5bf4d369d.edm">[5]FF!$1:$1048576</definedName>
    <definedName name="_bdm.c7f0059ed4df45b4bdc7bcd1940ca023.edm">'[7]Fin Profile'!$1:$1048576</definedName>
    <definedName name="_bdm.C884E9D8BAB94978B83F18EA89817EF0.edm">'[6]ghdx_gxdx output OLD'!$A:$IV</definedName>
    <definedName name="_bdm.c8c1e1defdae47349ec803405cfdfc23.edm">'[7]LBO Summary'!$1:$1048576</definedName>
    <definedName name="_bdm.c8cdefc74e524439a7020f37c9692f0d.edm">'[4]M&amp;A Comps'!$1:$1048576</definedName>
    <definedName name="_bdm.c8cf2c2648514ab3aed3c3b8b004f266.edm">'[4]Strat. Alt.'!$1:$1048576</definedName>
    <definedName name="_bdm.c9784408987a453d90f5cdce9bcf88c9.edm">'[7]Fin Profile'!$1:$1048576</definedName>
    <definedName name="_bdm.ca27df35ae434a29ab65c8961dff4ffb.edm">'[4]Strat. Alt.'!$1:$1048576</definedName>
    <definedName name="_bdm.ca6aae307910442392d868f8fa0cf76c.edm">[5]FF!$1:$1048576</definedName>
    <definedName name="_bdm.ca8faaadae8d49cf9ae197ca5ccebb33.edm">'[7]LBO Summary'!$1:$1048576</definedName>
    <definedName name="_bdm.caca327161c94ee481385a66a64904eb.edm">[4]DCF!$1:$1048576</definedName>
    <definedName name="_bdm.CB28F7593EB4476F99EEC865B064F4C0.edm">[8]GXDX_IPO!$A:$IV</definedName>
    <definedName name="_bdm.CB2AA6770A5C48BA99BB40AE193E3373.edm">'[12]Revenue Break-up Pie charts'!$A:$IV</definedName>
    <definedName name="_bdm.cb8f992e8b0b4e4aabee6de38ef6355d.edm">'[4]MP Charts 3.0'!$1:$1048576</definedName>
    <definedName name="_bdm.ccb182ec255c46b7add79f89ad8b1ec2.edm">'[4]M&amp;A Comps'!$1:$1048576</definedName>
    <definedName name="_bdm.cd496173b95840b3bc60a7172559dab6.edm">[2]Financials!$1:$1048576</definedName>
    <definedName name="_bdm.cd53276899c941d1838398bf8fec51bc.edm">'[4]M&amp;A Comps'!$1:$1048576</definedName>
    <definedName name="_bdm.cebaaf8ccbf64e46a894d1ea2235b0c0.edm">[5]FF!$1:$1048576</definedName>
    <definedName name="_bdm.ceee8d572ebd45f1bf88d3ce63b043e7.edm">'[2]Precedent Transactions'!$1:$1048576</definedName>
    <definedName name="_bdm.cf440742c8c944a88261aa76b9171f08.edm">'[4]M&amp;A Comps (2)'!$1:$1048576</definedName>
    <definedName name="_bdm.cf8dff3c277340b1a054e329b0472787.edm">'[4]Strat. Alt.'!$1:$1048576</definedName>
    <definedName name="_bdm.cfec8a27af3f48bf916df8efc95e4390.edm">'[4]Strat. Alt.'!$1:$1048576</definedName>
    <definedName name="_bdm.cff1bfd59e9148c58f5cf5a8d3320a16.edm">'[7]LBO Summary'!$1:$1048576</definedName>
    <definedName name="_bdm.d04e9f7860214e0aa10ba98c8dffc4f1.edm">'[4]Strat. Alt.'!$1:$1048576</definedName>
    <definedName name="_bdm.d05b84e579b64d74a318719d586f7a62.edm">[4]Charts!$1:$1048576</definedName>
    <definedName name="_bdm.D1B7B57F7B2142E39F05399E0382F2E0.edm">[3]Sheet1!$A:$IV</definedName>
    <definedName name="_bdm.d2741bdf92bb41e3bcbdf3e660a0f2d4.edm">'[4]Strat. Alt.'!$1:$1048576</definedName>
    <definedName name="_bdm.d38efaeadef04e25b08c6edd67429b4c.edm">'[2]Precedent Transactions'!$1:$1048576</definedName>
    <definedName name="_bdm.D390ED67BE534E59861D11970D111EA4.edm">[3]Output!$A:$IV</definedName>
    <definedName name="_bdm.d3c0d4bc1c0b4041a5c2d92aab01964a.edm">'[4]MP Charts 3.0'!$1:$1048576</definedName>
    <definedName name="_bdm.d40e98025e6e4419bc7a181963a9d0ed.edm">'[2]Football Field'!$1:$1048576</definedName>
    <definedName name="_bdm.d4d5c0b76b664395b55f88fc92a19b15.edm">[5]LBO!$1:$1048576</definedName>
    <definedName name="_bdm.D584DAE0B67941D6BDEE1E2C50FE02C6.edm">'[6]ghdx_gxdx output OLD'!$A:$IV</definedName>
    <definedName name="_bdm.d5fd9f54bbf84860b98b69aafd148006.edm">'[4]Strat. Alt.'!$1:$1048576</definedName>
    <definedName name="_bdm.D6052CFBD41043E2A9A3AE305F6AE129.edm">[8]GXDX!$A:$IV</definedName>
    <definedName name="_bdm.d6513a22f66c43549a1e26498ada3174.edm">'[4]Strat. Alt.'!$1:$1048576</definedName>
    <definedName name="_bdm.d66aac04990b4fc3a29e1e4d1e7a5d71.edm">'[4]Strat. Alt.'!$1:$1048576</definedName>
    <definedName name="_bdm.d6e919856f8e47c68b5bd0857ad3a346.edm">'[5]LBO Output'!$1:$1048576</definedName>
    <definedName name="_bdm.d72a025e16d44bc3b369c3093d9585ca.edm">'[4]Strat. Alt.'!$1:$1048576</definedName>
    <definedName name="_bdm.d72ca9c1daa54f7c8a564e6e2b3865f6.edm">'[2]Precedent Transactions'!$1:$1048576</definedName>
    <definedName name="_bdm.d72e5758f0c5430ea2f870014af05e5e.edm">'[5]Revenue Chart'!$1:$1048576</definedName>
    <definedName name="_bdm.d808441c24b94b629b364ec2a81b680e.edm">'[7]LBO Summary'!$1:$1048576</definedName>
    <definedName name="_bdm.d81ef5016b2143c88bad0bdc8bfbc202.edm">'[7]Fin Profile'!$1:$1048576</definedName>
    <definedName name="_bdm.d8764847e5014796bd0598687182d563.edm">'[2]Precedent Transactions'!$1:$1048576</definedName>
    <definedName name="_bdm.d8b8bd53a41b4cc78ad0ea85c36ab7aa.edm">'[4]Strat. Alt.'!$1:$1048576</definedName>
    <definedName name="_bdm.D90FE5986D154F2091E151D4F3F87B8E.edm">'[8]financial charts'!$A:$IV</definedName>
    <definedName name="_bdm.d99bdba790524749902619876852aa99.edm">'[4]Valuation Charts'!$1:$1048576</definedName>
    <definedName name="_bdm.d9e0afc86aec444ca6ecf7d54a2df31a.edm">'[7]LBO Summary'!$1:$1048576</definedName>
    <definedName name="_bdm.d9ef99c3fa3b4b47a60223698a3f9708.edm">'[7]LBO Summary'!$1:$1048576</definedName>
    <definedName name="_bdm.da39dac2401042079c372cfb6d2c0683.edm">'[7]LBO Summary'!$1:$1048576</definedName>
    <definedName name="_bdm.da4811490f534da4baa7dd2666c2cc5a.edm">'[4]M&amp;A Comps'!$1:$1048576</definedName>
    <definedName name="_bdm.da50e184898242d5b8f1fa533ad25c00.edm">'[4]M&amp;A Comps'!$1:$1048576</definedName>
    <definedName name="_bdm.da79da3bdb654523b0439994aa729c1a.edm">'[4]M&amp;A Comps'!$1:$1048576</definedName>
    <definedName name="_bdm.dad0e63da6584dbd8f75892ec201c110.edm">'[7]Fin Profile'!$1:$1048576</definedName>
    <definedName name="_bdm.dae1ac0c148341378be0a00ba3a6a2f0.edm">'[4]MP Charts 3.0'!$1:$1048576</definedName>
    <definedName name="_bdm.db003f47542e4290951809a5ac1a6f65.edm">'[2]Precedent Transactions'!$1:$1048576</definedName>
    <definedName name="_bdm.db1ee935079f4cc28cbafc5294be942f.edm">'[4]Strat. Alt.'!$1:$1048576</definedName>
    <definedName name="_bdm.dbf8a7b01bb142b0a660b01c56aef98a.edm">'[4]Football Field'!$1:$1048576</definedName>
    <definedName name="_bdm.DD0EC3E479EB46AABE2AD1A39DF199AB.edm">[8]GXDX_IPO!$A:$IV</definedName>
    <definedName name="_bdm.DD9AEF4B0EC549CEB595108C7A0FB2C5.edm">[10]Charts!$A:$IV</definedName>
    <definedName name="_bdm.ddac57bc1dc94914a94849eebfcf7356.edm">'[7]LBO Summary'!$1:$1048576</definedName>
    <definedName name="_bdm.ddec6b06bca44cb8891ddc2d46adcf00.edm">'[4]Strat. Alt.'!$1:$1048576</definedName>
    <definedName name="_bdm.DE0CE692DCE54DACB1E6477350A755ED.edm">[8]GXDX!$A:$IV</definedName>
    <definedName name="_bdm.deef3a7911f545f1bc5fa00ab33fa5b5.edm">'[7]LBO Summary'!$1:$1048576</definedName>
    <definedName name="_bdm.df749babbaeb4eb78c624d8faefffdd0.edm">'[7]LBO Summary'!$1:$1048576</definedName>
    <definedName name="_bdm.df8a0772aecb4feebe36b576989418b8.edm">[13]AVP!$1:$1048576</definedName>
    <definedName name="_bdm.dfa77684c6cb4abbb8ec1c600b42e66a.edm">'[7]LBO Summary'!$1:$1048576</definedName>
    <definedName name="_bdm.e0599cb442cc44c2b964246f80e6eb97.edm">'[4]Strat. Alt.'!$1:$1048576</definedName>
    <definedName name="_bdm.e0bcf8c2b3d1457d826995451440c245.edm">[7]IS!$1:$1048576</definedName>
    <definedName name="_bdm.e1183ce915ad4220b4fd22b3b9ec02b1.edm">'[4]M&amp;A Comps'!$1:$1048576</definedName>
    <definedName name="_bdm.e225ac3a6e9e45438515e99255b9a7f5.edm">'[7]LBO Summary'!$1:$1048576</definedName>
    <definedName name="_bdm.e2c9688482aa409bb53dfdb0b6f1aa9e.edm">[13]AVP!$1:$1048576</definedName>
    <definedName name="_bdm.e2e83c080d9e47158186b943066eceed.edm">'[4]Strat. Alt.'!$1:$1048576</definedName>
    <definedName name="_bdm.e3374011a27e4e2591d77277e39f54f2.edm">[4]DCF!$1:$1048576</definedName>
    <definedName name="_bdm.e38097dee8c74fc4b4a4ec92b3ac4892.edm">[14]DCF!$1:$1048576</definedName>
    <definedName name="_bdm.e39b68ad05ad4f498970b3649e591e27.edm">'[4]Comps.2'!$1:$1048576</definedName>
    <definedName name="_bdm.e3b40db8198643fdbb8e0673f2abf7dd.edm">'[7]LBO Summary'!$1:$1048576</definedName>
    <definedName name="_bdm.e3d46a61e8f04d3cbeb5eca511c5777f.edm">'[4]Strat. Alt.'!$1:$1048576</definedName>
    <definedName name="_bdm.e4233ab580004325b5e803acb96d0ca6.edm">'[7]LBO Summary'!$1:$1048576</definedName>
    <definedName name="_bdm.e4825b6d71204ef4890f599a8875db97.edm">'[7]LBO Summary'!$1:$1048576</definedName>
    <definedName name="_bdm.e4c5f613766c4677914f52b4b2804a8b.edm">'[7]LBO Summary'!$1:$1048576</definedName>
    <definedName name="_bdm.e533b66f10b24d88940ad9a745ad0a1b.edm">[4]DCF!$1:$1048576</definedName>
    <definedName name="_bdm.e5ac177821b54ed5a5a777debd34af73.edm">[4]AVP!$1:$1048576</definedName>
    <definedName name="_bdm.e5f7bba1469d4262b1315bbf4ebc2436.edm">[4]WACC!$1:$1048576</definedName>
    <definedName name="_bdm.e61b8c2468b24f618362128a2a7b469a.edm">[5]FF!$1:$1048576</definedName>
    <definedName name="_bdm.e718dab095624fc8a6102c0ca68ec196.edm">[7]IS!$1:$1048576</definedName>
    <definedName name="_bdm.e75dfc2a3a084ccb870679fb49ab13d1.edm">'[4]Strat. Alt.'!$1:$1048576</definedName>
    <definedName name="_bdm.e78d8f48ad224cfb8736d3fa8d804f6b.edm">'[2]Precedent Transactions'!$1:$1048576</definedName>
    <definedName name="_bdm.e79f3be796d34177b252c555e1f34bf3.edm">[4]AVP!$1:$1048576</definedName>
    <definedName name="_bdm.e807518ba9f4496c8d76515ce6f43937.edm">[4]DCF!$1:$1048576</definedName>
    <definedName name="_bdm.e8389a0a84ad4f16b873ee3e74725391.edm">'[4]Strat. Alt.'!$1:$1048576</definedName>
    <definedName name="_bdm.e8417c08c5ed4f16bdead1b748a0c244.edm">'[7]LBO Summary'!$1:$1048576</definedName>
    <definedName name="_bdm.E88316208FBE4AD0978D03DBB7541C23.edm">[10]Charts!$A:$IV</definedName>
    <definedName name="_bdm.e9358c0f6dc346348abbc42649402f53.edm">'[4]M&amp;A Comps'!$1:$1048576</definedName>
    <definedName name="_bdm.e97ccfd53d2a41f6b5afdb3ed7648787.edm">[2]AVP!$1:$1048576</definedName>
    <definedName name="_bdm.e98f355bd5f34f6080b13d4cf583cbca.edm">'[2]Precedent Transactions'!$1:$1048576</definedName>
    <definedName name="_bdm.E997DDF80A784E1A8894B4A9F9665EF4.edm">[17]Nyco_Brad!$A$1:$IV$65536</definedName>
    <definedName name="_bdm.e9ba44344a984b95b743f963fd32318d.edm">'[7]Fin Profile'!$1:$1048576</definedName>
    <definedName name="_bdm.e9cabc598def49d595c8d89cb5ed9cca.edm">[2]AVP!$1:$1048576</definedName>
    <definedName name="_bdm.e9e8aa49f6bf406e99b0400d070282aa.edm">[14]DCF!$1:$1048576</definedName>
    <definedName name="_bdm.ea981268da9743f4a40924f63e1eec9c.edm">'[2]Football Field'!$1:$1048576</definedName>
    <definedName name="_bdm.eb0e0a4042e549f4af9fe27cc6900d8a.edm">[4]DCF!$1:$1048576</definedName>
    <definedName name="_bdm.ebf3ac965e48408998068d44fa074d76.edm">'[4]Strat. Alt.'!$1:$1048576</definedName>
    <definedName name="_bdm.ec0bbc9316b14f94b6a40465ad8ea00d.edm">[5]FF!$1:$1048576</definedName>
    <definedName name="_bdm.ec1cc636b8274dc9831bbed8d5190f05.edm">[4]DCF!$1:$1048576</definedName>
    <definedName name="_bdm.ec20681f1cd34fb3a4b36f4a6eeb3551.edm">'[7]LBO Summary'!$1:$1048576</definedName>
    <definedName name="_bdm.ECB01AA0E3AE449995C6225B548094F9.edm">[8]GXDX!$A:$IV</definedName>
    <definedName name="_bdm.ecd64e8c66544b3ea05a26a835d1e0d9.edm">'[4]Strat. Alt.'!$1:$1048576</definedName>
    <definedName name="_bdm.ed361a9e1b4d4574b98de31d6d6f6173.edm">'[4]Strat. Alt.'!$1:$1048576</definedName>
    <definedName name="_bdm.EDB180BF2DE2431B905DA2888028DE9F.edm">[8]GXDX_IPO!$A:$IV</definedName>
    <definedName name="_bdm.ee31e1b16ecc4d328a9d91ee5d4471c8.edm">'[7]LBO Summary'!$1:$1048576</definedName>
    <definedName name="_bdm.eebedc8b194c4d38b264bf1031655124.edm">'[4]Strat. Alt.'!$1:$1048576</definedName>
    <definedName name="_bdm.EEC8A490FB7D4079864A984EEA31DB3A.edm">'[6]ghdx_gxdx output OLD'!$A:$IV</definedName>
    <definedName name="_bdm.eed88f4900fb4506b084d7af64fe02ef.edm">'[5]Comp Charts'!$1:$1048576</definedName>
    <definedName name="_bdm.eef49a8e717b434b9d1b2f1d30f5542c.edm">[7]IS!$1:$1048576</definedName>
    <definedName name="_bdm.ef3087f8e1a84b859e7558036f9da51a.edm">'[4]M&amp;A Comps'!$1:$1048576</definedName>
    <definedName name="_bdm.ef4a085f2d1a475ca978556186e6a723.edm">[4]AVP!$1:$1048576</definedName>
    <definedName name="_bdm.ef54207d0c464dc6bf82733ffbd2ef04.edm">'[2]Precedent Transactions'!$1:$1048576</definedName>
    <definedName name="_bdm.efcfdbe7da63449d9cf2cf3e3b5841b2.edm">'[7]LBO Summary'!$1:$1048576</definedName>
    <definedName name="_bdm.eff68644a7a6439a81fc61f376780bbf.edm">'[4]M&amp;A Comps'!$1:$1048576</definedName>
    <definedName name="_bdm.f005fee1207d49c5999833ee9151df25.edm">[5]FF!$1:$1048576</definedName>
    <definedName name="_bdm.F0286AA43B4B46CB92400990520CD08E.edm">[8]GXDX_IPO!$A:$IV</definedName>
    <definedName name="_bdm.f08a324edf1546f18e9cfa1d083b1a93.edm">'[4]MP Charts 3.0'!$1:$1048576</definedName>
    <definedName name="_bdm.f0a9bd0b9f5943c1b947d7c1bc15a3a2.edm">'[2]Football Field'!$1:$1048576</definedName>
    <definedName name="_bdm.f0c4065cf0f54c649f6d760c4b84f599.edm">'[7]LBO Summary'!$1:$1048576</definedName>
    <definedName name="_bdm.f16f91be1d464756a57e3c03ca13d7ec.edm">'[7]LBO Summary'!$1:$1048576</definedName>
    <definedName name="_bdm.f2154e6aaaf147ef8a8c06cb4b44c00d.edm">'[7]LBO Summary'!$1:$1048576</definedName>
    <definedName name="_bdm.f23a4661994546bd971f8bca644de3b1.edm">'[4]Strat. Alt.'!$1:$1048576</definedName>
    <definedName name="_bdm.f2bb3d6bc53f4a0d8ec85521fe279905.edm">'[4]MP Charts 3.0'!$1:$1048576</definedName>
    <definedName name="_bdm.f33c764e0ecd4b9180c00d58bb8cc020.edm">'[4]MP Charts 3.0'!$1:$1048576</definedName>
    <definedName name="_bdm.f38bda9b7c9a4c1fb7c8c2ebf61925a4.edm">'[4]M&amp;A Comps'!$1:$1048576</definedName>
    <definedName name="_bdm.f38df756522148899802a6a334dc8c1c.edm">'[4]M&amp;A Comps'!$1:$1048576</definedName>
    <definedName name="_bdm.f3ec615d85214c6ba9d48f6b0b867592.edm">[4]DCF!$1:$1048576</definedName>
    <definedName name="_bdm.f4635e27187943009530b425f8606902.edm">'[7]LBO Summary'!$1:$1048576</definedName>
    <definedName name="_bdm.F48882BF5FC54EE89C2C28256D54327F.edm">'[6]ghdx_gxdx output OLD'!$A:$IV</definedName>
    <definedName name="_bdm.f4ab55ddcf4a40e282a08f18a864a0fa.edm">[5]FF!$1:$1048576</definedName>
    <definedName name="_bdm.f4ba6c18239b46c3bb18926671513286.edm">'[4]Comps.2'!$1:$1048576</definedName>
    <definedName name="_bdm.f53462570e214a549ea4953717fabec1.edm">'[7]LBO Summary'!$1:$1048576</definedName>
    <definedName name="_bdm.F5A6E7A9A8AA4302840449FF46A559F9.edm">[10]Charts!$A:$IV</definedName>
    <definedName name="_bdm.F5F43569B14F4C2AA9BA56DCCD299113.edm">'[12]Balance Sheet'!$A:$IV</definedName>
    <definedName name="_bdm.f61ba00bd1894fbca5fb6ab49ef980c4.edm">[5]FF!$1:$1048576</definedName>
    <definedName name="_bdm.f77377b8cfbf45f291702b575f98b930.edm">'[7]LBO Summary'!$1:$1048576</definedName>
    <definedName name="_bdm.f78febdfa8aa444296d93800c995d6fc.edm">'[4]Strat. Alt.'!$1:$1048576</definedName>
    <definedName name="_bdm.f884e53f117c45a88ee9187fbcb19448.edm">[5]FF!$1:$1048576</definedName>
    <definedName name="_bdm.f8e6783176b2463c919ad62e149bab1d.edm">'[4]Strat. Alt.'!$1:$1048576</definedName>
    <definedName name="_bdm.f8fb962b609c46d4b2e07f6ec81ef719.edm">'[7]LBO Summary'!$1:$1048576</definedName>
    <definedName name="_bdm.fac2a53fc4c7493a8c401ea07bcbc7ee.edm">[7]IS!$1:$1048576</definedName>
    <definedName name="_bdm.fbc1dee1a33c4588a4eed1235e7247c0.edm">'[7]LBO Summary'!$1:$1048576</definedName>
    <definedName name="_bdm.FBEED86BD05448A5BB8041D84704C098.edm">'[9]SP Comps'!$A:$IV</definedName>
    <definedName name="_bdm.fc10a3078ee44f4899fe29f24b0ab43e.edm">'[7]LBO Summary'!$1:$1048576</definedName>
    <definedName name="_bdm.fc18a011444546ec9cea643ca3cd2001.edm">'[7]LBO Summary'!$1:$1048576</definedName>
    <definedName name="_bdm.fd79c0a27cc340eca28cc3abdc19dc25.edm">'[4]M&amp;A Comps'!$1:$1048576</definedName>
    <definedName name="_bdm.fe1b09b5ec6e4fd8ac50b1d4d829ff0b.edm">'[4]M&amp;A Comps'!$1:$1048576</definedName>
    <definedName name="_bdm.fe7e3c71f7974fc39f195696b9e42177.edm">'[4]Strat. Alt.'!$1:$1048576</definedName>
    <definedName name="_bdm.fe877dc056b949fa8bd1c98d0262f785.edm">'[4]Strat. Alt.'!$1:$1048576</definedName>
    <definedName name="_bdm.FEC084ED98B149579D377AC66B5B5398.edm">[10]Charts!$A:$IV</definedName>
    <definedName name="_bdm.fee63dea079a41ec91c9932109cf5f4a.edm">'[2]Precedent Transactions'!$1:$1048576</definedName>
    <definedName name="_bdm.ff0f5429077c4944aca6786387f5d3ab.edm">[5]FF!$1:$1048576</definedName>
    <definedName name="_bdm.ffa76ab9f3984b44a0057bd5970a39ed.edm">[7]IS!$1:$1048576</definedName>
    <definedName name="_bdm.ffe1ee93c2d9494d9bb8230215dd4341.edm">[4]DCF!$1:$1048576</definedName>
    <definedName name="_Order1">255</definedName>
    <definedName name="_Order1a">0</definedName>
    <definedName name="_Order2">0</definedName>
    <definedName name="_Order2a">0</definedName>
    <definedName name="_q3">'[1]1601 Detail information'!$H$97:$H$129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sdfa">"c313"</definedName>
    <definedName name="asdfs">"c161"</definedName>
    <definedName name="asdfsadf">"c182"</definedName>
    <definedName name="asdfsf">"c315"</definedName>
    <definedName name="asdjf">"c100"</definedName>
    <definedName name="cb_sChart41E9A35_opts">"1, 9, 1, False, 2, False, False, , 0, False, True, 1, 1"</definedName>
    <definedName name="cb_sChart68E08A4_opts">"1, 1, 1, False, 2, True, False, , 0, False, False, 2, 2"</definedName>
    <definedName name="cb_sChart6F544DD_opts">"1, 3, 1, False, 2, False, False, , 0, False, False, 2, 1"</definedName>
    <definedName name="cb_sChart74FE4B0_opts">"1, 4, 1, False, 2, True, False, , 0, False, False, 1, 1"</definedName>
    <definedName name="cb_sChart74FE8FC_opts">"1, 4, 1, False, 2, True, False, , 0, False, False, 1, 1"</definedName>
    <definedName name="cb_sChartF046D89_opts">"1, 1, 1, False, 2, True, False, , 1, False, False, 1, 1"</definedName>
    <definedName name="cb_sChartF048B26_opts">"1, 5, 1, False, 2, False, False, , 1, False, False, 1, 2"</definedName>
    <definedName name="cb_sChartF2B7B01_opts">"1, 1, 1, False, 2, True, False, , 1, False, False, 1, 1"</definedName>
    <definedName name="CIQWBGuid">"Targus_Mini_Deck.v1.xlsx"</definedName>
    <definedName name="dfasd">"c322"</definedName>
    <definedName name="ev.Calculation">-4105</definedName>
    <definedName name="ev.Initialized">FALSE</definedName>
    <definedName name="fggfds">{"fdsup://directions/FAT Viewer?action=UPDATE&amp;creator=factset&amp;DYN_ARGS=TRUE&amp;DOC_NAME=FAT:FQL_AUDITING_CLIENT_TEMPLATE.FAT&amp;display_string=Audit&amp;VAR:KEY=RUVMRUFEDA&amp;VAR:QUERY=SlVMSUFOKElDX0VTVElNQVRFKFNBTEVTKCksTUVBTixBTk5fUk9MTCwrMSwwKS5kYXRlcyk=&amp;WINDOW=FIRST","_POPUP&amp;HEIGHT=450&amp;WIDTH=450&amp;START_MAXIMIZED=FALSE&amp;VAR:CALENDAR=US&amp;VAR:SYMBOL=MDCO&amp;VAR:INDEX=0"}</definedName>
    <definedName name="hn.ExtDb">FALSE</definedName>
    <definedName name="hn.ModelType">"DEAL"</definedName>
    <definedName name="hn.ModelVersion">1</definedName>
    <definedName name="hn.NoUpload">0</definedName>
    <definedName name="hn.RolledForward">FALSE</definedName>
    <definedName name="HTML_CodePage">1252</definedName>
    <definedName name="HTML_Control">{"'SERC'!$E$1:$M$37"}</definedName>
    <definedName name="HTML_OBDlg2">FALSE</definedName>
    <definedName name="HTML_OBDlg3">TRUE</definedName>
    <definedName name="HTML_OBDlg4">TRUE</definedName>
    <definedName name="HTML_OS">0</definedName>
    <definedName name="HTML_PathFile">"Z:\News_2001\kb01030515"</definedName>
    <definedName name="HTML_PathTemplate">"Z:\gochart.htm"</definedName>
    <definedName name="HTML1_10">""</definedName>
    <definedName name="HTML1_11">1</definedName>
    <definedName name="HTML1_12">"F:\USERS\ECON\Census95\Int\T9ST.htm"</definedName>
    <definedName name="HTML1_2">1</definedName>
    <definedName name="HTML1_3">""</definedName>
    <definedName name="HTML1_4">""</definedName>
    <definedName name="HTML1_5">""</definedName>
    <definedName name="HTML1_6">-4146</definedName>
    <definedName name="HTML1_7">-4146</definedName>
    <definedName name="HTML1_8">"2/17/98"</definedName>
    <definedName name="HTML1_9">"BPH"</definedName>
    <definedName name="HTML2_10">""</definedName>
    <definedName name="HTML2_11">1</definedName>
    <definedName name="HTML2_12">"F:\USERS\ECON\Census95\Int\T9ST.htm"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-4146</definedName>
    <definedName name="HTML2_8">"2/17/98"</definedName>
    <definedName name="HTML2_9">"BPH"</definedName>
    <definedName name="HTML3_10">""</definedName>
    <definedName name="HTML3_11">1</definedName>
    <definedName name="HTML3_12">"F:\USERS\ECON\Census95\Int\T9st.htm"</definedName>
    <definedName name="HTML3_2">1</definedName>
    <definedName name="HTML3_3">""</definedName>
    <definedName name="HTML3_4">""</definedName>
    <definedName name="HTML3_5">""</definedName>
    <definedName name="HTML3_6">-4146</definedName>
    <definedName name="HTML3_7">-4146</definedName>
    <definedName name="HTML3_8">"2/17/98"</definedName>
    <definedName name="HTML3_9">"BPH"</definedName>
    <definedName name="HTMLCount">3</definedName>
    <definedName name="iasdf">"c88"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RES_DOM_FFIEC">"c15269"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EPTANCES_OTHER_FOREIGN_BANKS_LL_REC_FFIEC">"c15293"</definedName>
    <definedName name="IQ_ACCEPTANCES_OTHER_US_BANKS_LL_REC_FFIEC">"c15292"</definedName>
    <definedName name="IQ_ACQUIRED_BY_REPORTING_BANK_FDIC">"c6535"</definedName>
    <definedName name="IQ_ADDIN">"AUTO"</definedName>
    <definedName name="IQ_ADDITIONAL_NON_INT_INC_FDIC">"c6574"</definedName>
    <definedName name="IQ_ADDITIONS_NON_ACCRUAL_ASSET_DURING_QTR_FFIEC">"c15349"</definedName>
    <definedName name="IQ_ADJUSTABLE_RATE_LOANS_FDIC">"c6375"</definedName>
    <definedName name="IQ_AE_BR">"c10"</definedName>
    <definedName name="IQ_AFTER_TAX_INCOME_FDIC">"c6583"</definedName>
    <definedName name="IQ_AG_PROD_FARM_LOANS_DOM_QUARTERLY_AVG_FFIEC">"c15477"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LL_OTHER_DEPOSITS_FOREIGN_DEP_FFIEC">"c15347"</definedName>
    <definedName name="IQ_ALL_OTHER_INVEST_UNCONSOL_SUBS_FFIEC">"c15275"</definedName>
    <definedName name="IQ_AMENDED_BALANCE_PREVIOUS_YR_FDIC">"c6499"</definedName>
    <definedName name="IQ_AMORT_EXPENSE_FDIC">"c6677"</definedName>
    <definedName name="IQ_AMORTIZED_COST_FDIC">"c6426"</definedName>
    <definedName name="IQ_ANNUAL_DIVIDEND">"c229"</definedName>
    <definedName name="IQ_AP_BR">"c34"</definedName>
    <definedName name="IQ_AR_BR">"c41"</definedName>
    <definedName name="IQ_ASSET_BACKED_FDIC">"c6301"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>"c6409"</definedName>
    <definedName name="IQ_AVERAGE_ASSETS_FDIC">"c6362"</definedName>
    <definedName name="IQ_AVERAGE_ASSETS_QUART_FDIC">"c6363"</definedName>
    <definedName name="IQ_AVERAGE_DEPOSITS">"c15256"</definedName>
    <definedName name="IQ_AVERAGE_EARNING_ASSETS_FDIC">"c6748"</definedName>
    <definedName name="IQ_AVERAGE_EQUITY_FDIC">"c6749"</definedName>
    <definedName name="IQ_AVERAGE_INTEREST_BEARING_DEPOSITS">"c15254"</definedName>
    <definedName name="IQ_AVERAGE_LOANS_FDIC">"c6750"</definedName>
    <definedName name="IQ_AVERAGE_LOANS_HFI">"c15251"</definedName>
    <definedName name="IQ_AVERAGE_LOANS_HFS">"c15252"</definedName>
    <definedName name="IQ_AVERAGE_NON_INTEREST_BEARING_DEPOSITS">"c15255"</definedName>
    <definedName name="IQ_AVG_PRICE_TARGET">"c82"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NON_TRANS_ACCTS_FFIEC">"c15326"</definedName>
    <definedName name="IQ_BANKS_FOREIGN_COUNTRIES_TOTAL_DEPOSITS_FDIC">"c6475"</definedName>
    <definedName name="IQ_BANKS_FOREIGN_COUNTRIES_TRANS_ACCTS_FFIEC">"c15318"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DIRECT_FAX">"c15176"</definedName>
    <definedName name="IQ_BOARD_MEMBER_DIRECT_PHONE">"c15175"</definedName>
    <definedName name="IQ_BOARD_MEMBER_EMAIL">"c15177"</definedName>
    <definedName name="IQ_BOARD_MEMBER_MAIN_FAX">"c15174"</definedName>
    <definedName name="IQ_BOARD_MEMBER_MAIN_PHONE">"c15173"</definedName>
    <definedName name="IQ_BOARD_MEMBER_OFFICE_ADDRESS">"c15172"</definedName>
    <definedName name="IQ_BONDRATING_FITCH">"IQ_BONDRATING_FITCH"</definedName>
    <definedName name="IQ_BONDRATING_FITCH_DATE">"c241"</definedName>
    <definedName name="IQ_BONDRATING_SP">"IQ_BONDRATING_SP"</definedName>
    <definedName name="IQ_BONDRATING_SP_DATE">"c242"</definedName>
    <definedName name="IQ_BOOK_VALUE">"IQ_BOOK_VALUE"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V_ACT_OR_EST_REUT">"c5471"</definedName>
    <definedName name="IQ_BV_EST_REUT">"c5403"</definedName>
    <definedName name="IQ_BV_HIGH_EST_REUT">"c5405"</definedName>
    <definedName name="IQ_BV_LOW_EST_REUT">"c5406"</definedName>
    <definedName name="IQ_BV_MEDIAN_EST_REUT">"c5404"</definedName>
    <definedName name="IQ_BV_NUM_EST_REUT">"c5407"</definedName>
    <definedName name="IQ_BV_STDDEV_EST_REUT">"c5408"</definedName>
    <definedName name="IQ_CAPEX_BR">"c111"</definedName>
    <definedName name="IQ_CAPITAL_ALLOCATION_ADJUSTMENT_FOREIGN_FFIEC">"c15389"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DEPOSITORY_INSTIT_US_DOM_FFIEC">"c15288"</definedName>
    <definedName name="IQ_CASH_DIVIDENDS_NET_INCOME_FDIC">"c6738"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FOREIGN_BRANCH_OTHER_US_BANKS_FFIEC">"c15282"</definedName>
    <definedName name="IQ_CASH_IN_PROCESS_FDIC">"c6386"</definedName>
    <definedName name="IQ_CASH_OTHER_BANKS_FOREIGN_COUNTRIES_FFIEC">"c15283"</definedName>
    <definedName name="IQ_CASH_OTHER_US_COMM_BANK_DEP_INSTIT_FFIEC">"c15281"</definedName>
    <definedName name="IQ_CASH_STRUCTURED_PRODUCTS_AVAIL_SALE_FFIEC">"c15263"</definedName>
    <definedName name="IQ_CASH_STRUCTURED_PRODUCTS_FFIEC">"c15260"</definedName>
    <definedName name="IQ_CCE_FDIC">"c6296"</definedName>
    <definedName name="IQ_CDS_COUPON">"c15234"</definedName>
    <definedName name="IQ_CDS_NEXT_SERIES_ID">"c15231"</definedName>
    <definedName name="IQ_CDS_PREV_SERIES_ID">"c15232"</definedName>
    <definedName name="IQ_CDS_PRICE_TYPE">"c15233"</definedName>
    <definedName name="IQ_CEO_ID">"c15210"</definedName>
    <definedName name="IQ_CEO_NAME">"c15209"</definedName>
    <definedName name="IQ_CERTIFIED_OFFICIAL_CHECKS_TRANS_ACCTS_FFIEC">"c15320"</definedName>
    <definedName name="IQ_CFO_ID">"c15212"</definedName>
    <definedName name="IQ_CFO_NAME">"c15211"</definedName>
    <definedName name="IQ_CH">110000</definedName>
    <definedName name="IQ_CHAIRMAN_ID">"c15218"</definedName>
    <definedName name="IQ_CHAIRMAN_NAME">"c15217"</definedName>
    <definedName name="IQ_CHANGE_AP_BR">"c135"</definedName>
    <definedName name="IQ_CHANGE_AR_BR">"c142"</definedName>
    <definedName name="IQ_CHANGE_DEF_TAX_TOTAL">"c15557"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OTHER_NET_OPER_ASSETS_BR">"c3595"</definedName>
    <definedName name="IQ_CHANGE_OTHER_WORK_CAP_BR">"c154"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MO_FDIC">"c6406"</definedName>
    <definedName name="IQ_COLLECTION_DOMESTIC_FDIC">"c6387"</definedName>
    <definedName name="IQ_COMM_BANKS_OTHER_DEP_INST_US_TRANS_ACCTS_FFIEC">"c15317"</definedName>
    <definedName name="IQ_COMM_BANKS_OTHER_INST_US_NON_TRANS_ACCTS_FFIEC">"c15325"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DOM_QUARTERLY_AVG_FFIEC">"c15478"</definedName>
    <definedName name="IQ_COMMERCIAL_INDUSTRIAL_LOANS_NET_FDIC">"c6317"</definedName>
    <definedName name="IQ_COMMERCIAL_INDUSTRIAL_NET_CHARGE_OFFS_FDIC">"c6636"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RECOVERIES_FDIC">"c6617"</definedName>
    <definedName name="IQ_COMMERCIAL_INDUSTRIAL_TOTAL_LOANS_FOREIGN_FDIC">"c6451"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MPANY_TICKER_NO_EXCH">"c15490"</definedName>
    <definedName name="IQ_CONSOLIDATED_NI_FOREIGN_FFIEC">"c15396"</definedName>
    <definedName name="IQ_CONSTRUCTION_DEV_LOANS_FDIC">"c6313"</definedName>
    <definedName name="IQ_CONSTRUCTION_LAND_DEV_DOM_FFIEC">"c15267"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._FDIC">"c6522"</definedName>
    <definedName name="IQ_CONTRACTS_OTHER_COMMODITIES_EQUITIES_FDIC">"c6522"</definedName>
    <definedName name="IQ_CONV_RATE">"c2192"</definedName>
    <definedName name="IQ_CONVERT_DEBT">"c224"</definedName>
    <definedName name="IQ_CONVEYED_TO_OTHERS_FDIC">"c6534"</definedName>
    <definedName name="IQ_COO_ID">"c15222"</definedName>
    <definedName name="IQ_COO_NAME">"c15221"</definedName>
    <definedName name="IQ_CORE_CAPITAL_RATIO_FDIC">"c6745"</definedName>
    <definedName name="IQ_CORE_TIER_ONE_CAPITAL">"c15244"</definedName>
    <definedName name="IQ_CORE_TIER_ONE_CAPITAL_RATIO">"c15240"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OF_FUNDING_ASSETS_FDIC">"c6725"</definedName>
    <definedName name="IQ_COVERAGE_RATIO">"c15243"</definedName>
    <definedName name="IQ_CQ">5000</definedName>
    <definedName name="IQ_CREDIT_CARD_CHARGE_OFFS_FDIC">"c6652"</definedName>
    <definedName name="IQ_CREDIT_CARD_FEE">"c231"</definedName>
    <definedName name="IQ_CREDIT_CARD_LINES_FDIC">"c6525"</definedName>
    <definedName name="IQ_CREDIT_CARD_LOANS_DOM_QUARTERLY_AVG_FFIEC">"c15480"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ENCY_COIN_DOM_FFIEC">"c15287"</definedName>
    <definedName name="IQ_CURRENCY_COIN_DOMESTIC_FDIC">"c6388"</definedName>
    <definedName name="IQ_CURRENCY_GAIN_BR">"c236"</definedName>
    <definedName name="IQ_CURRENT_PORT_DEBT_BR">"c1567"</definedName>
    <definedName name="IQ_CY">10000</definedName>
    <definedName name="IQ_DA_BR">"c248"</definedName>
    <definedName name="IQ_DA_CF_BR">"c251"</definedName>
    <definedName name="IQ_DA_SUPPL_BR">"c260"</definedName>
    <definedName name="IQ_DA_SUPPL_CF_BR">"c263"</definedName>
    <definedName name="IQ_DAILY">500000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OREIGN_BANKS_FOREIGN_AGENCIES_FFIEC">"c15344"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>"c6523"</definedName>
    <definedName name="IQ_DIRECT_INDIRECT_RE_VENTURES_FFIEC">"c15266"</definedName>
    <definedName name="IQ_DIRECT_INDIRECT_RE_VENTURES_UNCONSOL_FFIEC">"c15274"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EARNING_ASSETS_FDIC">"c6360"</definedName>
    <definedName name="IQ_EARNING_ASSETS_YIELD_FDIC">"c6724"</definedName>
    <definedName name="IQ_EARNINGS_COVERAGE_NET_CHARGE_OFFS_FDIC">"c6735"</definedName>
    <definedName name="IQ_EBIT_10K">"IQ_EBIT_10K"</definedName>
    <definedName name="IQ_EBIT_10Q">"IQ_EBIT_10Q"</definedName>
    <definedName name="IQ_EBIT_10Q1">"IQ_EBIT_10Q1"</definedName>
    <definedName name="IQ_EBIT_GROWTH_1">"IQ_EBIT_GROWTH_1"</definedName>
    <definedName name="IQ_EBIT_GROWTH_2">"IQ_EBIT_GROWTH_2"</definedName>
    <definedName name="IQ_EBIT_NET_INT">"c360"</definedName>
    <definedName name="IQ_EBITDA_10K">"IQ_EBITDA_10K"</definedName>
    <definedName name="IQ_EBITDA_10Q">"IQ_EBITDA_10Q"</definedName>
    <definedName name="IQ_EBITDA_10Q1">"IQ_EBITDA_10Q1"</definedName>
    <definedName name="IQ_EBITDA_CAPEX_NET_INT">"c368"</definedName>
    <definedName name="IQ_EBITDA_GROWTH_1">"IQ_EBITDA_GROWTH_1"</definedName>
    <definedName name="IQ_EBITDA_GROWTH_2">"IQ_EBITDA_GROWTH_2"</definedName>
    <definedName name="IQ_EBITDA_NET_INT">"c373"</definedName>
    <definedName name="IQ_EBT_BR">"c378"</definedName>
    <definedName name="IQ_EBT_EXCL_BR">"c381"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ICIENCY_RATIO_FDIC">"c6736"</definedName>
    <definedName name="IQ_ELIMINATIONS_CONSOL_OFFICES_FOREIGN_FFIEC">"c15395"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EST_1">"IQ_EPS_EST_1"</definedName>
    <definedName name="IQ_EQUITY_CAPITAL_ASSETS_FDIC">"c6744"</definedName>
    <definedName name="IQ_EQUITY_FDIC">"c6353"</definedName>
    <definedName name="IQ_EQUITY_LIST">"c15158"</definedName>
    <definedName name="IQ_EQUITY_SECURITIES_FDIC">"c6304"</definedName>
    <definedName name="IQ_EQUITY_SECURITIES_QUARTERLY_AVG_FFIEC">"c15474"</definedName>
    <definedName name="IQ_EQUITY_SECURITY_EXPOSURES_FDIC">"c6664"</definedName>
    <definedName name="IQ_EQUITY_TIER_ONE_CAPITAL">"c15246"</definedName>
    <definedName name="IQ_EQUITY_TIER_ONE_CAPITAL_RATIO">"c15242"</definedName>
    <definedName name="IQ_EST_ACT_BV_REUT">"c5409"</definedName>
    <definedName name="IQ_EST_ACT_FFO_REUT">"c3843"</definedName>
    <definedName name="IQ_EST_BV_DIFF_REUT">"c5433"</definedName>
    <definedName name="IQ_EST_BV_SURPRISE_PERCENT_REUT">"c5434"</definedName>
    <definedName name="IQ_EST_EPS_SURPRISE">"c1635"</definedName>
    <definedName name="IQ_EST_FFO_DIFF_REUT">"c3890"</definedName>
    <definedName name="IQ_EST_FFO_SURPRISE_PERCENT_REUT">"c3891"</definedName>
    <definedName name="IQ_EST_NUM_BUY_REUT">"c3869"</definedName>
    <definedName name="IQ_EST_NUM_HOLD_REUT">"c3871"</definedName>
    <definedName name="IQ_EST_NUM_OUTPERFORM_REUT">"c3870"</definedName>
    <definedName name="IQ_EST_NUM_SELL_REUT">"c3873"</definedName>
    <definedName name="IQ_EST_NUM_UNDERPERFORM_REUT">"c3872"</definedName>
    <definedName name="IQ_ESTIMATED_ASSESSABLE_DEPOSITS_FDIC">"c6490"</definedName>
    <definedName name="IQ_ESTIMATED_INSURED_DEPOSITS_FDIC">"c6491"</definedName>
    <definedName name="IQ_EV_OVER_REVENUE_EST">"IQ_EV_OVER_REVENUE_EST"</definedName>
    <definedName name="IQ_EV_OVER_REVENUE_EST_1">"IQ_EV_OVER_REVENUE_EST_1"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_BR">"c412"</definedName>
    <definedName name="IQ_EXTRA_ITEMS_OTHER_ADJUSTMENTS_FOREIGN_FFIEC">"c15392"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DOM_FFIEC">"c15268"</definedName>
    <definedName name="IQ_FARMLAND_LOANS_FDIC">"c6314"</definedName>
    <definedName name="IQ_FED_FUND_PURCHASED_SEC_SOLD_REPURCHASE_FFIEC">"c15489"</definedName>
    <definedName name="IQ_FED_FUND_SOLD_SEC_PURCHASED_RESELL_FFIEC">"c15488"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FDIC">"c6343"</definedName>
    <definedName name="IQ_FED_FUNDS_SOLD_FDIC">"c6307"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ES_OTHER_INCOME">"c15257"</definedName>
    <definedName name="IQ_FFO_EST_REUT">"c3837"</definedName>
    <definedName name="IQ_FFO_HIGH_EST_REUT">"c3839"</definedName>
    <definedName name="IQ_FFO_LOW_EST_REUT">"c3840"</definedName>
    <definedName name="IQ_FFO_MEDIAN_EST_REUT">"c3838"</definedName>
    <definedName name="IQ_FFO_NUM_EST_REUT">"c3841"</definedName>
    <definedName name="IQ_FFO_STDDEV_EST_REUT">"c3842"</definedName>
    <definedName name="IQ_FH">100000</definedName>
    <definedName name="IQ_FHLB_ADVANCES_FDIC">"c6366"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VE_PERCENT_AMOUNT">"c240"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">"c225"</definedName>
    <definedName name="IQ_FNMA_FHLMC_FDIC">"c6397"</definedName>
    <definedName name="IQ_FNMA_FHLMC_GNMA_FDIC">"c6399"</definedName>
    <definedName name="IQ_FORECLOSED_PROP_GNMA_LOANS_FFIEC">"c15272"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Q">500</definedName>
    <definedName name="IQ_FULLY_INSURED_BROKERED_DEPOSITS_FFIEC">"c15305"</definedName>
    <definedName name="IQ_FULLY_INSURED_DEPOSITS_FDIC">"c6487"</definedName>
    <definedName name="IQ_FUND_NAV">"c15225"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AP_EST_CIQ">"c13924"</definedName>
    <definedName name="IQ_GAIN_ASSETS_BR">"c454"</definedName>
    <definedName name="IQ_GAIN_ASSETS_CF_BR">"c457"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V_BR">"c474"</definedName>
    <definedName name="IQ_GAIN_INVEST_BR">"c1464"</definedName>
    <definedName name="IQ_GAIN_INVEST_CF_BR">"c482"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V_BR">"c496"</definedName>
    <definedName name="IQ_GAIN_LOSS_HTM_AFS_SECURITIES_FOREIGN_FFIEC">"c15384"</definedName>
    <definedName name="IQ_GAIN_SALE_LOANS_FDIC">"c6673"</definedName>
    <definedName name="IQ_GAIN_SALE_RE_FDIC">"c6674"</definedName>
    <definedName name="IQ_GAINS_SALE_ASSETS_FDIC">"c6675"</definedName>
    <definedName name="IQ_GENERAL_ALLOWANCE">"c15248"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ROSS_GW">"c519"</definedName>
    <definedName name="IQ_GROSS_INTAN">"c520"</definedName>
    <definedName name="IQ_GW_AMORT">"c531"</definedName>
    <definedName name="IQ_GW_AMORT_BR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INTAN_AMORT_BR">"c1470"</definedName>
    <definedName name="IQ_GW_INTAN_AMORT_CF_BR">"c1473"</definedName>
    <definedName name="IQ_HELD_MATURITY_FDIC">"c6408"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PAIRED_LOANS">"c15250"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EQUITY_BR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_FOREIGN_FFIEC">"c15391"</definedName>
    <definedName name="IQ_INCOME_TAXES_FDIC">"c6582"</definedName>
    <definedName name="IQ_INDEX_CURRENCY">"c15224"</definedName>
    <definedName name="IQ_INDEX_TYPE">"c15223"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DIRECT_FAX">"c15189"</definedName>
    <definedName name="IQ_INDIVIDUAL_DIRECT_PHONE">"c15188"</definedName>
    <definedName name="IQ_INDIVIDUAL_EDUCATION">"c15203"</definedName>
    <definedName name="IQ_INDIVIDUAL_EMAIL">"c15193"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MAIN_FAX">"c15187"</definedName>
    <definedName name="IQ_INDIVIDUAL_MAIN_PHONE">"c15186"</definedName>
    <definedName name="IQ_INDIVIDUAL_MOBILE">"c15198"</definedName>
    <definedName name="IQ_INDIVIDUAL_NICKNAME">"c15192"</definedName>
    <definedName name="IQ_INDIVIDUAL_NOTES">"c15204"</definedName>
    <definedName name="IQ_INDIVIDUAL_OFFICE_ADDRESS">"c15185"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SPECIALTY">"c15190"</definedName>
    <definedName name="IQ_INDIVIDUAL_TITLE">"c15183"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3MTH_BOUGHT">"c1534"</definedName>
    <definedName name="IQ_INSIDER_3MTH_NET">"c1535"</definedName>
    <definedName name="IQ_INSIDER_3MTH_SOLD">"c1533"</definedName>
    <definedName name="IQ_INSIDER_6MTH_BOUGHT">"c1537"</definedName>
    <definedName name="IQ_INSIDER_6MTH_NET">"c1538"</definedName>
    <definedName name="IQ_INSIDER_6MTH_SOLD">"c1536"</definedName>
    <definedName name="IQ_INSIDER_AMOUNT">"c238"</definedName>
    <definedName name="IQ_INSIDER_LOANS_FDIC">"c6365"</definedName>
    <definedName name="IQ_INSTITUTIONAL_AMOUNT">"c236"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RE_LOANS_DOM_FFIEC">"c15353"</definedName>
    <definedName name="IQ_INT_FEE_INC_TAX_EXEMPT_OBLIGATIONS_DOM_FFIEC">"c15362"</definedName>
    <definedName name="IQ_INT_FEE_INC_TAXABLE_OBLIGATIONS_DOM_FFIEC">"c15361"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AVINGS_DEPOSITS_MMDA_DOM_FFIEC">"c15364"</definedName>
    <definedName name="IQ_INT_SUB_NOTES_FDIC">"c6568"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EREST_ACCRUED_ON_DEPOSITS_DOM_FFIEC">"c15277"</definedName>
    <definedName name="IQ_INTEREST_BEARING_BALANCES_FDIC">"c6371"</definedName>
    <definedName name="IQ_INTEREST_BEARING_BALANCES_QUARTERLY_AVG_FFIEC">"c15467"</definedName>
    <definedName name="IQ_INTEREST_BEARING_CASH_FFIEC">"c15259"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BEARING_TRANS_DOM_QUARTERLY_AVG_FFIEC">"c15484"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RATE_CONTRACTS_FDIC">"c6512"</definedName>
    <definedName name="IQ_INTEREST_RATE_EXPOSURES_FDIC">"c6662"</definedName>
    <definedName name="IQ_INTERNAL_ALLOCATIONS_INC_EXP_FOREIGN_FFIEC">"c15394"</definedName>
    <definedName name="IQ_INV_REL_ID">"c15220"</definedName>
    <definedName name="IQ_INV_REL_NAME">"c15219"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UED_GUARANTEED_US_FDIC">"c6404"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QUARTERLY_AVG_FFIEC">"c15483"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OAN_COMMITMENTS_REVOLVING_FDIC">"c6524"</definedName>
    <definedName name="IQ_LOAN_LOSS_ALLOW_FDIC">"c6326"</definedName>
    <definedName name="IQ_LOAN_LOSS_ALLOWANCE_NONCURRENT_LOANS_FDIC">"c6740"</definedName>
    <definedName name="IQ_LOAN_LOSS_PROVISION_FOREIGN_FFIEC">"c15382"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SS_ALLOWANCE_LOANS_FDIC">"c6739"</definedName>
    <definedName name="IQ_LT_DEBT_BR">"c676"</definedName>
    <definedName name="IQ_LT_DEBT_ISSUED_BR">"c683"</definedName>
    <definedName name="IQ_LT_DEBT_REPAID_BR">"c691"</definedName>
    <definedName name="IQ_LT_INVEST_BR">"c698"</definedName>
    <definedName name="IQ_LT_SENIOR_DEBT">"c702"</definedName>
    <definedName name="IQ_LT_SUB_DEBT">"c703"</definedName>
    <definedName name="IQ_LTM">2000</definedName>
    <definedName name="IQ_LTM_DATE">"IQ_LTM_DATE"</definedName>
    <definedName name="IQ_LTMMONTH">120000</definedName>
    <definedName name="IQ_MATURITY_ONE_YEAR_LESS_FDIC">"c6425"</definedName>
    <definedName name="IQ_MBS_QUARTERLY_AVG_FFIEC">"c15471"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RGER_BR">"c715"</definedName>
    <definedName name="IQ_MERGER_RESTRUCTURE_BR">"c721"</definedName>
    <definedName name="IQ_MINORITY_INTEREST_BR">"c729"</definedName>
    <definedName name="IQ_MMDA_NON_TRANS_ACCTS_FFIEC">"c15330"</definedName>
    <definedName name="IQ_MONEY_MARKET_DEPOSIT_ACCOUNTS_FDIC">"c6553"</definedName>
    <definedName name="IQ_MONTH">15000</definedName>
    <definedName name="IQ_MORTGAGE_BACKED_SECURITIES_FDIC">"c6402"</definedName>
    <definedName name="IQ_MORTGAGE_DEBT_UNDER_CAPITAL_LEASES_FFIEC">"c15276"</definedName>
    <definedName name="IQ_MORTGAGE_SERVICING_FDIC">"c6335"</definedName>
    <definedName name="IQ_MTD">800000</definedName>
    <definedName name="IQ_MULTIFAMILY_RES_DOM_FFIEC">"c15270"</definedName>
    <definedName name="IQ_MULTIFAMILY_RESIDENTIAL_LOANS_FDIC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NAMES">41085.2537615741</definedName>
    <definedName name="IQ_NAMES_REVISION_DATE_">41078.6479282407</definedName>
    <definedName name="IQ_NAV_ACT_OR_EST">"c2225"</definedName>
    <definedName name="IQ_NET_BOOKING_LOCATION_ADJUSTMENT_FOREIGN_FFIEC">"c15385"</definedName>
    <definedName name="IQ_NET_CHARGE_OFFS_FDIC">"c6641"</definedName>
    <definedName name="IQ_NET_CHARGE_OFFS_LOANS_FDIC">"c6751"</definedName>
    <definedName name="IQ_NET_DEBT_ISSUED_BR">"c753"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_10K">"IQ_NET_INC_10K"</definedName>
    <definedName name="IQ_NET_INC_10Q">"IQ_NET_INC_10Q"</definedName>
    <definedName name="IQ_NET_INC_10Q1">"IQ_NET_INC_10Q1"</definedName>
    <definedName name="IQ_NET_INC_GROWTH_1">"IQ_NET_INC_GROWTH_1"</definedName>
    <definedName name="IQ_NET_INC_GROWTH_2">"IQ_NET_INC_GROWTH_2"</definedName>
    <definedName name="IQ_NET_INCOME_FDIC">"c6587"</definedName>
    <definedName name="IQ_NET_INT_INC_BNK_FDIC">"c6570"</definedName>
    <definedName name="IQ_NET_INT_INC_BR">"c765"</definedName>
    <definedName name="IQ_NET_INTEREST_INC_INTERNATIONAL_OPS_FFIEC">"c15375"</definedName>
    <definedName name="IQ_NET_INTEREST_MARGIN_FDIC">"c6726"</definedName>
    <definedName name="IQ_NET_LOANS_LEASES_CORE_DEPOSITS_FDIC">"c6743"</definedName>
    <definedName name="IQ_NET_LOANS_LEASES_DEPOSITS_FDIC">"c6742"</definedName>
    <definedName name="IQ_NET_NONINTEREST_INC_EXP_INTERNATIONAL_OPS_FFIEC">"c15387"</definedName>
    <definedName name="IQ_NET_OPERATING_INCOME_ASSETS_FDIC">"c6729"</definedName>
    <definedName name="IQ_NET_SECURITIZATION_INC_FOREIGN_FFIEC">"c15379"</definedName>
    <definedName name="IQ_NET_SECURITIZATION_INCOME_FDIC">"c6669"</definedName>
    <definedName name="IQ_NET_SERVICING_FEES_FDIC">"c6668"</definedName>
    <definedName name="IQ_NI_BANK_AND_NONCONTROLLING_INTEREST_FFIEC">"c15365"</definedName>
    <definedName name="IQ_NI_BEFORE_INTERNAL_ALLOCATIONS_FOREIGN_FFIEC">"c15393"</definedName>
    <definedName name="IQ_NI_NON_CONTROLLING_INTERESTS_FFIEC">"c15366"</definedName>
    <definedName name="IQ_NON_ACCRUAL_ASSET_SOLD_DURING_QTR_FFIEC">"c15350"</definedName>
    <definedName name="IQ_NON_INT_EXP_FDIC">"c6579"</definedName>
    <definedName name="IQ_NON_INT_INC_FDIC">"c6575"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FARM_NONRES_DOM_FFIEC">"c15271"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_FOREIGN_FFIEC">"c15376"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TM">6000</definedName>
    <definedName name="IQ_NUMBER_DEPOSITS_LESS_THAN_100K_FDIC">"c6495"</definedName>
    <definedName name="IQ_NUMBER_DEPOSITS_MORE_THAN_100K_FDIC">"c6493"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>"c6447"</definedName>
    <definedName name="IQ_OBLIGATIONS_STATES_FDIC">"c6431"</definedName>
    <definedName name="IQ_OG_TOTAL_OIL_PRODUCTON">"c2059"</definedName>
    <definedName name="IQ_OPENED55">1</definedName>
    <definedName name="IQ_OPER_INC_BR">"c850"</definedName>
    <definedName name="IQ_OPTIONS_OS">"c858"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FOREIGN_FFIEC">"c15273"</definedName>
    <definedName name="IQ_OREO_MULTI_FAMILY_RESIDENTIAL_FDIC">"c6455"</definedName>
    <definedName name="IQ_OTHER_AMORT_BR">"c5566"</definedName>
    <definedName name="IQ_OTHER_ASSETS_BR">"c862"</definedName>
    <definedName name="IQ_OTHER_ASSETS_FDIC">"c6338"</definedName>
    <definedName name="IQ_OTHER_BORROWED_FUNDS_FDIC">"c6345"</definedName>
    <definedName name="IQ_OTHER_BORROWED_MONEY_FAIR_VALUE_TOT_FFIEC">"c15409"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CA_SUPPL_BR">"c871"</definedName>
    <definedName name="IQ_OTHER_CL_SUPPL_BR">"c880"</definedName>
    <definedName name="IQ_OTHER_COMPREHENSIVE_INCOME_FDIC">"c6503"</definedName>
    <definedName name="IQ_OTHER_DEBT_SECURITIES_QUARTERLY_AVG_FFIEC">"c15473"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>"c888"</definedName>
    <definedName name="IQ_OTHER_FINANCE_ACT_BR">"c895"</definedName>
    <definedName name="IQ_OTHER_FINANCE_ACT_SUPPL_BR">"c901"</definedName>
    <definedName name="IQ_OTHER_IBF_DEPOSIT_LIABILITIES_FFIEC">"c15301"</definedName>
    <definedName name="IQ_OTHER_INDIVIDUAL_FAMILY_DOM_QUARTERLY_AVG_FFIEC">"c15481"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T_ASSETS_BR">"c948"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INTEREST_INC_FOREIGN_FFIEC">"c15380"</definedName>
    <definedName name="IQ_OTHER_OFF_BS_LIAB_FDIC">"c6533"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V_BR">"c1011"</definedName>
    <definedName name="IQ_OTHER_REV_SUPPL_BR">"c1016"</definedName>
    <definedName name="IQ_OTHER_SAVINGS_DEPOSITS_FDIC">"c6554"</definedName>
    <definedName name="IQ_OTHER_SAVINGS_DEPOSITS_NON_TRANS_ACCTS_FFIEC">"c15331"</definedName>
    <definedName name="IQ_OTHER_SECURITIES_QUARTERLY_AVG_FFIEC">"c15472"</definedName>
    <definedName name="IQ_OTHER_TRADING_ASSETS_FAIR_VALUE_TOT_FFIEC">"c15404"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LIABILITIES_FAIR_VALUE_TOT_FFIEC">"c15408"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>"c6504"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>"c6530"</definedName>
    <definedName name="IQ_OTHER_UNUSUAL_BR">"c1561"</definedName>
    <definedName name="IQ_OTHER_UNUSUAL_SUPPL_BR">"c1496"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BV_FWD">"c15235"</definedName>
    <definedName name="IQ_PC_WRITTEN">"c1027"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FLOAT">"c227"</definedName>
    <definedName name="IQ_PERCENT_INSURED_FDIC">"c6374"</definedName>
    <definedName name="IQ_PLEDGED_SECURITIES_FDIC">"c6401"</definedName>
    <definedName name="IQ_PRE_TAX_INCOME_FDIC">"c6581"</definedName>
    <definedName name="IQ_PREF_ISSUED_BR">"c1047"</definedName>
    <definedName name="IQ_PREF_OTHER_BR">"c1055"</definedName>
    <definedName name="IQ_PREF_REP_BR">"c1062"</definedName>
    <definedName name="IQ_PREFERRED_DEPOSITS_FFIEC">"c15312"</definedName>
    <definedName name="IQ_PREFERRED_FDIC">"c6349"</definedName>
    <definedName name="IQ_PREMISES_EQUIPMENT_FDIC">"c6577"</definedName>
    <definedName name="IQ_PRESIDENT_ID">"c15216"</definedName>
    <definedName name="IQ_PRESIDENT_NAME">"c15215"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AFTER_CAP_ALLOCATION_FOREIGN_FFIEC">"c15390"</definedName>
    <definedName name="IQ_PRETAX_INC_BEFORE_CAP_ALLOCATION_FOREIGN_FFIEC">"c15388"</definedName>
    <definedName name="IQ_PRETAX_RETURN_ASSETS_FDIC">"c6731"</definedName>
    <definedName name="IQ_PRICE_OVER_EPS_EST">"IQ_PRICE_OVER_EPS_EST"</definedName>
    <definedName name="IQ_PRICE_OVER_EPS_EST_1">"IQ_PRICE_OVER_EPS_EST_1"</definedName>
    <definedName name="IQ_PRICEDATETIME">"IQ_PRICEDATETIME"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DIRECT_FAX">"c15166"</definedName>
    <definedName name="IQ_PROFESSIONAL_DIRECT_PHONE">"c15165"</definedName>
    <definedName name="IQ_PROFESSIONAL_EMAIL">"c15167"</definedName>
    <definedName name="IQ_PROFESSIONAL_MAIN_FAX">"c15164"</definedName>
    <definedName name="IQ_PROFESSIONAL_MAIN_PHONE">"c15163"</definedName>
    <definedName name="IQ_PROFESSIONAL_OFFICE_ADDRESS">"c15162"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RE_FORECLOSURE_FDIC">"c6332"</definedName>
    <definedName name="IQ_RE_INVEST_FDIC">"c6331"</definedName>
    <definedName name="IQ_RE_LOANS_DOM_QUARTERLY_AVG_FFIEC">"c15476"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LATED_PLANS_FDIC">"c6320"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INGS_AVERAGE_EQUITY_FDIC">"c6733"</definedName>
    <definedName name="IQ_RETURN_ASSETS_BROK">"c1115"</definedName>
    <definedName name="IQ_RETURN_ASSETS_FDIC">"c6730"</definedName>
    <definedName name="IQ_RETURN_EQUITY_BROK">"c1120"</definedName>
    <definedName name="IQ_RETURN_EQUITY_FDIC">"c6732"</definedName>
    <definedName name="IQ_REV_BEFORE_LOAN_LOSS_FOREIGN_FFIEC">"c15381"</definedName>
    <definedName name="IQ_REVALUATION_GAINS_FDIC">"c6428"</definedName>
    <definedName name="IQ_REVALUATION_LOSSES_FDIC">"c6429"</definedName>
    <definedName name="IQ_REVENUE_10K">"IQ_REVENUE_10K"</definedName>
    <definedName name="IQ_REVENUE_10Q">"IQ_REVENUE_10Q"</definedName>
    <definedName name="IQ_REVENUE_10Q1">"IQ_REVENUE_10Q1"</definedName>
    <definedName name="IQ_REVENUE_EST_1">"IQ_REVENUE_EST_1"</definedName>
    <definedName name="IQ_REVENUE_GROWTH_1">"IQ_REVENUE_GROWTH_1"</definedName>
    <definedName name="IQ_REVENUE_GROWTH_2">"IQ_REVENUE_GROWTH_2"</definedName>
    <definedName name="IQ_REVOLVING_SECURED_1_4_NON_ACCRUAL_FFIEC">"c13314"</definedName>
    <definedName name="IQ_RISK_WEIGHTED_ASSETS_FDIC">"c6370"</definedName>
    <definedName name="IQ_SALARY_FDIC">"c6576"</definedName>
    <definedName name="IQ_SALE_CONVERSION_ACQUISITION_NET_COMMON_FFIEC">"c15351"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AVINGS_DEPOSITS_NON_TRANS_ACCTS_FFIEC">"c15329"</definedName>
    <definedName name="IQ_SAVINGS_DEPOSITS_QUARTERLY_AVG_FFIEC">"c15485"</definedName>
    <definedName name="IQ_SEC_OTHER_NONFARM_NONRES_NON_ACCRUAL_FFIEC">"c15462"</definedName>
    <definedName name="IQ_SEC_OWNER_NONFARM_NONRES_NON_ACCRUAL_FFIEC">"c15461"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STATE_POLI_SUBD_QUARTERLY_AVG_FFIEC">"c15470"</definedName>
    <definedName name="IQ_SECURITIES_UNDERWRITING_FDIC">"c6529"</definedName>
    <definedName name="IQ_SECURITY_ACTIVE_STATUS">"c15160"</definedName>
    <definedName name="IQ_SECURITY_NAME">"c15159"</definedName>
    <definedName name="IQ_SERVICE_CHARGES_FDIC">"c6572"</definedName>
    <definedName name="IQ_SHAREOUTSTANDING">"c1347"</definedName>
    <definedName name="IQ_SHORT_INTEREST_VOLUME">"c228"</definedName>
    <definedName name="IQ_SPECIAL_DIV_CF_BR">"c1171"</definedName>
    <definedName name="IQ_SPECIFIC_ALLOWANCE">"c15247"</definedName>
    <definedName name="IQ_ST_DEBT_BR">"c1178"</definedName>
    <definedName name="IQ_ST_DEBT_ISSUED_BR">"c1183"</definedName>
    <definedName name="IQ_ST_DEBT_REPAID_BR">"c1191"</definedName>
    <definedName name="IQ_STANDBY_LOC_FHLB_BANK_BEHALF_OFF_BS_FFIEC">"c15412"</definedName>
    <definedName name="IQ_STATES_NONTRANSACTION_ACCOUNTS_FDIC">"c6547"</definedName>
    <definedName name="IQ_STATES_POLI_SUBD_US_NON_TRANS_ACCTS_FFIEC">"c15324"</definedName>
    <definedName name="IQ_STATES_POLI_SUBD_US_TRANS_ACCTS_FFIEC">"c15316"</definedName>
    <definedName name="IQ_STATES_TOTAL_DEPOSITS_FDIC">"c6473"</definedName>
    <definedName name="IQ_STATES_TRANSACTION_ACCOUNTS_FDIC">"c6539"</definedName>
    <definedName name="IQ_SUB_DEBT_FDIC">"c6346"</definedName>
    <definedName name="IQ_SUB_NOTES_DEBENTURES_FAIR_VALUE_TOT_FFIEC">"c15410"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RPLUS_FDIC">"c6351"</definedName>
    <definedName name="IQ_SYNTHETIC_STRUCTURED_PRODUCTS_AVAIL_SALE_FFIEC">"c15264"</definedName>
    <definedName name="IQ_SYNTHETIC_STRUCTURED_PRODUCTS_FFIEC">"c15261"</definedName>
    <definedName name="IQ_TEMPLATE_BS">"c1211"</definedName>
    <definedName name="IQ_TEMPLATE_CF">"c1212"</definedName>
    <definedName name="IQ_TEMPLATE_IS">"c1213"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ER_TWO_CAPITAL_RATIO">"c15241"</definedName>
    <definedName name="IQ_TIME_DEPOSIT_LESS_100000_QUARTERLY_AVG_FFIEC">"c15487"</definedName>
    <definedName name="IQ_TIME_DEPOSIT_MORE_100000_QUARTERLY_AVG_FFIEC">"c15486"</definedName>
    <definedName name="IQ_TIME_DEPOSITS_LESS_THAN_100K_FDIC">"c6465"</definedName>
    <definedName name="IQ_TIME_DEPOSITS_MORE_THAN_100K_FDIC">"c6470"</definedName>
    <definedName name="IQ_TODAY">0</definedName>
    <definedName name="IQ_TOTAL_AR_BR">"c1231"</definedName>
    <definedName name="IQ_TOTAL_ASSETS_FAIR_VALUE_TOT_FFIEC">"c15405"</definedName>
    <definedName name="IQ_TOTAL_ASSETS_FDIC">"c6339"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BROKERED_DEPOSIT_FFIEC">"c15304"</definedName>
    <definedName name="IQ_TOTAL_CASH_DUE_DEPOSITORY_INSTIT_DOM_FFIEC">"c15291"</definedName>
    <definedName name="IQ_TOTAL_CASH_DUE_DEPOSITORY_INSTIT_FFIEC">"c15285"</definedName>
    <definedName name="IQ_TOTAL_CHARGE_OFFS_FDIC">"c6603"</definedName>
    <definedName name="IQ_TOTAL_DEBT_ISSUED_BR">"c1253"</definedName>
    <definedName name="IQ_TOTAL_DEBT_REPAID_BR">"c1260"</definedName>
    <definedName name="IQ_TOTAL_DEBT_SECURITIES_FDIC">"c6410"</definedName>
    <definedName name="IQ_TOTAL_DEPOSITS_DOM_FFIEC">"c15313"</definedName>
    <definedName name="IQ_TOTAL_DEPOSITS_FDIC">"c6342"</definedName>
    <definedName name="IQ_TOTAL_DEPOSITS_SUPPLE">"c15253"</definedName>
    <definedName name="IQ_TOTAL_EMPLOYEES_FDIC">"c6355"</definedName>
    <definedName name="IQ_TOTAL_EQUITY_INCL_MINORITY_INTEREST_FFIEC">"c15278"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EREST_EXP_FOREIGN_FFIEC">"c15374"</definedName>
    <definedName name="IQ_TOTAL_INTEREST_INC_FOREIGN_FFIEC">"c15373"</definedName>
    <definedName name="IQ_TOTAL_IRA_KEOGH_PLAN_ACCOUNTS_FFIEC">"c15303"</definedName>
    <definedName name="IQ_TOTAL_LIAB_BR">"c1278"</definedName>
    <definedName name="IQ_TOTAL_LIAB_EQUITY_FDIC">"c6354"</definedName>
    <definedName name="IQ_TOTAL_LIABILITIES_FAIR_VALUE_TOT_FFIEC">"c15411"</definedName>
    <definedName name="IQ_TOTAL_LIABILITIES_FDIC">"c6348"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PENSION_OBLIGATION">"c1292"</definedName>
    <definedName name="IQ_TOTAL_RECOVERIES_FDIC">"c6622"</definedName>
    <definedName name="IQ_TOTAL_REV_BNK_FDIC">"c6786"</definedName>
    <definedName name="IQ_TOTAL_REV_BR">"c1303"</definedName>
    <definedName name="IQ_TOTAL_REVENUE_FOREIGN_FFIEC">"c15383"</definedName>
    <definedName name="IQ_TOTAL_RISK_BASED_CAPITAL_RATIO_FDIC">"c6747"</definedName>
    <definedName name="IQ_TOTAL_SECURITIES_FDIC">"c6306"</definedName>
    <definedName name="IQ_TOTAL_TIME_DEPOSITS_FDIC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>"c6498"</definedName>
    <definedName name="IQ_TOTAL_TRADING_LIAB_FOREIGN_FFIEC">"c15296"</definedName>
    <definedName name="IQ_TOTAL_TRANS_ACCTS_FFIEC">"c15321"</definedName>
    <definedName name="IQ_TOTAL_UNUSAL">"c1308"</definedName>
    <definedName name="IQ_TOTAL_UNUSED_COMMITMENTS_FDIC">"c6536"</definedName>
    <definedName name="IQ_TOTAL_UNUSUAL_BR">"c5517"</definedName>
    <definedName name="IQ_TRADING_ACCOUNT_GAINS_FEES_FDIC">"c6573"</definedName>
    <definedName name="IQ_TRADING_ASSETS_FDIC">"c6328"</definedName>
    <definedName name="IQ_TRADING_LIABILITIES_FDIC">"c6344"</definedName>
    <definedName name="IQ_TRADING_REV_FOREIGN_FFIEC">"c15377"</definedName>
    <definedName name="IQ_TRANSACTION_ACCOUNTS_FDIC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_OTHER_EQUITY_BR">"c1314"</definedName>
    <definedName name="IQ_TREASURY_STOCK_TRANSACTIONS_FDIC">"c6501"</definedName>
    <definedName name="IQ_TREASURY_STOCK_TRANSACTIONS_FFIEC">"c15352"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USED_LOAN_COMMITMENTS_FDIC">"c6368"</definedName>
    <definedName name="IQ_US_BANKS_OTHER_INST_FOREIGN_DEP_FFIEC">"c15343"</definedName>
    <definedName name="IQ_US_BRANCHES_FOREIGN_BANK_LOANS_FDIC">"c6435"</definedName>
    <definedName name="IQ_US_BRANCHES_FOREIGN_BANKS_FDIC">"c6390"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TREASURY_SECURITIES_FDIC">"c6298"</definedName>
    <definedName name="IQ_UST_SEC_GOVT_AGENCY_CORP_QUARTERLY_AVG_FFIEC">"c15469"</definedName>
    <definedName name="IQ_UST_SECURITIES_GOVT_AGENCY_QUARTERLY_AVG_FFIEC">"c15468"</definedName>
    <definedName name="IQ_VALUATION_ALLOWANCES_FDIC">"c6400"</definedName>
    <definedName name="IQ_VC_REVENUE_FDIC">"c6667"</definedName>
    <definedName name="IQ_VEHICLE_LOANS">"c15249"</definedName>
    <definedName name="IQ_VOLATILE_LIABILITIES_FDIC">"c6364"</definedName>
    <definedName name="IQ_WEEK">50000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YTD">3000</definedName>
    <definedName name="IQ_YTDMONTH">130000</definedName>
    <definedName name="IQB_BOOKMARK_COUNT">2</definedName>
    <definedName name="IQB_CURRENT_BOOKMARK">0</definedName>
    <definedName name="IQRAC36">"$AD$36:$AF$36"</definedName>
    <definedName name="IQRAC37">"$AD$37:$AF$37"</definedName>
    <definedName name="IQRAC38">"$AD$38:$AH$38"</definedName>
    <definedName name="IQRAC39">"$AD$39"</definedName>
    <definedName name="IQRAC43">"$AD$43:$AE$43"</definedName>
    <definedName name="IQRAC44">"$AD$44:$AF$44"</definedName>
    <definedName name="IQRAC45">"$AD$45:$AF$45"</definedName>
    <definedName name="IQRAC46">"$AD$46"</definedName>
    <definedName name="IQRAC47">"$AD$47:$AH$47"</definedName>
    <definedName name="IQRAC48">"$AD$48:$AG$48"</definedName>
    <definedName name="IQRAC49">"$AD$49"</definedName>
    <definedName name="IQRAC50">"$AD$50"</definedName>
    <definedName name="IQRAC51">"$AD$51:$AH$51"</definedName>
    <definedName name="IQRAC52">"$AD$52:$AH$52"</definedName>
    <definedName name="IQRAF17">"$AF$18:$AF$269"</definedName>
    <definedName name="IQRB2">"$B$3:$B$505"</definedName>
    <definedName name="IQRB4">"$B$5:$B$507"</definedName>
    <definedName name="IQRB5">"$B$6"</definedName>
    <definedName name="IQRC5">"$C$6:$C$508"</definedName>
    <definedName name="IQRD5">"$D$6:$D$508"</definedName>
    <definedName name="IQRE5">"$E$6:$E$508"</definedName>
    <definedName name="IQRF5">"$F$6:$F$508"</definedName>
    <definedName name="IQRG21">"$H$21:$J$21"</definedName>
    <definedName name="IQRG22">"$H$22:$L$22"</definedName>
    <definedName name="IQRG36">"$H$36:$L$36"</definedName>
    <definedName name="IQRG5">"$G$6:$G$508"</definedName>
    <definedName name="IQRH5">"$H$6:$H$508"</definedName>
    <definedName name="IQRI5">"$I$6:$I$508"</definedName>
    <definedName name="IQRJ5">"$J$6:$J$508"</definedName>
    <definedName name="IQRK5">"$K$6:$K$508"</definedName>
    <definedName name="IQRL5">"$L$6:$L$508"</definedName>
    <definedName name="IQRM105">"$M$106:$M$108"</definedName>
    <definedName name="IQRM11">"$M$12"</definedName>
    <definedName name="IQRM111">"$M$112"</definedName>
    <definedName name="IQRM117">"$M$118"</definedName>
    <definedName name="IQRM122">"$M$123"</definedName>
    <definedName name="IQRM123">"$M$124"</definedName>
    <definedName name="IQRM129">"$M$130"</definedName>
    <definedName name="IQRM135">"$M$136"</definedName>
    <definedName name="IQRM17">"$M$18"</definedName>
    <definedName name="IQRM23">"$M$24"</definedName>
    <definedName name="IQRM29">"$M$30"</definedName>
    <definedName name="IQRM35">"$M$36"</definedName>
    <definedName name="IQRM41">"$M$42"</definedName>
    <definedName name="IQRM5">"$M$6"</definedName>
    <definedName name="IQRM53">"$M$54"</definedName>
    <definedName name="IQRM59">"$M$60:$M$62"</definedName>
    <definedName name="IQRM65">"$M$66:$M$68"</definedName>
    <definedName name="IQRM71">"$M$72"</definedName>
    <definedName name="IQRM77">"$M$78"</definedName>
    <definedName name="IQRM83">"$M$84"</definedName>
    <definedName name="IQRM89">"$M$90"</definedName>
    <definedName name="IQRM99">"$M$100"</definedName>
    <definedName name="IQRN5">"$N$6:$N$508"</definedName>
    <definedName name="IQRO5">"$O$6:$O$508"</definedName>
    <definedName name="IQRP5">"$P$6:$P$508"</definedName>
    <definedName name="IQRQ5">"$Q$6:$Q$508"</definedName>
    <definedName name="IsColHidden">FALSE</definedName>
    <definedName name="IsLTMColHidden">FALSE</definedName>
    <definedName name="Name">'[7]LBO Summary'!$1:$1048576</definedName>
    <definedName name="sadfaf">"c118"</definedName>
    <definedName name="sdfa">"c275"</definedName>
    <definedName name="sdfdsaf">"c333"</definedName>
    <definedName name="sdff">"c301"</definedName>
    <definedName name="sdfs">"c147"</definedName>
    <definedName name="sdfsdf">"c261"</definedName>
    <definedName name="sdfsf">"c226"</definedName>
    <definedName name="sdksd">"c115"</definedName>
    <definedName name="sencount">1</definedName>
    <definedName name="sfas">"c274"</definedName>
    <definedName name="sfd">{"fdsup://directions/FAT Viewer?action=UPDATE&amp;creator=factset&amp;DYN_ARGS=TRUE&amp;DOC_NAME=FAT:FQL_AUDITING_CLIENT_TEMPLATE.FAT&amp;display_string=Audit&amp;VAR:KEY=ZOVKJMRYDO&amp;VAR:QUERY=SlVMSUFOKElDX0VTVElNQVRFKEVQUygpLE1FQU4sQU5OX1JPTEwsKzEsMCkuZGF0ZXMp&amp;WINDOW=FIRST_POP","UP&amp;HEIGHT=450&amp;WIDTH=450&amp;START_MAXIMIZED=FALSE&amp;VAR:CALENDAR=US&amp;VAR:SYMBOL=MDCO&amp;VAR:INDEX=0"}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xxxx">'[18]UNIVERSE-AF'!$A$4:$P$38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20" l="1"/>
  <c r="F76" i="20"/>
  <c r="F70" i="20"/>
  <c r="F74" i="20"/>
  <c r="F72" i="20"/>
  <c r="F73" i="20"/>
  <c r="E69" i="20"/>
  <c r="O31" i="20"/>
  <c r="O30" i="20"/>
  <c r="D37" i="20"/>
  <c r="D13" i="20"/>
  <c r="D23" i="20"/>
  <c r="D14" i="8"/>
  <c r="Q12" i="7"/>
  <c r="H20" i="19"/>
  <c r="Q68" i="20"/>
  <c r="N29" i="3"/>
  <c r="P68" i="20"/>
  <c r="O68" i="20" s="1"/>
  <c r="N68" i="20" s="1"/>
  <c r="R68" i="20"/>
  <c r="S68" i="20" s="1"/>
  <c r="T68" i="20" s="1"/>
  <c r="M75" i="20"/>
  <c r="M76" i="20" s="1"/>
  <c r="M77" i="20" s="1"/>
  <c r="M78" i="20" s="1"/>
  <c r="M79" i="20" s="1"/>
  <c r="M73" i="20"/>
  <c r="M72" i="20" s="1"/>
  <c r="M71" i="20" s="1"/>
  <c r="M70" i="20" s="1"/>
  <c r="M69" i="20" s="1"/>
  <c r="J31" i="8"/>
  <c r="H31" i="8"/>
  <c r="G12" i="26"/>
  <c r="H12" i="26"/>
  <c r="I12" i="26"/>
  <c r="J12" i="26"/>
  <c r="K12" i="26"/>
  <c r="F12" i="26"/>
  <c r="G10" i="26"/>
  <c r="H10" i="26"/>
  <c r="I10" i="26"/>
  <c r="J10" i="26"/>
  <c r="K10" i="26"/>
  <c r="F10" i="26"/>
  <c r="D24" i="7"/>
  <c r="D11" i="7"/>
  <c r="E29" i="20"/>
  <c r="O21" i="20"/>
  <c r="O20" i="20"/>
  <c r="O22" i="20" s="1"/>
  <c r="O13" i="20"/>
  <c r="O15" i="20" s="1"/>
  <c r="O12" i="20"/>
  <c r="T50" i="20" s="1"/>
  <c r="O38" i="20"/>
  <c r="J46" i="8"/>
  <c r="E44" i="8"/>
  <c r="E40" i="8"/>
  <c r="J42" i="8"/>
  <c r="D16" i="7"/>
  <c r="D11" i="8"/>
  <c r="I60" i="21"/>
  <c r="H62" i="21"/>
  <c r="J62" i="21"/>
  <c r="K62" i="21"/>
  <c r="L62" i="21"/>
  <c r="M62" i="21"/>
  <c r="N62" i="21"/>
  <c r="I62" i="21"/>
  <c r="V29" i="26"/>
  <c r="U29" i="26"/>
  <c r="T29" i="26"/>
  <c r="S29" i="26"/>
  <c r="R29" i="26"/>
  <c r="Q29" i="26"/>
  <c r="D64" i="21"/>
  <c r="E64" i="21"/>
  <c r="F64" i="21"/>
  <c r="G64" i="21"/>
  <c r="H64" i="21"/>
  <c r="N60" i="21"/>
  <c r="J60" i="21"/>
  <c r="C59" i="21"/>
  <c r="C51" i="21"/>
  <c r="C64" i="21" s="1"/>
  <c r="K60" i="21"/>
  <c r="L60" i="21"/>
  <c r="M60" i="21"/>
  <c r="F40" i="26"/>
  <c r="G40" i="26"/>
  <c r="H40" i="26"/>
  <c r="I40" i="26"/>
  <c r="J40" i="26"/>
  <c r="K40" i="26"/>
  <c r="F45" i="26"/>
  <c r="G45" i="26"/>
  <c r="H45" i="26"/>
  <c r="I45" i="26"/>
  <c r="J45" i="26"/>
  <c r="K45" i="26"/>
  <c r="V19" i="26"/>
  <c r="U19" i="26"/>
  <c r="T19" i="26"/>
  <c r="S19" i="26"/>
  <c r="R19" i="26"/>
  <c r="Q19" i="26"/>
  <c r="E24" i="3"/>
  <c r="E23" i="3"/>
  <c r="E20" i="3"/>
  <c r="E19" i="3"/>
  <c r="E15" i="3"/>
  <c r="E14" i="3"/>
  <c r="E11" i="3"/>
  <c r="K35" i="3"/>
  <c r="E29" i="3"/>
  <c r="G29" i="3"/>
  <c r="D29" i="3"/>
  <c r="F24" i="26"/>
  <c r="Q24" i="26"/>
  <c r="I56" i="21" s="1"/>
  <c r="R24" i="26"/>
  <c r="J56" i="21" s="1"/>
  <c r="S24" i="26"/>
  <c r="T24" i="26"/>
  <c r="U24" i="26"/>
  <c r="V24" i="26"/>
  <c r="C73" i="21"/>
  <c r="D73" i="21"/>
  <c r="E73" i="21"/>
  <c r="F73" i="21"/>
  <c r="G73" i="21"/>
  <c r="H73" i="21"/>
  <c r="C70" i="21"/>
  <c r="D70" i="21"/>
  <c r="E70" i="21"/>
  <c r="F70" i="21"/>
  <c r="G70" i="21"/>
  <c r="H70" i="21"/>
  <c r="I40" i="21"/>
  <c r="J40" i="21" s="1"/>
  <c r="C39" i="21"/>
  <c r="D39" i="21"/>
  <c r="E39" i="21"/>
  <c r="F39" i="21"/>
  <c r="G39" i="21"/>
  <c r="H39" i="21"/>
  <c r="C34" i="21"/>
  <c r="D34" i="21"/>
  <c r="E34" i="21"/>
  <c r="F34" i="21"/>
  <c r="G34" i="21"/>
  <c r="H34" i="21"/>
  <c r="C25" i="21"/>
  <c r="D25" i="21"/>
  <c r="E25" i="21"/>
  <c r="F25" i="21"/>
  <c r="G25" i="21"/>
  <c r="H25" i="21"/>
  <c r="C23" i="21"/>
  <c r="C21" i="21"/>
  <c r="D21" i="21"/>
  <c r="E21" i="21"/>
  <c r="F21" i="21"/>
  <c r="G21" i="21"/>
  <c r="H21" i="21"/>
  <c r="D23" i="21"/>
  <c r="E23" i="21"/>
  <c r="F23" i="21"/>
  <c r="G23" i="21"/>
  <c r="H23" i="21"/>
  <c r="C15" i="21"/>
  <c r="C12" i="21"/>
  <c r="H15" i="21"/>
  <c r="G15" i="21"/>
  <c r="F15" i="21"/>
  <c r="E15" i="21"/>
  <c r="D15" i="21"/>
  <c r="C16" i="21"/>
  <c r="F19" i="25"/>
  <c r="F9" i="25"/>
  <c r="F14" i="25"/>
  <c r="C16" i="25"/>
  <c r="D16" i="25"/>
  <c r="D21" i="25"/>
  <c r="C21" i="25"/>
  <c r="C26" i="25"/>
  <c r="D26" i="25"/>
  <c r="E26" i="25"/>
  <c r="E21" i="25"/>
  <c r="C22" i="21"/>
  <c r="E16" i="25"/>
  <c r="D11" i="25"/>
  <c r="E11" i="25"/>
  <c r="C11" i="25"/>
  <c r="C12" i="19"/>
  <c r="E12" i="19"/>
  <c r="H12" i="19"/>
  <c r="G12" i="19"/>
  <c r="G17" i="19" s="1"/>
  <c r="F12" i="19"/>
  <c r="F13" i="19"/>
  <c r="H12" i="21"/>
  <c r="G12" i="21"/>
  <c r="G62" i="21" s="1"/>
  <c r="F12" i="21"/>
  <c r="F62" i="21" s="1"/>
  <c r="D12" i="21"/>
  <c r="D62" i="21" s="1"/>
  <c r="E12" i="21"/>
  <c r="E62" i="21" s="1"/>
  <c r="N74" i="21"/>
  <c r="M74" i="21"/>
  <c r="L74" i="21"/>
  <c r="K74" i="21"/>
  <c r="J74" i="21"/>
  <c r="I74" i="21"/>
  <c r="N71" i="21"/>
  <c r="M71" i="21"/>
  <c r="L71" i="21"/>
  <c r="K71" i="21"/>
  <c r="J71" i="21"/>
  <c r="I71" i="21"/>
  <c r="N56" i="21"/>
  <c r="M56" i="21"/>
  <c r="L56" i="21"/>
  <c r="K56" i="21"/>
  <c r="V14" i="26"/>
  <c r="N54" i="21" s="1"/>
  <c r="U14" i="26"/>
  <c r="M54" i="21" s="1"/>
  <c r="T14" i="26"/>
  <c r="L54" i="21" s="1"/>
  <c r="S14" i="26"/>
  <c r="K54" i="21" s="1"/>
  <c r="R14" i="26"/>
  <c r="J54" i="21" s="1"/>
  <c r="Q14" i="26"/>
  <c r="I54" i="21" s="1"/>
  <c r="V9" i="26"/>
  <c r="N52" i="21" s="1"/>
  <c r="U9" i="26"/>
  <c r="M52" i="21" s="1"/>
  <c r="T9" i="26"/>
  <c r="L52" i="21" s="1"/>
  <c r="S9" i="26"/>
  <c r="K52" i="21" s="1"/>
  <c r="R9" i="26"/>
  <c r="J52" i="21" s="1"/>
  <c r="Q9" i="26"/>
  <c r="I52" i="21" s="1"/>
  <c r="K24" i="26"/>
  <c r="N26" i="21" s="1"/>
  <c r="J24" i="26"/>
  <c r="M26" i="21" s="1"/>
  <c r="I24" i="26"/>
  <c r="L26" i="21" s="1"/>
  <c r="H24" i="26"/>
  <c r="K26" i="21" s="1"/>
  <c r="G24" i="26"/>
  <c r="J26" i="21" s="1"/>
  <c r="I26" i="21"/>
  <c r="K19" i="26"/>
  <c r="N24" i="21" s="1"/>
  <c r="J19" i="26"/>
  <c r="M24" i="21" s="1"/>
  <c r="I19" i="26"/>
  <c r="L24" i="21" s="1"/>
  <c r="H19" i="26"/>
  <c r="K24" i="21" s="1"/>
  <c r="G19" i="26"/>
  <c r="J24" i="21" s="1"/>
  <c r="F19" i="26"/>
  <c r="I24" i="21" s="1"/>
  <c r="K14" i="26"/>
  <c r="N22" i="21" s="1"/>
  <c r="J14" i="26"/>
  <c r="M22" i="21" s="1"/>
  <c r="I14" i="26"/>
  <c r="L22" i="21" s="1"/>
  <c r="H14" i="26"/>
  <c r="K22" i="21" s="1"/>
  <c r="G14" i="26"/>
  <c r="J22" i="21" s="1"/>
  <c r="F14" i="26"/>
  <c r="I22" i="21" s="1"/>
  <c r="K9" i="26"/>
  <c r="N16" i="21" s="1"/>
  <c r="J9" i="26"/>
  <c r="M16" i="21" s="1"/>
  <c r="I9" i="26"/>
  <c r="L16" i="21" s="1"/>
  <c r="H9" i="26"/>
  <c r="K16" i="21" s="1"/>
  <c r="G9" i="26"/>
  <c r="J16" i="21" s="1"/>
  <c r="F9" i="26"/>
  <c r="I16" i="21" s="1"/>
  <c r="K24" i="25"/>
  <c r="J24" i="25"/>
  <c r="L28" i="19" s="1"/>
  <c r="I24" i="25"/>
  <c r="K28" i="19" s="1"/>
  <c r="H24" i="25"/>
  <c r="J28" i="19" s="1"/>
  <c r="G24" i="25"/>
  <c r="I28" i="19" s="1"/>
  <c r="I27" i="19" s="1"/>
  <c r="F24" i="25"/>
  <c r="K19" i="25"/>
  <c r="M24" i="19" s="1"/>
  <c r="J19" i="25"/>
  <c r="L24" i="19" s="1"/>
  <c r="K24" i="19"/>
  <c r="H19" i="25"/>
  <c r="J24" i="19" s="1"/>
  <c r="G19" i="25"/>
  <c r="I24" i="19" s="1"/>
  <c r="I23" i="19" s="1"/>
  <c r="K14" i="25"/>
  <c r="M20" i="19" s="1"/>
  <c r="J14" i="25"/>
  <c r="L20" i="19" s="1"/>
  <c r="I14" i="25"/>
  <c r="K20" i="19" s="1"/>
  <c r="H14" i="25"/>
  <c r="J20" i="19" s="1"/>
  <c r="G14" i="25"/>
  <c r="I20" i="19" s="1"/>
  <c r="I19" i="19" s="1"/>
  <c r="K9" i="25"/>
  <c r="J9" i="25"/>
  <c r="L16" i="19" s="1"/>
  <c r="I9" i="25"/>
  <c r="K16" i="19" s="1"/>
  <c r="H9" i="25"/>
  <c r="J16" i="19" s="1"/>
  <c r="G9" i="25"/>
  <c r="I16" i="19" s="1"/>
  <c r="I15" i="19" s="1"/>
  <c r="N24" i="19"/>
  <c r="N20" i="19"/>
  <c r="F14" i="4"/>
  <c r="F13" i="4"/>
  <c r="E14" i="4"/>
  <c r="E13" i="4"/>
  <c r="D56" i="20"/>
  <c r="D50" i="20"/>
  <c r="D44" i="20"/>
  <c r="E31" i="20"/>
  <c r="E30" i="20"/>
  <c r="E28" i="20"/>
  <c r="K67" i="8"/>
  <c r="K68" i="8" s="1"/>
  <c r="K65" i="8"/>
  <c r="K64" i="8"/>
  <c r="O63" i="8"/>
  <c r="P63" i="8" s="1"/>
  <c r="M63" i="8"/>
  <c r="L63" i="8"/>
  <c r="E63" i="8"/>
  <c r="D63" i="8" s="1"/>
  <c r="G63" i="8"/>
  <c r="H63" i="8" s="1"/>
  <c r="C67" i="8"/>
  <c r="C68" i="8" s="1"/>
  <c r="C65" i="8"/>
  <c r="C64" i="8"/>
  <c r="E48" i="8"/>
  <c r="J44" i="8"/>
  <c r="K59" i="8"/>
  <c r="K60" i="8" s="1"/>
  <c r="K57" i="8"/>
  <c r="K56" i="8"/>
  <c r="O55" i="8"/>
  <c r="P55" i="8" s="1"/>
  <c r="M55" i="8"/>
  <c r="L55" i="8"/>
  <c r="C59" i="8"/>
  <c r="C60" i="8" s="1"/>
  <c r="C57" i="8"/>
  <c r="C56" i="8"/>
  <c r="G55" i="8"/>
  <c r="H55" i="8" s="1"/>
  <c r="E55" i="8"/>
  <c r="D55" i="8"/>
  <c r="E46" i="8"/>
  <c r="G31" i="8"/>
  <c r="I31" i="8" s="1"/>
  <c r="K31" i="8" s="1"/>
  <c r="Q32" i="3"/>
  <c r="P35" i="3"/>
  <c r="P34" i="3"/>
  <c r="P33" i="3"/>
  <c r="P32" i="3"/>
  <c r="P30" i="3"/>
  <c r="P29" i="3"/>
  <c r="O35" i="3"/>
  <c r="O34" i="3"/>
  <c r="O33" i="3"/>
  <c r="O32" i="3"/>
  <c r="N35" i="3"/>
  <c r="N34" i="3"/>
  <c r="N33" i="3"/>
  <c r="N32" i="3"/>
  <c r="K34" i="3"/>
  <c r="K33" i="3"/>
  <c r="K32" i="3"/>
  <c r="I35" i="3"/>
  <c r="I34" i="3"/>
  <c r="I33" i="3"/>
  <c r="I32" i="3"/>
  <c r="G35" i="3"/>
  <c r="F35" i="3"/>
  <c r="G34" i="3"/>
  <c r="F34" i="3"/>
  <c r="G33" i="3"/>
  <c r="F33" i="3"/>
  <c r="G32" i="3"/>
  <c r="F32" i="3"/>
  <c r="D34" i="3"/>
  <c r="D35" i="3"/>
  <c r="D33" i="3"/>
  <c r="D32" i="3"/>
  <c r="L24" i="7"/>
  <c r="L27" i="7"/>
  <c r="G76" i="21"/>
  <c r="F76" i="21"/>
  <c r="E76" i="21"/>
  <c r="D76" i="21"/>
  <c r="C76" i="21"/>
  <c r="K30" i="3"/>
  <c r="K29" i="3"/>
  <c r="F29" i="3"/>
  <c r="I29" i="3"/>
  <c r="O29" i="3"/>
  <c r="F30" i="3"/>
  <c r="G30" i="3"/>
  <c r="I30" i="3"/>
  <c r="N30" i="3"/>
  <c r="O30" i="3"/>
  <c r="D30" i="3"/>
  <c r="K40" i="21"/>
  <c r="H47" i="21"/>
  <c r="G47" i="21"/>
  <c r="F47" i="21"/>
  <c r="D47" i="21"/>
  <c r="C47" i="21"/>
  <c r="H46" i="21"/>
  <c r="G46" i="21"/>
  <c r="F46" i="21"/>
  <c r="E46" i="21"/>
  <c r="D46" i="21"/>
  <c r="C46" i="21"/>
  <c r="H26" i="21"/>
  <c r="G26" i="21"/>
  <c r="F26" i="21"/>
  <c r="E26" i="21"/>
  <c r="D26" i="21"/>
  <c r="C26" i="21"/>
  <c r="H24" i="21"/>
  <c r="G24" i="21"/>
  <c r="F24" i="21"/>
  <c r="E24" i="21"/>
  <c r="D24" i="21"/>
  <c r="C24" i="21"/>
  <c r="C27" i="21"/>
  <c r="E70" i="20" l="1"/>
  <c r="O16" i="20"/>
  <c r="T46" i="20"/>
  <c r="J29" i="20"/>
  <c r="D27" i="7"/>
  <c r="D15" i="8" s="1"/>
  <c r="C56" i="21"/>
  <c r="C62" i="21"/>
  <c r="D65" i="21"/>
  <c r="H35" i="21"/>
  <c r="G35" i="21"/>
  <c r="F35" i="21"/>
  <c r="I35" i="21" s="1"/>
  <c r="E35" i="21"/>
  <c r="D35" i="21"/>
  <c r="C35" i="21"/>
  <c r="G56" i="21"/>
  <c r="F56" i="21"/>
  <c r="E56" i="21"/>
  <c r="D56" i="21"/>
  <c r="H56" i="21"/>
  <c r="H71" i="21"/>
  <c r="G71" i="21"/>
  <c r="H74" i="21"/>
  <c r="Q30" i="3"/>
  <c r="Q29" i="3"/>
  <c r="Q33" i="3"/>
  <c r="Q34" i="3"/>
  <c r="Q35" i="3"/>
  <c r="L40" i="21"/>
  <c r="M40" i="21" s="1"/>
  <c r="N40" i="21" s="1"/>
  <c r="E17" i="21"/>
  <c r="E16" i="21"/>
  <c r="F22" i="21"/>
  <c r="F17" i="21"/>
  <c r="F16" i="21"/>
  <c r="G22" i="21"/>
  <c r="G16" i="21"/>
  <c r="D16" i="21"/>
  <c r="H16" i="21"/>
  <c r="I39" i="21"/>
  <c r="J39" i="21" s="1"/>
  <c r="K39" i="21" s="1"/>
  <c r="N16" i="19"/>
  <c r="M16" i="19"/>
  <c r="N28" i="19"/>
  <c r="M28" i="19"/>
  <c r="D12" i="19"/>
  <c r="G16" i="19"/>
  <c r="F17" i="19"/>
  <c r="H17" i="19"/>
  <c r="G13" i="19"/>
  <c r="H13" i="19"/>
  <c r="C17" i="19"/>
  <c r="E17" i="19"/>
  <c r="F16" i="19"/>
  <c r="H16" i="19"/>
  <c r="C21" i="19"/>
  <c r="D20" i="19"/>
  <c r="E21" i="19"/>
  <c r="E20" i="19"/>
  <c r="F21" i="19"/>
  <c r="F20" i="19"/>
  <c r="G21" i="19"/>
  <c r="G20" i="19"/>
  <c r="H21" i="19"/>
  <c r="C25" i="19"/>
  <c r="D24" i="19"/>
  <c r="E25" i="19"/>
  <c r="E24" i="19"/>
  <c r="F25" i="19"/>
  <c r="F24" i="19"/>
  <c r="G25" i="19"/>
  <c r="G24" i="19"/>
  <c r="H25" i="19"/>
  <c r="H24" i="19"/>
  <c r="C29" i="19"/>
  <c r="D28" i="19"/>
  <c r="E29" i="19"/>
  <c r="E28" i="19"/>
  <c r="F29" i="19"/>
  <c r="F28" i="19"/>
  <c r="G29" i="19"/>
  <c r="G28" i="19"/>
  <c r="H29" i="19"/>
  <c r="H28" i="19"/>
  <c r="J28" i="20"/>
  <c r="T38" i="20"/>
  <c r="C74" i="21"/>
  <c r="G74" i="21"/>
  <c r="F74" i="21"/>
  <c r="E74" i="21"/>
  <c r="D74" i="21"/>
  <c r="E35" i="3"/>
  <c r="E32" i="3"/>
  <c r="E34" i="3"/>
  <c r="E33" i="3"/>
  <c r="E30" i="3"/>
  <c r="L26" i="7"/>
  <c r="L25" i="7" s="1"/>
  <c r="L28" i="7"/>
  <c r="L29" i="7" s="1"/>
  <c r="O16" i="7"/>
  <c r="P16" i="7"/>
  <c r="Q16" i="7"/>
  <c r="M16" i="7"/>
  <c r="N16" i="7"/>
  <c r="L19" i="7"/>
  <c r="E71" i="21"/>
  <c r="C71" i="21"/>
  <c r="D71" i="21"/>
  <c r="F71" i="21"/>
  <c r="G65" i="21"/>
  <c r="F65" i="21"/>
  <c r="E65" i="21"/>
  <c r="E47" i="21"/>
  <c r="H65" i="21"/>
  <c r="H27" i="21"/>
  <c r="H22" i="21"/>
  <c r="G27" i="21"/>
  <c r="F27" i="21"/>
  <c r="E27" i="21"/>
  <c r="E22" i="21"/>
  <c r="D27" i="21"/>
  <c r="D22" i="21"/>
  <c r="C17" i="21"/>
  <c r="H17" i="21"/>
  <c r="H28" i="21" s="1"/>
  <c r="H13" i="21"/>
  <c r="G17" i="21"/>
  <c r="G13" i="21"/>
  <c r="F13" i="21"/>
  <c r="E13" i="21"/>
  <c r="D17" i="21"/>
  <c r="D13" i="21"/>
  <c r="J30" i="20" l="1"/>
  <c r="J33" i="20" s="1"/>
  <c r="D33" i="20"/>
  <c r="J35" i="21"/>
  <c r="K35" i="21"/>
  <c r="I12" i="19"/>
  <c r="I13" i="19" s="1"/>
  <c r="T47" i="20"/>
  <c r="H76" i="21"/>
  <c r="L20" i="7"/>
  <c r="L21" i="7" s="1"/>
  <c r="L18" i="7"/>
  <c r="L17" i="7" s="1"/>
  <c r="O24" i="7"/>
  <c r="O27" i="7" s="1"/>
  <c r="C18" i="21"/>
  <c r="C28" i="21"/>
  <c r="H18" i="21"/>
  <c r="G18" i="21"/>
  <c r="G28" i="21"/>
  <c r="F18" i="21"/>
  <c r="F28" i="21"/>
  <c r="E18" i="21"/>
  <c r="E28" i="21"/>
  <c r="D18" i="21"/>
  <c r="D28" i="21"/>
  <c r="D31" i="21" s="1"/>
  <c r="L35" i="21" l="1"/>
  <c r="I21" i="19"/>
  <c r="J15" i="19"/>
  <c r="J19" i="19"/>
  <c r="I25" i="19"/>
  <c r="J23" i="19"/>
  <c r="I29" i="19"/>
  <c r="J27" i="19"/>
  <c r="O17" i="7"/>
  <c r="Q20" i="7"/>
  <c r="N20" i="7"/>
  <c r="O21" i="7"/>
  <c r="M17" i="7"/>
  <c r="Q17" i="7"/>
  <c r="O18" i="7"/>
  <c r="O19" i="7"/>
  <c r="O20" i="7"/>
  <c r="M21" i="7"/>
  <c r="Q21" i="7"/>
  <c r="M18" i="7"/>
  <c r="Q18" i="7"/>
  <c r="Q19" i="7"/>
  <c r="M20" i="7"/>
  <c r="P21" i="7"/>
  <c r="N17" i="7"/>
  <c r="P17" i="7"/>
  <c r="N18" i="7"/>
  <c r="P18" i="7"/>
  <c r="M19" i="7"/>
  <c r="N19" i="7"/>
  <c r="P19" i="7"/>
  <c r="P20" i="7"/>
  <c r="N21" i="7"/>
  <c r="O26" i="7"/>
  <c r="O28" i="7"/>
  <c r="O29" i="7"/>
  <c r="O25" i="7"/>
  <c r="N24" i="7"/>
  <c r="P24" i="7"/>
  <c r="L39" i="21"/>
  <c r="M39" i="21" s="1"/>
  <c r="H31" i="21"/>
  <c r="H29" i="21"/>
  <c r="G31" i="21"/>
  <c r="G29" i="21"/>
  <c r="F31" i="21"/>
  <c r="F29" i="21"/>
  <c r="E31" i="21"/>
  <c r="E29" i="21"/>
  <c r="D29" i="21"/>
  <c r="C31" i="21"/>
  <c r="C29" i="21"/>
  <c r="M35" i="21" l="1"/>
  <c r="K27" i="19"/>
  <c r="K23" i="19"/>
  <c r="K19" i="19"/>
  <c r="I12" i="21"/>
  <c r="I17" i="19"/>
  <c r="K15" i="19"/>
  <c r="J12" i="19"/>
  <c r="J12" i="21" s="1"/>
  <c r="J61" i="21" s="1"/>
  <c r="H32" i="8"/>
  <c r="I32" i="8"/>
  <c r="J32" i="8"/>
  <c r="K32" i="8"/>
  <c r="F32" i="8"/>
  <c r="N28" i="7"/>
  <c r="N25" i="7"/>
  <c r="N26" i="7"/>
  <c r="N29" i="7"/>
  <c r="N27" i="7"/>
  <c r="M24" i="7"/>
  <c r="P29" i="7"/>
  <c r="P27" i="7"/>
  <c r="P28" i="7"/>
  <c r="P25" i="7"/>
  <c r="P26" i="7"/>
  <c r="Q24" i="7"/>
  <c r="H32" i="21"/>
  <c r="H38" i="21"/>
  <c r="H41" i="21" s="1"/>
  <c r="G32" i="21"/>
  <c r="G38" i="21"/>
  <c r="G41" i="21" s="1"/>
  <c r="F32" i="21"/>
  <c r="F38" i="21"/>
  <c r="F41" i="21" s="1"/>
  <c r="E32" i="21"/>
  <c r="E38" i="21"/>
  <c r="E41" i="21" s="1"/>
  <c r="D32" i="21"/>
  <c r="D38" i="21"/>
  <c r="D41" i="21" s="1"/>
  <c r="C32" i="21"/>
  <c r="C38" i="21"/>
  <c r="C41" i="21" s="1"/>
  <c r="I34" i="21" l="1"/>
  <c r="I61" i="21"/>
  <c r="J13" i="21"/>
  <c r="J34" i="21"/>
  <c r="N35" i="21"/>
  <c r="I15" i="21"/>
  <c r="I21" i="21"/>
  <c r="J13" i="19"/>
  <c r="J29" i="19"/>
  <c r="J25" i="19"/>
  <c r="J21" i="19"/>
  <c r="J17" i="19"/>
  <c r="L15" i="19"/>
  <c r="K12" i="19"/>
  <c r="I13" i="21"/>
  <c r="I23" i="21"/>
  <c r="F26" i="8" s="1"/>
  <c r="I27" i="21"/>
  <c r="I46" i="21"/>
  <c r="K21" i="19"/>
  <c r="L19" i="19"/>
  <c r="K25" i="19"/>
  <c r="L23" i="19"/>
  <c r="M23" i="19" s="1"/>
  <c r="N23" i="19" s="1"/>
  <c r="K29" i="19"/>
  <c r="L27" i="19"/>
  <c r="G32" i="8"/>
  <c r="M25" i="7"/>
  <c r="M29" i="7"/>
  <c r="M27" i="7"/>
  <c r="M28" i="7"/>
  <c r="M26" i="7"/>
  <c r="Q27" i="7"/>
  <c r="Q29" i="7"/>
  <c r="Q26" i="7"/>
  <c r="Q28" i="7"/>
  <c r="Q25" i="7"/>
  <c r="N39" i="21"/>
  <c r="I51" i="21" l="1"/>
  <c r="I55" i="21"/>
  <c r="M27" i="19"/>
  <c r="M19" i="19"/>
  <c r="I73" i="21"/>
  <c r="I70" i="21"/>
  <c r="I76" i="21" s="1"/>
  <c r="F28" i="8" s="1"/>
  <c r="O28" i="20"/>
  <c r="I47" i="21"/>
  <c r="I53" i="21" s="1"/>
  <c r="I17" i="21"/>
  <c r="I18" i="21" s="1"/>
  <c r="K13" i="19"/>
  <c r="K12" i="21"/>
  <c r="K17" i="19"/>
  <c r="M15" i="19"/>
  <c r="L12" i="19"/>
  <c r="J25" i="21"/>
  <c r="J15" i="21"/>
  <c r="J23" i="21"/>
  <c r="G26" i="8" s="1"/>
  <c r="J21" i="21"/>
  <c r="J27" i="21" s="1"/>
  <c r="J46" i="21"/>
  <c r="J51" i="21" s="1"/>
  <c r="K34" i="21" l="1"/>
  <c r="K61" i="21"/>
  <c r="I59" i="21"/>
  <c r="I64" i="21" s="1"/>
  <c r="P28" i="20"/>
  <c r="J73" i="21"/>
  <c r="J55" i="21"/>
  <c r="J70" i="21"/>
  <c r="J76" i="21" s="1"/>
  <c r="G28" i="8" s="1"/>
  <c r="J47" i="21"/>
  <c r="J59" i="21" s="1"/>
  <c r="J17" i="21"/>
  <c r="L13" i="19"/>
  <c r="L12" i="21"/>
  <c r="L29" i="19"/>
  <c r="L25" i="19"/>
  <c r="L21" i="19"/>
  <c r="L17" i="19"/>
  <c r="M12" i="19"/>
  <c r="N15" i="19"/>
  <c r="K46" i="21"/>
  <c r="K15" i="21"/>
  <c r="K17" i="21" s="1"/>
  <c r="K25" i="21"/>
  <c r="K23" i="21"/>
  <c r="H26" i="8" s="1"/>
  <c r="K13" i="21"/>
  <c r="K21" i="21"/>
  <c r="K27" i="21" s="1"/>
  <c r="I28" i="21"/>
  <c r="F23" i="8" s="1"/>
  <c r="M21" i="19"/>
  <c r="N19" i="19"/>
  <c r="M25" i="19"/>
  <c r="M29" i="19"/>
  <c r="N27" i="19"/>
  <c r="L34" i="21" l="1"/>
  <c r="L61" i="21"/>
  <c r="I31" i="21"/>
  <c r="J53" i="21"/>
  <c r="J64" i="21" s="1"/>
  <c r="I29" i="21"/>
  <c r="F24" i="8"/>
  <c r="F25" i="8" s="1"/>
  <c r="O29" i="20"/>
  <c r="E67" i="20" s="1"/>
  <c r="K47" i="21"/>
  <c r="Q28" i="20"/>
  <c r="K70" i="21"/>
  <c r="K51" i="21"/>
  <c r="K73" i="21"/>
  <c r="K55" i="21"/>
  <c r="N12" i="19"/>
  <c r="N12" i="21" s="1"/>
  <c r="N17" i="19"/>
  <c r="M13" i="19"/>
  <c r="M12" i="21"/>
  <c r="M17" i="19"/>
  <c r="L13" i="21"/>
  <c r="L25" i="21"/>
  <c r="L15" i="21"/>
  <c r="L23" i="21"/>
  <c r="I26" i="8" s="1"/>
  <c r="L46" i="21"/>
  <c r="L21" i="21"/>
  <c r="L27" i="21" s="1"/>
  <c r="J28" i="21"/>
  <c r="G23" i="8" s="1"/>
  <c r="J18" i="21"/>
  <c r="M34" i="21" l="1"/>
  <c r="M61" i="21"/>
  <c r="N34" i="21"/>
  <c r="N61" i="21"/>
  <c r="K76" i="21"/>
  <c r="K53" i="21"/>
  <c r="K59" i="21"/>
  <c r="J29" i="21"/>
  <c r="J31" i="21"/>
  <c r="P29" i="20"/>
  <c r="F67" i="20" s="1"/>
  <c r="G24" i="8"/>
  <c r="G25" i="8" s="1"/>
  <c r="L51" i="21"/>
  <c r="R28" i="20"/>
  <c r="L55" i="21"/>
  <c r="L73" i="21"/>
  <c r="L70" i="21"/>
  <c r="L76" i="21" s="1"/>
  <c r="I28" i="8" s="1"/>
  <c r="L47" i="21"/>
  <c r="L17" i="21"/>
  <c r="M23" i="21"/>
  <c r="J26" i="8" s="1"/>
  <c r="M15" i="21"/>
  <c r="M21" i="21"/>
  <c r="M25" i="21"/>
  <c r="M13" i="21"/>
  <c r="M46" i="21"/>
  <c r="N21" i="19"/>
  <c r="N13" i="19"/>
  <c r="N29" i="19"/>
  <c r="N25" i="19"/>
  <c r="H28" i="8"/>
  <c r="K18" i="21"/>
  <c r="K28" i="21"/>
  <c r="I38" i="21"/>
  <c r="I41" i="21" s="1"/>
  <c r="I32" i="21"/>
  <c r="D30" i="20" l="1"/>
  <c r="D29" i="20"/>
  <c r="K64" i="21"/>
  <c r="L53" i="21"/>
  <c r="L59" i="21"/>
  <c r="K65" i="21"/>
  <c r="H27" i="8" s="1"/>
  <c r="D31" i="20"/>
  <c r="D28" i="20"/>
  <c r="F28" i="20" s="1"/>
  <c r="K31" i="21"/>
  <c r="K29" i="21"/>
  <c r="H23" i="8"/>
  <c r="H24" i="8" s="1"/>
  <c r="H25" i="8" s="1"/>
  <c r="H29" i="8" s="1"/>
  <c r="Q29" i="20"/>
  <c r="G67" i="20" s="1"/>
  <c r="N46" i="21"/>
  <c r="N21" i="21"/>
  <c r="N15" i="21"/>
  <c r="N47" i="21" s="1"/>
  <c r="N25" i="21"/>
  <c r="N13" i="21"/>
  <c r="N23" i="21"/>
  <c r="K26" i="8" s="1"/>
  <c r="N17" i="21"/>
  <c r="M51" i="21"/>
  <c r="M73" i="21"/>
  <c r="M55" i="21"/>
  <c r="S28" i="20"/>
  <c r="M70" i="21"/>
  <c r="M76" i="21" s="1"/>
  <c r="J28" i="8" s="1"/>
  <c r="M27" i="21"/>
  <c r="M47" i="21"/>
  <c r="M17" i="21"/>
  <c r="L18" i="21"/>
  <c r="L28" i="21"/>
  <c r="J32" i="21"/>
  <c r="J38" i="21"/>
  <c r="J41" i="21" s="1"/>
  <c r="P30" i="20" s="1"/>
  <c r="H33" i="8"/>
  <c r="Q31" i="20"/>
  <c r="F29" i="20" l="1"/>
  <c r="E45" i="20"/>
  <c r="T44" i="20"/>
  <c r="D32" i="20"/>
  <c r="F32" i="20" s="1"/>
  <c r="L64" i="21"/>
  <c r="M53" i="21"/>
  <c r="M59" i="21"/>
  <c r="N59" i="21"/>
  <c r="N53" i="21"/>
  <c r="L65" i="21"/>
  <c r="I27" i="8" s="1"/>
  <c r="R29" i="20"/>
  <c r="H67" i="20" s="1"/>
  <c r="I23" i="8"/>
  <c r="I24" i="8" s="1"/>
  <c r="I25" i="8" s="1"/>
  <c r="I29" i="8" s="1"/>
  <c r="L29" i="21"/>
  <c r="L31" i="21"/>
  <c r="M18" i="21"/>
  <c r="M28" i="21"/>
  <c r="N28" i="21"/>
  <c r="N18" i="21"/>
  <c r="N27" i="21"/>
  <c r="T28" i="20"/>
  <c r="N73" i="21"/>
  <c r="N55" i="21"/>
  <c r="N70" i="21"/>
  <c r="N76" i="21" s="1"/>
  <c r="K28" i="8" s="1"/>
  <c r="N51" i="21"/>
  <c r="N64" i="21" s="1"/>
  <c r="K32" i="21"/>
  <c r="K38" i="21"/>
  <c r="K41" i="21" s="1"/>
  <c r="Q30" i="20" s="1"/>
  <c r="E38" i="20"/>
  <c r="E40" i="20" s="1"/>
  <c r="E51" i="20"/>
  <c r="F30" i="20"/>
  <c r="E57" i="20"/>
  <c r="F31" i="20"/>
  <c r="R31" i="20"/>
  <c r="I33" i="8"/>
  <c r="O32" i="20" l="1"/>
  <c r="O33" i="20" s="1"/>
  <c r="T43" i="20"/>
  <c r="T45" i="20" s="1"/>
  <c r="M64" i="21"/>
  <c r="M65" i="21" s="1"/>
  <c r="J27" i="8" s="1"/>
  <c r="N65" i="21"/>
  <c r="K27" i="8" s="1"/>
  <c r="I65" i="21"/>
  <c r="J65" i="21"/>
  <c r="G27" i="8" s="1"/>
  <c r="G29" i="8" s="1"/>
  <c r="O44" i="20"/>
  <c r="F38" i="20"/>
  <c r="T29" i="20"/>
  <c r="J67" i="20" s="1"/>
  <c r="K23" i="8"/>
  <c r="K24" i="8" s="1"/>
  <c r="K25" i="8" s="1"/>
  <c r="K29" i="8" s="1"/>
  <c r="N31" i="21"/>
  <c r="E39" i="8" s="1"/>
  <c r="E41" i="8" s="1"/>
  <c r="E42" i="8" s="1"/>
  <c r="N29" i="21"/>
  <c r="S29" i="20"/>
  <c r="I67" i="20" s="1"/>
  <c r="J23" i="8"/>
  <c r="J24" i="8" s="1"/>
  <c r="J25" i="8" s="1"/>
  <c r="J29" i="8" s="1"/>
  <c r="M29" i="21"/>
  <c r="M31" i="21"/>
  <c r="L32" i="21"/>
  <c r="L38" i="21"/>
  <c r="L41" i="21" s="1"/>
  <c r="R30" i="20" s="1"/>
  <c r="K33" i="8"/>
  <c r="S31" i="20"/>
  <c r="J33" i="8"/>
  <c r="E46" i="20" l="1"/>
  <c r="T49" i="20"/>
  <c r="T51" i="20" s="1"/>
  <c r="T52" i="20" s="1"/>
  <c r="J39" i="8"/>
  <c r="J40" i="8" s="1"/>
  <c r="T31" i="20"/>
  <c r="F27" i="8"/>
  <c r="F29" i="8" s="1"/>
  <c r="G33" i="8"/>
  <c r="P31" i="20"/>
  <c r="F33" i="8"/>
  <c r="J38" i="8" s="1"/>
  <c r="M38" i="21"/>
  <c r="M41" i="21" s="1"/>
  <c r="S30" i="20" s="1"/>
  <c r="M32" i="21"/>
  <c r="N38" i="21"/>
  <c r="N41" i="21" s="1"/>
  <c r="T30" i="20" s="1"/>
  <c r="N32" i="21"/>
  <c r="E47" i="20" l="1"/>
  <c r="F45" i="20" s="1"/>
  <c r="E52" i="20"/>
  <c r="O37" i="20"/>
  <c r="O39" i="20" s="1"/>
  <c r="T37" i="20"/>
  <c r="E38" i="8"/>
  <c r="E43" i="8" s="1"/>
  <c r="J41" i="8"/>
  <c r="J43" i="8" s="1"/>
  <c r="J45" i="8" s="1"/>
  <c r="E45" i="8"/>
  <c r="E47" i="8" s="1"/>
  <c r="T39" i="20"/>
  <c r="J47" i="8"/>
  <c r="J48" i="8" s="1"/>
  <c r="K63" i="8"/>
  <c r="C63" i="8"/>
  <c r="K55" i="8"/>
  <c r="C55" i="8"/>
  <c r="E49" i="8"/>
  <c r="E50" i="8" s="1"/>
  <c r="E53" i="20" l="1"/>
  <c r="E58" i="20"/>
  <c r="E59" i="20" s="1"/>
  <c r="D16" i="19"/>
  <c r="E16" i="19"/>
  <c r="D29" i="19"/>
  <c r="F57" i="20" l="1"/>
  <c r="E60" i="20"/>
  <c r="F51" i="20"/>
  <c r="E54" i="20"/>
  <c r="E73" i="20" s="1"/>
  <c r="D17" i="19"/>
  <c r="D13" i="19"/>
  <c r="E13" i="19"/>
  <c r="D21" i="19"/>
  <c r="D25" i="19"/>
  <c r="F39" i="20" l="1"/>
  <c r="F40" i="20" l="1"/>
  <c r="G38" i="20" l="1"/>
  <c r="F41" i="20"/>
  <c r="F69" i="20" l="1"/>
  <c r="E48" i="20"/>
  <c r="E71" i="20" s="1"/>
  <c r="E63" i="20"/>
  <c r="E68" i="20"/>
  <c r="E72" i="20" l="1"/>
  <c r="E77" i="20"/>
  <c r="E78" i="20" s="1"/>
  <c r="E74" i="20"/>
  <c r="E76" i="20"/>
  <c r="E62" i="20"/>
  <c r="P32" i="20" l="1"/>
  <c r="P33" i="20" s="1"/>
  <c r="F46" i="20" l="1"/>
  <c r="G39" i="20"/>
  <c r="F52" i="20" l="1"/>
  <c r="F58" i="20"/>
  <c r="F53" i="20"/>
  <c r="F47" i="20"/>
  <c r="G40" i="20"/>
  <c r="F48" i="20" l="1"/>
  <c r="G45" i="20"/>
  <c r="H38" i="20"/>
  <c r="G41" i="20"/>
  <c r="F59" i="20"/>
  <c r="G57" i="20" l="1"/>
  <c r="F60" i="20"/>
  <c r="F75" i="20" s="1"/>
  <c r="G51" i="20"/>
  <c r="F54" i="20"/>
  <c r="F62" i="20"/>
  <c r="F71" i="20"/>
  <c r="Q32" i="20"/>
  <c r="Q33" i="20" s="1"/>
  <c r="G69" i="20"/>
  <c r="F77" i="20" l="1"/>
  <c r="F63" i="20"/>
  <c r="F68" i="20" s="1"/>
  <c r="G46" i="20"/>
  <c r="G52" i="20"/>
  <c r="G70" i="20"/>
  <c r="H39" i="20"/>
  <c r="G58" i="20" l="1"/>
  <c r="F78" i="20"/>
  <c r="G47" i="20"/>
  <c r="G53" i="20"/>
  <c r="H51" i="20" s="1"/>
  <c r="H40" i="20"/>
  <c r="H45" i="20" l="1"/>
  <c r="G48" i="20"/>
  <c r="G59" i="20"/>
  <c r="I38" i="20"/>
  <c r="H41" i="20"/>
  <c r="H69" i="20" l="1"/>
  <c r="H57" i="20"/>
  <c r="G60" i="20"/>
  <c r="G75" i="20" s="1"/>
  <c r="G54" i="20"/>
  <c r="G73" i="20" s="1"/>
  <c r="G62" i="20"/>
  <c r="G71" i="20"/>
  <c r="G77" i="20" s="1"/>
  <c r="G63" i="20"/>
  <c r="G68" i="20" s="1"/>
  <c r="R32" i="20"/>
  <c r="R33" i="20" s="1"/>
  <c r="G78" i="20" l="1"/>
  <c r="H46" i="20"/>
  <c r="I39" i="20"/>
  <c r="G72" i="20"/>
  <c r="G74" i="20"/>
  <c r="G76" i="20"/>
  <c r="H70" i="20"/>
  <c r="H52" i="20" l="1"/>
  <c r="H53" i="20" s="1"/>
  <c r="H58" i="20"/>
  <c r="H47" i="20"/>
  <c r="I40" i="20"/>
  <c r="I45" i="20" l="1"/>
  <c r="H48" i="20"/>
  <c r="H59" i="20"/>
  <c r="J38" i="20"/>
  <c r="I41" i="20"/>
  <c r="I69" i="20" l="1"/>
  <c r="I57" i="20"/>
  <c r="H60" i="20"/>
  <c r="H75" i="20" s="1"/>
  <c r="I51" i="20"/>
  <c r="H54" i="20"/>
  <c r="H73" i="20" s="1"/>
  <c r="H62" i="20"/>
  <c r="H71" i="20"/>
  <c r="H63" i="20"/>
  <c r="H68" i="20" s="1"/>
  <c r="S32" i="20"/>
  <c r="S33" i="20" s="1"/>
  <c r="I46" i="20" l="1"/>
  <c r="I52" i="20"/>
  <c r="I47" i="20"/>
  <c r="I53" i="20"/>
  <c r="J39" i="20"/>
  <c r="H72" i="20"/>
  <c r="H77" i="20"/>
  <c r="H78" i="20" s="1"/>
  <c r="H74" i="20"/>
  <c r="H76" i="20"/>
  <c r="I70" i="20"/>
  <c r="I58" i="20" l="1"/>
  <c r="J40" i="20"/>
  <c r="J45" i="20" l="1"/>
  <c r="I48" i="20"/>
  <c r="I59" i="20"/>
  <c r="J41" i="20"/>
  <c r="J69" i="20" l="1"/>
  <c r="J57" i="20"/>
  <c r="I60" i="20"/>
  <c r="I75" i="20" s="1"/>
  <c r="J51" i="20"/>
  <c r="I54" i="20"/>
  <c r="I73" i="20" s="1"/>
  <c r="I62" i="20"/>
  <c r="I71" i="20"/>
  <c r="I63" i="20"/>
  <c r="I68" i="20" s="1"/>
  <c r="T32" i="20"/>
  <c r="T33" i="20" s="1"/>
  <c r="J46" i="20" l="1"/>
  <c r="J52" i="20"/>
  <c r="J58" i="20" s="1"/>
  <c r="J53" i="20"/>
  <c r="I72" i="20"/>
  <c r="I77" i="20"/>
  <c r="I78" i="20" s="1"/>
  <c r="I74" i="20"/>
  <c r="I76" i="20"/>
  <c r="J70" i="20"/>
  <c r="J47" i="20" l="1"/>
  <c r="J48" i="20"/>
  <c r="J59" i="20" l="1"/>
  <c r="J60" i="20" s="1"/>
  <c r="J75" i="20" s="1"/>
  <c r="J71" i="20"/>
  <c r="J54" i="20" l="1"/>
  <c r="J62" i="20"/>
  <c r="J72" i="20"/>
  <c r="T40" i="20" l="1"/>
  <c r="T41" i="20" s="1"/>
  <c r="O40" i="20"/>
  <c r="O41" i="20" s="1"/>
  <c r="O43" i="20" s="1"/>
  <c r="O45" i="20" s="1"/>
  <c r="O46" i="20" s="1"/>
  <c r="M68" i="20" s="1"/>
  <c r="J73" i="20"/>
  <c r="J63" i="20"/>
  <c r="J68" i="20" s="1"/>
  <c r="J76" i="20" l="1"/>
  <c r="J74" i="20"/>
  <c r="J77" i="20"/>
  <c r="J7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20" authorId="0" shapeId="0" xr:uid="{00000000-0006-0000-0700-000004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ID#AAABKUamsds
</t>
        </r>
        <r>
          <rPr>
            <sz val="11"/>
            <color rgb="FF000000"/>
            <rFont val="Calibri"/>
            <family val="2"/>
          </rPr>
          <t xml:space="preserve">jacob    (2024-04-14 22:32:20)
</t>
        </r>
        <r>
          <rPr>
            <sz val="11"/>
            <color rgb="FF000000"/>
            <rFont val="Calibri"/>
            <family val="2"/>
          </rPr>
          <t>Update the formula to reflect the multiple used (if using EV/EBIT, multiply by EBIT in column H)</t>
        </r>
      </text>
    </comment>
    <comment ref="AI20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======
ID#AAABKUamsd8
jacob    (2024-04-14 22:32:20)
Update the formula to reflect the multiple used (if using EV/EBIT, multiply by EBIT in column H)</t>
        </r>
      </text>
    </comment>
    <comment ref="AI42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======
ID#AAABKUYhCAs
Jeanette Cheung    (2024-04-14 22:32:20)
Enter your final price target here. May be a weighted average of the multipes method and PGR method.</t>
        </r>
      </text>
    </comment>
    <comment ref="AB81" authorId="0" shapeId="0" xr:uid="{00000000-0006-0000-0700-000005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ID#AAABKUYhCA4
</t>
        </r>
        <r>
          <rPr>
            <sz val="11"/>
            <color rgb="FF000000"/>
            <rFont val="Calibri"/>
            <family val="2"/>
          </rPr>
          <t xml:space="preserve">Jeanette Cheung    (2024-04-14 22:32:20)
</t>
        </r>
        <r>
          <rPr>
            <sz val="11"/>
            <color rgb="FF000000"/>
            <rFont val="Calibri"/>
            <family val="2"/>
          </rPr>
          <t>Hardcode the EV/EBITDA multiple (comps) you used in your model here. DO NOT link the input; doing so will cause the sensitivity analysis to not work.</t>
        </r>
      </text>
    </comment>
    <comment ref="AB96" authorId="0" shapeId="0" xr:uid="{00000000-0006-0000-0700-00000A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ID#AAABKUYhCAY
</t>
        </r>
        <r>
          <rPr>
            <sz val="11"/>
            <color rgb="FF000000"/>
            <rFont val="Calibri"/>
            <family val="2"/>
          </rPr>
          <t xml:space="preserve">Jeanette Cheung    (2024-04-14 22:32:20)
</t>
        </r>
        <r>
          <rPr>
            <sz val="11"/>
            <color rgb="FF000000"/>
            <rFont val="Calibri"/>
            <family val="2"/>
          </rPr>
          <t>Hardcode the EV/EBITDA multiple (precedents) you used in your model here. DO NOT link the input; doing so will cause the sensitivity analysis to not work.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Mgccnoh824+X248OpKgTHK3us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Lu</author>
  </authors>
  <commentList>
    <comment ref="H8" authorId="0" shapeId="0" xr:uid="{09B99B0D-2D49-44C1-A9A1-AAA6C9D3B799}">
      <text>
        <r>
          <rPr>
            <b/>
            <sz val="9"/>
            <color indexed="81"/>
            <rFont val="Tahoma"/>
            <family val="2"/>
          </rPr>
          <t>Sean Lu:</t>
        </r>
        <r>
          <rPr>
            <sz val="9"/>
            <color indexed="81"/>
            <rFont val="Tahoma"/>
            <family val="2"/>
          </rPr>
          <t xml:space="preserve">
The company lacks consistent disclosure practices for quarterly and half year files alongside inconsistent unit data which makes it hard to model out cyclicality of business model</t>
        </r>
      </text>
    </comment>
  </commentList>
</comments>
</file>

<file path=xl/sharedStrings.xml><?xml version="1.0" encoding="utf-8"?>
<sst xmlns="http://schemas.openxmlformats.org/spreadsheetml/2006/main" count="749" uniqueCount="467">
  <si>
    <t>Buy:</t>
  </si>
  <si>
    <t>NYSE: TDG</t>
  </si>
  <si>
    <t>By:</t>
  </si>
  <si>
    <t>Tej Prattipati, Mary Tybon</t>
  </si>
  <si>
    <t>Operating Scenario:</t>
  </si>
  <si>
    <t>1 = Bull</t>
  </si>
  <si>
    <t>2 = Base</t>
  </si>
  <si>
    <t>3 = Bear</t>
  </si>
  <si>
    <t>TransDigm Group (NYSE: TDG)</t>
  </si>
  <si>
    <t>Revenue Build</t>
  </si>
  <si>
    <t>In Millions of $USD (except share price)</t>
  </si>
  <si>
    <t>Sources: Factset Fundamentals, TDG 20-F Filings</t>
  </si>
  <si>
    <t>Control</t>
  </si>
  <si>
    <t>Uses Calculation</t>
  </si>
  <si>
    <t>Base Assumptions</t>
  </si>
  <si>
    <t>Equity Purchase Price</t>
  </si>
  <si>
    <t>Base Year</t>
  </si>
  <si>
    <t>FD Shares (M)</t>
  </si>
  <si>
    <t>Exit Multiple</t>
  </si>
  <si>
    <t>*IPO Exit discounts multiple based on precedent transactions</t>
  </si>
  <si>
    <t>Current PPS</t>
  </si>
  <si>
    <t>Tax Rate (%)</t>
  </si>
  <si>
    <t>*Current effective tax rate</t>
  </si>
  <si>
    <t>Offer Premium</t>
  </si>
  <si>
    <t>Offer PPS</t>
  </si>
  <si>
    <t>Debt Assumptions</t>
  </si>
  <si>
    <t xml:space="preserve">Equity Offer Price </t>
  </si>
  <si>
    <t>Debt</t>
  </si>
  <si>
    <t>Multiple</t>
  </si>
  <si>
    <t>Interest Rate</t>
  </si>
  <si>
    <t>Other Uses</t>
  </si>
  <si>
    <t>Revolver</t>
  </si>
  <si>
    <t xml:space="preserve">Reflect rates from the company's current stack </t>
  </si>
  <si>
    <t>First Lien Term Loan</t>
  </si>
  <si>
    <t>Cash</t>
  </si>
  <si>
    <t>Second Lien Term Loan</t>
  </si>
  <si>
    <t>*Analogous to first lien rate, simply a lot more risk from capital structure placement due to high Debt/EBITDA ratio, etc.</t>
  </si>
  <si>
    <t>High Yield Bonds</t>
  </si>
  <si>
    <t xml:space="preserve">Refinance Net Debt </t>
  </si>
  <si>
    <t>Total Debt/EBITDA</t>
  </si>
  <si>
    <t>*Based off historic comps</t>
  </si>
  <si>
    <t>Sources &amp; Uses</t>
  </si>
  <si>
    <t>Operating Model Output</t>
  </si>
  <si>
    <t>FY 26</t>
  </si>
  <si>
    <t>FY 27</t>
  </si>
  <si>
    <t>FY 28</t>
  </si>
  <si>
    <t>FY 29</t>
  </si>
  <si>
    <t>FY 30</t>
  </si>
  <si>
    <t>FY 31</t>
  </si>
  <si>
    <t>Sources</t>
  </si>
  <si>
    <t>% of Total</t>
  </si>
  <si>
    <t>Uses</t>
  </si>
  <si>
    <t>Purchase Equity</t>
  </si>
  <si>
    <t>Revenue</t>
  </si>
  <si>
    <t>Refinance Net Debt</t>
  </si>
  <si>
    <t>EBIT</t>
  </si>
  <si>
    <t>Transaction Fees</t>
  </si>
  <si>
    <t>Adjusted EBITDA</t>
  </si>
  <si>
    <t>UFCF</t>
  </si>
  <si>
    <t>Sponsor Equity</t>
  </si>
  <si>
    <t>Tax Accounted Interest Payment</t>
  </si>
  <si>
    <t>Total</t>
  </si>
  <si>
    <t>FCF</t>
  </si>
  <si>
    <t>Debt Schedule</t>
  </si>
  <si>
    <t>Returns Analysis</t>
  </si>
  <si>
    <t>Terminal EBITDA</t>
  </si>
  <si>
    <t>Beginning Balance</t>
  </si>
  <si>
    <t>Paydown</t>
  </si>
  <si>
    <t>Enterprise Value</t>
  </si>
  <si>
    <t>Ending Balance</t>
  </si>
  <si>
    <t>(-) Net Debt</t>
  </si>
  <si>
    <t>General Interest Expense</t>
  </si>
  <si>
    <t>Equity Value at Exit</t>
  </si>
  <si>
    <t>Equity Value</t>
  </si>
  <si>
    <t>Reserve Interest Expense</t>
  </si>
  <si>
    <t>Sponsor Ownership at Exit</t>
  </si>
  <si>
    <t>Sponsor Equity at Exit</t>
  </si>
  <si>
    <t>Sponsor Equity at Closing</t>
  </si>
  <si>
    <t>Net Debt at Closing</t>
  </si>
  <si>
    <t>MOIC</t>
  </si>
  <si>
    <t>Implied TEV at Closing</t>
  </si>
  <si>
    <t>IRR</t>
  </si>
  <si>
    <t>(-) Old Net Debt</t>
  </si>
  <si>
    <t>(-) Transaction Fees</t>
  </si>
  <si>
    <t>Interest Expense</t>
  </si>
  <si>
    <t>FD Shares</t>
  </si>
  <si>
    <t>Implied Offer PPS</t>
  </si>
  <si>
    <t>Implied Offer Premium</t>
  </si>
  <si>
    <t>Total Net Debt</t>
  </si>
  <si>
    <t>Total Net Interest Payment</t>
  </si>
  <si>
    <t>Interest Coverage Ratio</t>
  </si>
  <si>
    <t>Sensitivity Analysis</t>
  </si>
  <si>
    <t>---&gt;</t>
  </si>
  <si>
    <t xml:space="preserve"> Coverage Ratio</t>
  </si>
  <si>
    <t>Senior Debt</t>
  </si>
  <si>
    <t>Subordinated Debt</t>
  </si>
  <si>
    <t>Mezzanine</t>
  </si>
  <si>
    <t>Total Interest</t>
  </si>
  <si>
    <t>Coverage Ratio</t>
  </si>
  <si>
    <t>DCF Valuation</t>
  </si>
  <si>
    <t>Sources: Factset Fundamentals, TransDigm 20-F, 10-K, 10-Q Filings</t>
  </si>
  <si>
    <t>Inputs / Assumptions</t>
  </si>
  <si>
    <t>Share Price</t>
  </si>
  <si>
    <t>Shares out. (M)</t>
  </si>
  <si>
    <t>Net Debt (M)</t>
  </si>
  <si>
    <t>Average of Smaller Precedents transaction EV/EBITDA and Closer Comps current trading EV/EBITDA</t>
  </si>
  <si>
    <t>WACC (%)</t>
  </si>
  <si>
    <t>PGR Growth Rate (%)</t>
  </si>
  <si>
    <t>all figures in M unless otherwise stated</t>
  </si>
  <si>
    <t>UFCF Calculation</t>
  </si>
  <si>
    <t>(-) Taxes</t>
  </si>
  <si>
    <t>NOPAT</t>
  </si>
  <si>
    <t>(+) D&amp;A</t>
  </si>
  <si>
    <t>(-) Δ NWC</t>
  </si>
  <si>
    <t>(-) Cash from Investing</t>
  </si>
  <si>
    <t>Period</t>
  </si>
  <si>
    <t>Discount Rate</t>
  </si>
  <si>
    <t>Discounted FCFs</t>
  </si>
  <si>
    <t>DCF</t>
  </si>
  <si>
    <t>Exit Multiples Method</t>
  </si>
  <si>
    <t>Perpetuity Growth Method</t>
  </si>
  <si>
    <t>PV of FCFFs</t>
  </si>
  <si>
    <t>Final Year EBITDA</t>
  </si>
  <si>
    <t>Terminal Value</t>
  </si>
  <si>
    <t>EV/EBITDA Multiple</t>
  </si>
  <si>
    <t>PV of TV</t>
  </si>
  <si>
    <t>TV in Final Year</t>
  </si>
  <si>
    <t>Total Enterprise Value (TEV)</t>
  </si>
  <si>
    <t>Shares Oustanding</t>
  </si>
  <si>
    <t>Implied Share Price</t>
  </si>
  <si>
    <t>Current Market Share Price</t>
  </si>
  <si>
    <t>Implied Upside</t>
  </si>
  <si>
    <t>Implied % Growth</t>
  </si>
  <si>
    <t>Final Year FCF</t>
  </si>
  <si>
    <t>WACC</t>
  </si>
  <si>
    <t>Perpetuity Growth Rate</t>
  </si>
  <si>
    <t>WACC Calculation</t>
  </si>
  <si>
    <t>SID Relevered Beta</t>
  </si>
  <si>
    <t>Target Capital Structure</t>
  </si>
  <si>
    <t>Target</t>
  </si>
  <si>
    <t>Debt-to-Total Capitalization</t>
  </si>
  <si>
    <t>Unlevered</t>
  </si>
  <si>
    <t>Debt/</t>
  </si>
  <si>
    <t>Marginal</t>
  </si>
  <si>
    <t>Relevered</t>
  </si>
  <si>
    <t>Equity-to-Total Capitalization</t>
  </si>
  <si>
    <t>Beta</t>
  </si>
  <si>
    <t>Equity</t>
  </si>
  <si>
    <t>Tax Rate</t>
  </si>
  <si>
    <t>Relevered Beta</t>
  </si>
  <si>
    <t>Use Market Cap for Equity Valuye</t>
  </si>
  <si>
    <t>Cost of Debt</t>
  </si>
  <si>
    <t>Pre-Tax Cost of Debt</t>
  </si>
  <si>
    <t>Implied historical cost of debt (using 2020-2025 financials)</t>
  </si>
  <si>
    <t>WACC Sensitivity Analysis</t>
  </si>
  <si>
    <t>Pre-tax Cost of Debt</t>
  </si>
  <si>
    <t xml:space="preserve">   After-tax Cost of Debt</t>
  </si>
  <si>
    <t>--</t>
  </si>
  <si>
    <t>Cost of Equity</t>
  </si>
  <si>
    <t>Risk-free Rate</t>
  </si>
  <si>
    <t>Equity Risk Premium</t>
  </si>
  <si>
    <t>Country Risk Premium</t>
  </si>
  <si>
    <t>Levered Beta</t>
  </si>
  <si>
    <t xml:space="preserve">   Cost of Equity</t>
  </si>
  <si>
    <t>MRP</t>
  </si>
  <si>
    <t xml:space="preserve">   WACC</t>
  </si>
  <si>
    <t>TransDigm (NYSE: TDG)</t>
  </si>
  <si>
    <t>Sources: Factset Fundamentals, TDG 20-F Filings, TDG Earnings Calls, TDG Earnings Presentations, TDG 10Qs and 10Ks</t>
  </si>
  <si>
    <t>FY 20</t>
  </si>
  <si>
    <t>FY 21</t>
  </si>
  <si>
    <t>FY22</t>
  </si>
  <si>
    <t>FY23</t>
  </si>
  <si>
    <t>FY24</t>
  </si>
  <si>
    <t>FY25</t>
  </si>
  <si>
    <t>Total Revenue Projected</t>
  </si>
  <si>
    <t>Total Revenue</t>
  </si>
  <si>
    <t>% Growth</t>
  </si>
  <si>
    <t>Commercial OEM</t>
  </si>
  <si>
    <t>% of total revenue</t>
  </si>
  <si>
    <t>Commercial Aftermarket</t>
  </si>
  <si>
    <t>Defense</t>
  </si>
  <si>
    <t>Non-Aviation (Other)</t>
  </si>
  <si>
    <t>Revenue Build Assumptions</t>
  </si>
  <si>
    <t>FY 23 (Base, Actual)</t>
  </si>
  <si>
    <t>FY 24 (Base, Actual)</t>
  </si>
  <si>
    <t>Revenue Growth Breakdown</t>
  </si>
  <si>
    <t>Upside</t>
  </si>
  <si>
    <t>Base</t>
  </si>
  <si>
    <t>Downside</t>
  </si>
  <si>
    <t xml:space="preserve">Relatively aggressive growth numbers based on 30-40% YoY price hikes </t>
  </si>
  <si>
    <t>(consistent with previous years and management strategy)</t>
  </si>
  <si>
    <t>However the revenue growth doesn't necessarily match 40% becuase that's only for niche segments</t>
  </si>
  <si>
    <t>BULL AND BASE ASSUME NO DOD REGULATION CHANGES</t>
  </si>
  <si>
    <t>BEAR CASE ASSUMES DOD CHANGES REGULATIONS RESULTING IN DRASTIC MARGIN REDUCITONS</t>
  </si>
  <si>
    <t xml:space="preserve">check the specific percentaqe </t>
  </si>
  <si>
    <t>Operating Model</t>
  </si>
  <si>
    <t>FY 22</t>
  </si>
  <si>
    <t>FY 23</t>
  </si>
  <si>
    <t>FY 24</t>
  </si>
  <si>
    <t>FY 25</t>
  </si>
  <si>
    <t>Operating Statement</t>
  </si>
  <si>
    <t>*Refer to Revenue Build and Assumptions</t>
  </si>
  <si>
    <t>% growth</t>
  </si>
  <si>
    <t>COGS (Excluding D&amp;A)</t>
  </si>
  <si>
    <t>% revenue</t>
  </si>
  <si>
    <t xml:space="preserve">Weighted Average Math using %of Revenue by Rev Category </t>
  </si>
  <si>
    <t>Gross Profit</t>
  </si>
  <si>
    <t>GP margin (%)</t>
  </si>
  <si>
    <t>OpEx</t>
  </si>
  <si>
    <t>SG&amp;A</t>
  </si>
  <si>
    <t xml:space="preserve">*Assumed slight contraction </t>
  </si>
  <si>
    <t>Depreciation</t>
  </si>
  <si>
    <t>Other Operating Expenses</t>
  </si>
  <si>
    <t>Total OpEx</t>
  </si>
  <si>
    <t>Operating Income (EBIT)</t>
  </si>
  <si>
    <t>EBIT margin (%)</t>
  </si>
  <si>
    <t xml:space="preserve">Maintained industry-leading EBIT and EBITDA margins </t>
  </si>
  <si>
    <t>EBITDA</t>
  </si>
  <si>
    <t>EBITDA margin (%)</t>
  </si>
  <si>
    <t>Interest Payment</t>
  </si>
  <si>
    <t>*As M&amp;A spending further increases throughout LBO hold term, interest expenses will grow in turn, especially with PIK interest toggles</t>
  </si>
  <si>
    <t>% of Revenue</t>
  </si>
  <si>
    <t>EBITDA Adjustment</t>
  </si>
  <si>
    <t>Unusual Expenses</t>
  </si>
  <si>
    <t>*Used historical average of non-irregular figures, then base projection rate used</t>
  </si>
  <si>
    <t>Stock-Based Compensation</t>
  </si>
  <si>
    <t>Working Capital</t>
  </si>
  <si>
    <t>COGS</t>
  </si>
  <si>
    <t>Non-Cash Current Assets</t>
  </si>
  <si>
    <t>Short-Term Receivables</t>
  </si>
  <si>
    <t>DSO</t>
  </si>
  <si>
    <t>Inventory</t>
  </si>
  <si>
    <t>DIO</t>
  </si>
  <si>
    <t>Other Current Assets</t>
  </si>
  <si>
    <t>% Revenue</t>
  </si>
  <si>
    <t>Non-Interest Bearing Current Liabilities</t>
  </si>
  <si>
    <t>Accounts Payable</t>
  </si>
  <si>
    <t>DPO</t>
  </si>
  <si>
    <t>Other Current Liabilities</t>
  </si>
  <si>
    <t>Net Working Capital</t>
  </si>
  <si>
    <t>Change in NWC</t>
  </si>
  <si>
    <t>Cash Flow from Investing</t>
  </si>
  <si>
    <t>Capital Expenditures</t>
  </si>
  <si>
    <t>Net Assets from Acquisition</t>
  </si>
  <si>
    <t>Assume cooling off on acquisitons to support LBO debt paydown</t>
  </si>
  <si>
    <t>Net Investing Cash Flow</t>
  </si>
  <si>
    <t>Operating Model Assumptions</t>
  </si>
  <si>
    <t>Operating Statement Breakdown</t>
  </si>
  <si>
    <t>Working Capital Assumptions</t>
  </si>
  <si>
    <t>COGS % Revenue (Weighted Average)</t>
  </si>
  <si>
    <t>Based on projections from past years</t>
  </si>
  <si>
    <t>SG&amp;A % Revenue</t>
  </si>
  <si>
    <t>Depreciation % Revenue</t>
  </si>
  <si>
    <t>Other Operating Expenses % Revenue</t>
  </si>
  <si>
    <t>CapEx % Revenue</t>
  </si>
  <si>
    <t>Net Assets From Acquisition % Revenue</t>
  </si>
  <si>
    <t>For sake of making this work, we'll consider Bull to be stable, non-aggressive expansion</t>
  </si>
  <si>
    <t>Bear case is high value transactions yearly where cash spend is higher on average</t>
  </si>
  <si>
    <t>Comparable Companies Analysis</t>
  </si>
  <si>
    <t>Current</t>
  </si>
  <si>
    <t>% of</t>
  </si>
  <si>
    <t>LTM</t>
  </si>
  <si>
    <t>Share</t>
  </si>
  <si>
    <t>52-wk.</t>
  </si>
  <si>
    <t xml:space="preserve">Equity </t>
  </si>
  <si>
    <t>Enterprise</t>
  </si>
  <si>
    <t>Company</t>
  </si>
  <si>
    <t>Ticker</t>
  </si>
  <si>
    <t>Price</t>
  </si>
  <si>
    <t>High</t>
  </si>
  <si>
    <t>Value (M)</t>
  </si>
  <si>
    <t>EV / Sales</t>
  </si>
  <si>
    <t>EV / EBITDA</t>
  </si>
  <si>
    <t>Margin</t>
  </si>
  <si>
    <t>TransDigm Group</t>
  </si>
  <si>
    <t>-</t>
  </si>
  <si>
    <t>stockholder's deficit</t>
  </si>
  <si>
    <t>book equity is negative</t>
  </si>
  <si>
    <t>Tier I: Largest</t>
  </si>
  <si>
    <t>Boeing</t>
  </si>
  <si>
    <t>NYSE: BA</t>
  </si>
  <si>
    <t>RTX</t>
  </si>
  <si>
    <t>NYSE: RTX</t>
  </si>
  <si>
    <t>Tier II: Middle</t>
  </si>
  <si>
    <t>Howmet Aerospace</t>
  </si>
  <si>
    <t>NYSE: HWM</t>
  </si>
  <si>
    <t>HEICO</t>
  </si>
  <si>
    <t>NYSE: HEI</t>
  </si>
  <si>
    <t>Tier III: Smallest</t>
  </si>
  <si>
    <t>Textron</t>
  </si>
  <si>
    <t>NYSE: TXT</t>
  </si>
  <si>
    <t>FTAI Aviation</t>
  </si>
  <si>
    <t>NASDAQ: FTAI</t>
  </si>
  <si>
    <t>Overall</t>
  </si>
  <si>
    <t>Mean</t>
  </si>
  <si>
    <t>Median</t>
  </si>
  <si>
    <t>Q3</t>
  </si>
  <si>
    <t>Q1</t>
  </si>
  <si>
    <t xml:space="preserve"> </t>
  </si>
  <si>
    <t>Low</t>
  </si>
  <si>
    <t>Precedent Transactions Analysis</t>
  </si>
  <si>
    <t>Acquirer</t>
  </si>
  <si>
    <t>Year</t>
  </si>
  <si>
    <t>Transaction Value($M)</t>
  </si>
  <si>
    <t>TriMas Aerospace</t>
  </si>
  <si>
    <t>Blackstone and Tinicum L.P.</t>
  </si>
  <si>
    <t>Novaria Group</t>
  </si>
  <si>
    <t>Arcline Investment Management</t>
  </si>
  <si>
    <t>Cobham Mission Systems</t>
  </si>
  <si>
    <t>Eaton Corporation</t>
  </si>
  <si>
    <t>Meggit PLC</t>
  </si>
  <si>
    <t>Parker-Hannifin</t>
  </si>
  <si>
    <t>*Calculated multiple off of publicized data on transaction</t>
  </si>
  <si>
    <t>TransDigm Group Incorporated</t>
  </si>
  <si>
    <t xml:space="preserve">TDG   893641100   B11FJK3   NYSE    Common stock    </t>
  </si>
  <si>
    <t>Source: FactSet Fundamentals</t>
  </si>
  <si>
    <t>DEC '25</t>
  </si>
  <si>
    <t>SEP '25</t>
  </si>
  <si>
    <t>SEP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</si>
  <si>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</si>
  <si>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</si>
  <si>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</si>
  <si>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</si>
  <si>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</si>
  <si>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</si>
  <si>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</si>
  <si>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</si>
  <si>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Sales</t>
  </si>
  <si>
    <t>Cost of Goods Sold (COGS) incl. D&amp;A</t>
  </si>
  <si>
    <t>COGS excluding D&amp;A</t>
  </si>
  <si>
    <t>Depreciation &amp; Amortization Expense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</si>
  <si>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</si>
  <si>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</si>
  <si>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</si>
  <si>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</si>
  <si>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</si>
  <si>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</si>
  <si>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</si>
  <si>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Other Income (Expense)</t>
  </si>
  <si>
    <t>Gross Interest Expense</t>
  </si>
  <si>
    <t>Unusual Expense - Net</t>
  </si>
  <si>
    <t>Restructuring Expense</t>
  </si>
  <si>
    <t>Unrealized Valuation Gain/Loss</t>
  </si>
  <si>
    <t>Hedges/Derivatives</t>
  </si>
  <si>
    <t>Excpl Chrgs - Others</t>
  </si>
  <si>
    <t>Restructuring of Debt</t>
  </si>
  <si>
    <t>Calamitous Events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</si>
  <si>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</si>
  <si>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</si>
  <si>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</si>
  <si>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</si>
  <si>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</si>
  <si>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</si>
  <si>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Other After Tax Adjustments</t>
  </si>
  <si>
    <t>Consolidated Net Income</t>
  </si>
  <si>
    <t>Minority Interest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</si>
  <si>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</si>
  <si>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</si>
  <si>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</si>
  <si>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</si>
  <si>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</si>
  <si>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</si>
  <si>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</si>
  <si>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</si>
  <si>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</si>
  <si>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</si>
  <si>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</si>
  <si>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All figures in millions of U.S. Dollar except per share items.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</si>
  <si>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</si>
  <si>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</si>
  <si>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</si>
  <si>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</si>
  <si>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</si>
  <si>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</si>
  <si>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</si>
  <si>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</si>
  <si>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</si>
  <si>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</si>
  <si>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</si>
  <si>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</si>
  <si>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Income Taxes Payable</t>
  </si>
  <si>
    <t>Other Accruals</t>
  </si>
  <si>
    <t>Other Assets/Liabilities</t>
  </si>
  <si>
    <t>Net Operating Cash Flow</t>
  </si>
  <si>
    <t>Investing Activities</t>
  </si>
  <si>
    <t>Capital Expenditures (Fixed Assets)</t>
  </si>
  <si>
    <t>Net Assets from Acquisitions</t>
  </si>
  <si>
    <t>Sale of Fixed Assets &amp; Businesses</t>
  </si>
  <si>
    <t>Other Sources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</si>
  <si>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</si>
  <si>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</si>
  <si>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</si>
  <si>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</si>
  <si>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</si>
  <si>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</si>
  <si>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</si>
  <si>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</si>
  <si>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</si>
  <si>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</si>
  <si>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</si>
  <si>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</si>
  <si>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</si>
  <si>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</si>
  <si>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</si>
  <si>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</si>
  <si>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</si>
  <si>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</si>
  <si>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Assets</t>
  </si>
  <si>
    <t>Cash &amp; Short-Term Investments</t>
  </si>
  <si>
    <t>Cash Only</t>
  </si>
  <si>
    <t>Accounts Receivables, Net</t>
  </si>
  <si>
    <t>Accounts Receivables, Gross</t>
  </si>
  <si>
    <t>Bad Debt/Doubtful Accounts</t>
  </si>
  <si>
    <t>Finished Goods</t>
  </si>
  <si>
    <t>Work in Progress</t>
  </si>
  <si>
    <t>Raw Materials</t>
  </si>
  <si>
    <t>Progress Payments &amp; Other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</si>
  <si>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</si>
  <si>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</si>
  <si>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</si>
  <si>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</si>
  <si>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</si>
  <si>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</si>
  <si>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</si>
  <si>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</si>
  <si>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Operating Lease Right-of-Use Assets</t>
  </si>
  <si>
    <t>Accumulated Depreciation</t>
  </si>
  <si>
    <t xml:space="preserve">Total Long-Term Investments </t>
  </si>
  <si>
    <t>Other Long-Term Investments</t>
  </si>
  <si>
    <t>Long-Term Note Receivable</t>
  </si>
  <si>
    <t>Intangible Assets</t>
  </si>
  <si>
    <t>Goodwill</t>
  </si>
  <si>
    <t>Other Intangible Assets</t>
  </si>
  <si>
    <t>Deferred Tax Assets</t>
  </si>
  <si>
    <t>Other Assets</t>
  </si>
  <si>
    <t>Tangible Other Assets</t>
  </si>
  <si>
    <t>Total Assets</t>
  </si>
  <si>
    <t>Liabilities &amp; Shareholders' Equity</t>
  </si>
  <si>
    <t>ST Debt &amp; Curr. Portion LT Debt</t>
  </si>
  <si>
    <t>Income Tax Payable</t>
  </si>
  <si>
    <t>Dividends Payable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</si>
  <si>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</si>
  <si>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</si>
  <si>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</si>
  <si>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</si>
  <si>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</si>
  <si>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</si>
  <si>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</si>
  <si>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</si>
  <si>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</si>
  <si>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</si>
  <si>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</si>
  <si>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</si>
  <si>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</si>
  <si>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</si>
  <si>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</si>
  <si>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</si>
  <si>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</si>
  <si>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</si>
  <si>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</si>
  <si>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Treasury Stock</t>
  </si>
  <si>
    <t>Total Shareholders' Equity</t>
  </si>
  <si>
    <t>Accumulated Minority Interest</t>
  </si>
  <si>
    <t>Total Equity</t>
  </si>
  <si>
    <t>Total Liabilities &amp; Shareholders' Equity</t>
  </si>
  <si>
    <t>Book Value per Share</t>
  </si>
  <si>
    <t>Tangible Book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</si>
</sst>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General\P"/>
    <numFmt numFmtId="166" formatCode="#,##0.0_);\(#,##0.0\)"/>
    <numFmt numFmtId="167" formatCode="0.0"/>
    <numFmt numFmtId="168" formatCode="0.00\x"/>
    <numFmt numFmtId="169" formatCode=";;;"/>
    <numFmt numFmtId="170" formatCode="#,##0.0"/>
    <numFmt numFmtId="171" formatCode="&quot;$&quot;#,##0.00"/>
    <numFmt numFmtId="172" formatCode="General\x"/>
    <numFmt numFmtId="173" formatCode="0.0\x"/>
    <numFmt numFmtId="174" formatCode="#,##0.00_);\(#,##0.00\);\-\-_)"/>
    <numFmt numFmtId="175" formatCode="0.0%_);\(0.0%\);\-\-_)"/>
    <numFmt numFmtId="176" formatCode="m/d/yy;@"/>
    <numFmt numFmtId="177" formatCode="0%_);\(0%\);\-\-_)"/>
    <numFmt numFmtId="178" formatCode="#,##0.0\x_);\(#,##0.0\x\);\-\-_)"/>
    <numFmt numFmtId="179" formatCode="_(&quot;$&quot;* #,##0.0_);_(&quot;$&quot;* \(#,##0.0\);_(&quot;$&quot;* &quot;-&quot;??_);_(@_)"/>
    <numFmt numFmtId="180" formatCode="#,##0.0_);\(#,##0.0\);\-\-_)"/>
    <numFmt numFmtId="181" formatCode="#,##0_);\(#,##0\);\-\-_)"/>
    <numFmt numFmtId="182" formatCode="#,##0.0%_);\(#,##0.0%\);&quot;-&quot;_)"/>
    <numFmt numFmtId="183" formatCode="0.00%_);\(0.00%\);\-\-_)"/>
    <numFmt numFmtId="184" formatCode="_(* #,##0.0%_);_(* \(#,##0.0%\);_(* &quot;--- %&quot;_);_(* @_%_)"/>
    <numFmt numFmtId="185" formatCode="0.00_);[Red]\(0.00\)"/>
    <numFmt numFmtId="186" formatCode="&quot;$&quot;#,##0.00_);\(&quot;$&quot;#,##0.00\);\-\-_)"/>
    <numFmt numFmtId="187" formatCode="#,##0.000_);\(#,##0.000\);\-\-_)"/>
    <numFmt numFmtId="188" formatCode="_(&quot;$&quot;* #,##0_);_(&quot;$&quot;* \(#,##0\);_(&quot;$&quot;* &quot;-&quot;??_);_(@_)"/>
    <numFmt numFmtId="189" formatCode="_(* #,##0_);_(* \(#,##0\);_(* &quot;-&quot;??_);_(@_)"/>
    <numFmt numFmtId="193" formatCode="_([$$-409]* #,##0.00_);_([$$-409]* \(#,##0.00\);_([$$-409]* &quot;-&quot;??_);_(@_)"/>
  </numFmts>
  <fonts count="8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sz val="11"/>
      <color theme="1"/>
      <name val="Garamond"/>
      <family val="1"/>
    </font>
    <font>
      <b/>
      <sz val="16"/>
      <color theme="0"/>
      <name val="Garamond"/>
      <family val="1"/>
    </font>
    <font>
      <sz val="11"/>
      <name val="Calibri"/>
      <family val="2"/>
    </font>
    <font>
      <sz val="12"/>
      <color theme="4"/>
      <name val="Garamond"/>
      <family val="1"/>
    </font>
    <font>
      <sz val="8"/>
      <color theme="1"/>
      <name val="Garamond"/>
      <family val="1"/>
    </font>
    <font>
      <b/>
      <sz val="12"/>
      <color theme="1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b/>
      <sz val="10"/>
      <color theme="1"/>
      <name val="Garamond"/>
      <family val="1"/>
    </font>
    <font>
      <sz val="10"/>
      <color rgb="FF00B050"/>
      <name val="Garamond"/>
      <family val="1"/>
    </font>
    <font>
      <i/>
      <sz val="10"/>
      <color theme="1"/>
      <name val="Garamond"/>
      <family val="1"/>
    </font>
    <font>
      <i/>
      <sz val="10"/>
      <color rgb="FF00B050"/>
      <name val="Garamond"/>
      <family val="1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2"/>
      <color rgb="FF000000"/>
      <name val="Garamond"/>
      <family val="1"/>
    </font>
    <font>
      <u/>
      <sz val="12"/>
      <color rgb="FF467886"/>
      <name val="Garamond"/>
      <family val="1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20"/>
      <color theme="0"/>
      <name val="Garamond"/>
      <family val="1"/>
    </font>
    <font>
      <sz val="11"/>
      <color theme="0"/>
      <name val="Garamond"/>
      <family val="1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Garamond"/>
      <family val="1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Calibri"/>
      <family val="2"/>
      <scheme val="minor"/>
    </font>
    <font>
      <b/>
      <u val="singleAccounting"/>
      <sz val="10"/>
      <color indexed="9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color rgb="FF0066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0066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name val="Times New Roman"/>
      <family val="1"/>
    </font>
    <font>
      <b/>
      <u val="singleAccounting"/>
      <sz val="10"/>
      <color indexed="8"/>
      <name val="Calibri"/>
      <family val="2"/>
      <scheme val="minor"/>
    </font>
    <font>
      <sz val="10"/>
      <color rgb="FF000000"/>
      <name val="Aptos Narrow"/>
      <family val="2"/>
    </font>
    <font>
      <sz val="10"/>
      <name val="Aptos Narrow"/>
      <family val="2"/>
    </font>
    <font>
      <b/>
      <u val="singleAccounting"/>
      <sz val="10"/>
      <name val="Aptos Narrow"/>
      <family val="2"/>
    </font>
    <font>
      <b/>
      <sz val="10"/>
      <color rgb="FF000000"/>
      <name val="Aptos Narrow"/>
      <family val="2"/>
    </font>
    <font>
      <sz val="10"/>
      <color rgb="FFFFFFFF"/>
      <name val="Aptos Narrow"/>
      <family val="2"/>
    </font>
    <font>
      <sz val="10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0"/>
      <name val="Calibri"/>
      <family val="2"/>
      <scheme val="minor"/>
    </font>
    <font>
      <sz val="11"/>
      <color theme="1"/>
      <name val="Calibri"/>
      <family val="2"/>
      <scheme val="maj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ajor"/>
    </font>
    <font>
      <b/>
      <i/>
      <sz val="11"/>
      <color theme="1"/>
      <name val="Calibri"/>
      <family val="2"/>
      <scheme val="minor"/>
    </font>
    <font>
      <sz val="12"/>
      <color theme="0"/>
      <name val="Garamond"/>
      <family val="1"/>
    </font>
    <font>
      <i/>
      <sz val="10"/>
      <color rgb="FF006600"/>
      <name val="Calibri"/>
      <family val="2"/>
      <scheme val="minor"/>
    </font>
    <font>
      <sz val="10"/>
      <color rgb="FF646464"/>
      <name val="Arial"/>
      <family val="2"/>
    </font>
    <font>
      <i/>
      <sz val="10"/>
      <color rgb="FFFFFFFF"/>
      <name val="Calibri"/>
      <scheme val="minor"/>
    </font>
    <font>
      <i/>
      <sz val="10"/>
      <color rgb="FF0000FF"/>
      <name val="Calibri"/>
      <charset val="1"/>
    </font>
    <font>
      <sz val="11"/>
      <color rgb="FF000000"/>
      <name val="Calibri"/>
      <charset val="1"/>
    </font>
    <font>
      <sz val="10"/>
      <color rgb="FF000000"/>
      <name val="Calibri"/>
      <scheme val="minor"/>
    </font>
    <font>
      <sz val="11"/>
      <name val="Calibri"/>
      <family val="2"/>
      <scheme val="minor"/>
    </font>
    <font>
      <b/>
      <sz val="10"/>
      <color rgb="FF000000"/>
      <name val="Calibri"/>
      <scheme val="minor"/>
    </font>
    <font>
      <b/>
      <sz val="12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11752"/>
        <bgColor rgb="FF011752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81E9C"/>
        <bgColor indexed="64"/>
      </patternFill>
    </fill>
    <fill>
      <patternFill patternType="solid">
        <fgColor rgb="FFEBF9F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gray125"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EEEEE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8">
    <xf numFmtId="0" fontId="0" fillId="0" borderId="0"/>
    <xf numFmtId="9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30" fillId="0" borderId="14"/>
    <xf numFmtId="43" fontId="2" fillId="0" borderId="14" applyFont="0" applyFill="0" applyBorder="0" applyAlignment="0" applyProtection="0"/>
    <xf numFmtId="0" fontId="41" fillId="0" borderId="14"/>
    <xf numFmtId="0" fontId="41" fillId="0" borderId="14"/>
    <xf numFmtId="184" fontId="58" fillId="0" borderId="14" applyFont="0" applyFill="0" applyBorder="0" applyAlignment="0" applyProtection="0">
      <alignment horizontal="right"/>
    </xf>
    <xf numFmtId="9" fontId="66" fillId="0" borderId="14" applyFont="0" applyFill="0" applyBorder="0" applyAlignment="0" applyProtection="0"/>
    <xf numFmtId="0" fontId="2" fillId="0" borderId="14"/>
    <xf numFmtId="9" fontId="2" fillId="0" borderId="14" applyFont="0" applyFill="0" applyBorder="0" applyAlignment="0" applyProtection="0"/>
    <xf numFmtId="0" fontId="6" fillId="0" borderId="14"/>
    <xf numFmtId="44" fontId="6" fillId="0" borderId="14"/>
    <xf numFmtId="0" fontId="2" fillId="0" borderId="14"/>
    <xf numFmtId="0" fontId="1" fillId="0" borderId="14"/>
    <xf numFmtId="9" fontId="1" fillId="0" borderId="14" applyFont="0" applyFill="0" applyBorder="0" applyAlignment="0" applyProtection="0"/>
    <xf numFmtId="0" fontId="1" fillId="0" borderId="14"/>
  </cellStyleXfs>
  <cellXfs count="52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10" fillId="0" borderId="0" xfId="0" applyFont="1"/>
    <xf numFmtId="0" fontId="10" fillId="0" borderId="14" xfId="0" applyFont="1" applyBorder="1"/>
    <xf numFmtId="167" fontId="0" fillId="0" borderId="0" xfId="0" applyNumberFormat="1"/>
    <xf numFmtId="0" fontId="3" fillId="0" borderId="15" xfId="0" applyFont="1" applyBorder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49" fontId="3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21" fillId="0" borderId="14" xfId="0" applyFont="1" applyBorder="1"/>
    <xf numFmtId="0" fontId="21" fillId="0" borderId="0" xfId="0" applyFont="1"/>
    <xf numFmtId="0" fontId="22" fillId="0" borderId="14" xfId="0" applyFont="1" applyBorder="1"/>
    <xf numFmtId="0" fontId="4" fillId="0" borderId="14" xfId="0" applyFont="1" applyBorder="1"/>
    <xf numFmtId="0" fontId="23" fillId="0" borderId="0" xfId="0" applyFont="1"/>
    <xf numFmtId="0" fontId="24" fillId="0" borderId="0" xfId="0" applyFont="1"/>
    <xf numFmtId="0" fontId="25" fillId="0" borderId="14" xfId="0" applyFont="1" applyBorder="1"/>
    <xf numFmtId="0" fontId="0" fillId="0" borderId="14" xfId="0" applyBorder="1"/>
    <xf numFmtId="0" fontId="3" fillId="0" borderId="18" xfId="0" applyFont="1" applyBorder="1"/>
    <xf numFmtId="0" fontId="3" fillId="0" borderId="14" xfId="0" applyFont="1" applyBorder="1"/>
    <xf numFmtId="0" fontId="31" fillId="5" borderId="0" xfId="0" applyFont="1" applyFill="1"/>
    <xf numFmtId="0" fontId="4" fillId="5" borderId="0" xfId="0" applyFont="1" applyFill="1"/>
    <xf numFmtId="0" fontId="32" fillId="5" borderId="0" xfId="0" applyFont="1" applyFill="1"/>
    <xf numFmtId="0" fontId="33" fillId="6" borderId="0" xfId="0" applyFont="1" applyFill="1" applyAlignment="1">
      <alignment vertical="center"/>
    </xf>
    <xf numFmtId="0" fontId="34" fillId="6" borderId="0" xfId="0" applyFont="1" applyFill="1" applyAlignment="1">
      <alignment vertical="center"/>
    </xf>
    <xf numFmtId="0" fontId="29" fillId="5" borderId="0" xfId="0" applyFont="1" applyFill="1"/>
    <xf numFmtId="0" fontId="37" fillId="5" borderId="0" xfId="0" applyFont="1" applyFill="1"/>
    <xf numFmtId="174" fontId="38" fillId="7" borderId="0" xfId="0" applyNumberFormat="1" applyFont="1" applyFill="1"/>
    <xf numFmtId="174" fontId="39" fillId="7" borderId="0" xfId="0" applyNumberFormat="1" applyFont="1" applyFill="1"/>
    <xf numFmtId="174" fontId="39" fillId="7" borderId="0" xfId="0" applyNumberFormat="1" applyFont="1" applyFill="1" applyAlignment="1">
      <alignment horizontal="center"/>
    </xf>
    <xf numFmtId="174" fontId="39" fillId="7" borderId="18" xfId="0" applyNumberFormat="1" applyFont="1" applyFill="1" applyBorder="1" applyAlignment="1">
      <alignment horizontal="center"/>
    </xf>
    <xf numFmtId="1" fontId="0" fillId="0" borderId="0" xfId="0" applyNumberFormat="1"/>
    <xf numFmtId="174" fontId="33" fillId="8" borderId="14" xfId="5" applyNumberFormat="1" applyFont="1" applyFill="1" applyBorder="1" applyAlignment="1">
      <alignment horizontal="left" vertical="center"/>
    </xf>
    <xf numFmtId="0" fontId="0" fillId="0" borderId="18" xfId="0" applyBorder="1"/>
    <xf numFmtId="1" fontId="0" fillId="0" borderId="18" xfId="0" applyNumberFormat="1" applyBorder="1"/>
    <xf numFmtId="175" fontId="33" fillId="0" borderId="18" xfId="0" applyNumberFormat="1" applyFont="1" applyBorder="1"/>
    <xf numFmtId="0" fontId="29" fillId="5" borderId="14" xfId="0" applyFont="1" applyFill="1" applyBorder="1"/>
    <xf numFmtId="0" fontId="42" fillId="0" borderId="14" xfId="6" applyFont="1" applyAlignment="1">
      <alignment vertical="center"/>
    </xf>
    <xf numFmtId="0" fontId="42" fillId="0" borderId="14" xfId="6" applyFont="1" applyAlignment="1">
      <alignment horizontal="center" vertical="center"/>
    </xf>
    <xf numFmtId="0" fontId="42" fillId="0" borderId="14" xfId="6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4" fillId="0" borderId="14" xfId="6" applyFont="1" applyAlignment="1">
      <alignment horizontal="left" vertical="center"/>
    </xf>
    <xf numFmtId="0" fontId="44" fillId="0" borderId="14" xfId="6" applyFont="1" applyAlignment="1">
      <alignment horizontal="center" vertical="center"/>
    </xf>
    <xf numFmtId="176" fontId="44" fillId="0" borderId="14" xfId="6" applyNumberFormat="1" applyFont="1" applyAlignment="1">
      <alignment horizontal="center" vertical="center"/>
    </xf>
    <xf numFmtId="14" fontId="44" fillId="0" borderId="14" xfId="6" applyNumberFormat="1" applyFont="1" applyAlignment="1">
      <alignment horizontal="center" vertical="center"/>
    </xf>
    <xf numFmtId="0" fontId="44" fillId="0" borderId="14" xfId="6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42" fillId="0" borderId="14" xfId="6" applyFont="1" applyAlignment="1">
      <alignment horizontal="left" vertical="center"/>
    </xf>
    <xf numFmtId="14" fontId="42" fillId="0" borderId="14" xfId="6" applyNumberFormat="1" applyFont="1" applyAlignment="1">
      <alignment horizontal="center" vertical="center"/>
    </xf>
    <xf numFmtId="0" fontId="34" fillId="0" borderId="14" xfId="6" applyFont="1" applyAlignment="1">
      <alignment vertical="center"/>
    </xf>
    <xf numFmtId="0" fontId="34" fillId="0" borderId="0" xfId="0" applyFont="1" applyAlignment="1">
      <alignment vertical="center"/>
    </xf>
    <xf numFmtId="44" fontId="48" fillId="0" borderId="0" xfId="3" applyFont="1" applyAlignment="1">
      <alignment vertical="center"/>
    </xf>
    <xf numFmtId="164" fontId="42" fillId="0" borderId="14" xfId="1" applyNumberFormat="1" applyFont="1" applyBorder="1" applyAlignment="1">
      <alignment horizontal="left" vertical="center"/>
    </xf>
    <xf numFmtId="179" fontId="34" fillId="0" borderId="14" xfId="6" applyNumberFormat="1" applyFont="1" applyAlignment="1">
      <alignment horizontal="center" vertical="center"/>
    </xf>
    <xf numFmtId="173" fontId="42" fillId="0" borderId="14" xfId="6" applyNumberFormat="1" applyFont="1" applyAlignment="1">
      <alignment vertical="center"/>
    </xf>
    <xf numFmtId="9" fontId="42" fillId="0" borderId="14" xfId="6" applyNumberFormat="1" applyFont="1" applyAlignment="1">
      <alignment vertical="center"/>
    </xf>
    <xf numFmtId="44" fontId="42" fillId="0" borderId="14" xfId="3" applyFont="1" applyBorder="1" applyAlignment="1">
      <alignment vertical="center"/>
    </xf>
    <xf numFmtId="1" fontId="0" fillId="0" borderId="25" xfId="0" applyNumberFormat="1" applyBorder="1"/>
    <xf numFmtId="1" fontId="0" fillId="0" borderId="26" xfId="0" applyNumberFormat="1" applyBorder="1"/>
    <xf numFmtId="174" fontId="40" fillId="0" borderId="27" xfId="0" applyNumberFormat="1" applyFont="1" applyBorder="1" applyAlignment="1">
      <alignment horizontal="left" indent="3"/>
    </xf>
    <xf numFmtId="175" fontId="33" fillId="0" borderId="14" xfId="0" applyNumberFormat="1" applyFont="1" applyBorder="1"/>
    <xf numFmtId="0" fontId="0" fillId="0" borderId="27" xfId="0" applyBorder="1"/>
    <xf numFmtId="1" fontId="0" fillId="0" borderId="14" xfId="0" applyNumberFormat="1" applyBorder="1"/>
    <xf numFmtId="0" fontId="0" fillId="0" borderId="29" xfId="0" applyBorder="1"/>
    <xf numFmtId="0" fontId="34" fillId="0" borderId="14" xfId="6" applyFont="1" applyAlignment="1">
      <alignment vertical="center" wrapText="1"/>
    </xf>
    <xf numFmtId="0" fontId="25" fillId="0" borderId="0" xfId="0" applyFont="1"/>
    <xf numFmtId="0" fontId="40" fillId="0" borderId="0" xfId="0" applyFont="1" applyAlignment="1">
      <alignment horizontal="left" indent="1"/>
    </xf>
    <xf numFmtId="182" fontId="33" fillId="8" borderId="14" xfId="5" applyNumberFormat="1" applyFont="1" applyFill="1" applyAlignment="1">
      <alignment horizontal="right" vertical="center"/>
    </xf>
    <xf numFmtId="175" fontId="33" fillId="0" borderId="0" xfId="0" applyNumberFormat="1" applyFont="1" applyAlignment="1">
      <alignment horizontal="right"/>
    </xf>
    <xf numFmtId="175" fontId="33" fillId="0" borderId="18" xfId="0" applyNumberFormat="1" applyFont="1" applyBorder="1" applyAlignment="1">
      <alignment horizontal="right"/>
    </xf>
    <xf numFmtId="181" fontId="25" fillId="0" borderId="0" xfId="0" applyNumberFormat="1" applyFont="1" applyAlignment="1">
      <alignment horizontal="right"/>
    </xf>
    <xf numFmtId="0" fontId="40" fillId="0" borderId="29" xfId="0" applyFont="1" applyBorder="1" applyAlignment="1">
      <alignment horizontal="left" indent="1"/>
    </xf>
    <xf numFmtId="0" fontId="39" fillId="0" borderId="0" xfId="0" applyFont="1"/>
    <xf numFmtId="0" fontId="52" fillId="0" borderId="0" xfId="0" applyFont="1"/>
    <xf numFmtId="0" fontId="25" fillId="0" borderId="0" xfId="0" applyFont="1" applyAlignment="1">
      <alignment horizontal="left" indent="1"/>
    </xf>
    <xf numFmtId="0" fontId="40" fillId="0" borderId="0" xfId="0" applyFont="1" applyAlignment="1">
      <alignment horizontal="left" indent="2"/>
    </xf>
    <xf numFmtId="0" fontId="39" fillId="0" borderId="29" xfId="0" applyFont="1" applyBorder="1"/>
    <xf numFmtId="0" fontId="25" fillId="0" borderId="29" xfId="0" applyFont="1" applyBorder="1"/>
    <xf numFmtId="1" fontId="25" fillId="0" borderId="0" xfId="0" applyNumberFormat="1" applyFont="1"/>
    <xf numFmtId="1" fontId="48" fillId="0" borderId="0" xfId="0" applyNumberFormat="1" applyFont="1"/>
    <xf numFmtId="0" fontId="53" fillId="5" borderId="0" xfId="0" applyFont="1" applyFill="1"/>
    <xf numFmtId="175" fontId="33" fillId="0" borderId="29" xfId="0" applyNumberFormat="1" applyFont="1" applyBorder="1" applyAlignment="1">
      <alignment horizontal="right"/>
    </xf>
    <xf numFmtId="1" fontId="25" fillId="0" borderId="29" xfId="0" applyNumberFormat="1" applyFont="1" applyBorder="1"/>
    <xf numFmtId="1" fontId="39" fillId="0" borderId="29" xfId="0" applyNumberFormat="1" applyFont="1" applyBorder="1"/>
    <xf numFmtId="1" fontId="39" fillId="0" borderId="0" xfId="0" applyNumberFormat="1" applyFont="1"/>
    <xf numFmtId="1" fontId="48" fillId="0" borderId="18" xfId="0" applyNumberFormat="1" applyFont="1" applyBorder="1"/>
    <xf numFmtId="0" fontId="25" fillId="0" borderId="18" xfId="0" applyFont="1" applyBorder="1"/>
    <xf numFmtId="175" fontId="33" fillId="0" borderId="30" xfId="0" applyNumberFormat="1" applyFont="1" applyBorder="1" applyAlignment="1">
      <alignment horizontal="right"/>
    </xf>
    <xf numFmtId="1" fontId="39" fillId="0" borderId="30" xfId="0" applyNumberFormat="1" applyFont="1" applyBorder="1"/>
    <xf numFmtId="1" fontId="25" fillId="0" borderId="18" xfId="0" applyNumberFormat="1" applyFont="1" applyBorder="1"/>
    <xf numFmtId="1" fontId="39" fillId="0" borderId="18" xfId="0" applyNumberFormat="1" applyFont="1" applyBorder="1"/>
    <xf numFmtId="1" fontId="25" fillId="0" borderId="14" xfId="0" applyNumberFormat="1" applyFont="1" applyBorder="1"/>
    <xf numFmtId="0" fontId="22" fillId="0" borderId="0" xfId="0" applyFont="1"/>
    <xf numFmtId="0" fontId="43" fillId="0" borderId="14" xfId="7" applyFont="1" applyAlignment="1">
      <alignment horizontal="centerContinuous" vertical="center"/>
    </xf>
    <xf numFmtId="1" fontId="49" fillId="0" borderId="18" xfId="0" applyNumberFormat="1" applyFont="1" applyBorder="1"/>
    <xf numFmtId="1" fontId="25" fillId="0" borderId="30" xfId="0" applyNumberFormat="1" applyFont="1" applyBorder="1"/>
    <xf numFmtId="3" fontId="25" fillId="9" borderId="14" xfId="0" applyNumberFormat="1" applyFont="1" applyFill="1" applyBorder="1"/>
    <xf numFmtId="0" fontId="25" fillId="9" borderId="14" xfId="0" applyFont="1" applyFill="1" applyBorder="1"/>
    <xf numFmtId="174" fontId="33" fillId="8" borderId="14" xfId="5" applyNumberFormat="1" applyFont="1" applyFill="1" applyAlignment="1">
      <alignment horizontal="left" vertical="center"/>
    </xf>
    <xf numFmtId="0" fontId="39" fillId="0" borderId="14" xfId="0" applyFont="1" applyBorder="1"/>
    <xf numFmtId="183" fontId="33" fillId="0" borderId="0" xfId="0" applyNumberFormat="1" applyFont="1" applyAlignment="1">
      <alignment horizontal="right"/>
    </xf>
    <xf numFmtId="0" fontId="39" fillId="0" borderId="25" xfId="0" applyFont="1" applyBorder="1"/>
    <xf numFmtId="0" fontId="55" fillId="0" borderId="0" xfId="0" applyFont="1"/>
    <xf numFmtId="0" fontId="34" fillId="0" borderId="0" xfId="0" applyFont="1"/>
    <xf numFmtId="0" fontId="56" fillId="0" borderId="0" xfId="0" applyFont="1"/>
    <xf numFmtId="0" fontId="57" fillId="0" borderId="0" xfId="0" applyFont="1" applyAlignment="1">
      <alignment horizontal="center"/>
    </xf>
    <xf numFmtId="175" fontId="48" fillId="10" borderId="14" xfId="8" applyNumberFormat="1" applyFont="1" applyFill="1" applyAlignment="1">
      <alignment horizontal="right" vertical="distributed"/>
    </xf>
    <xf numFmtId="0" fontId="34" fillId="0" borderId="0" xfId="0" applyFont="1" applyAlignment="1">
      <alignment vertical="top"/>
    </xf>
    <xf numFmtId="0" fontId="59" fillId="0" borderId="0" xfId="0" applyFont="1" applyAlignment="1">
      <alignment horizontal="center"/>
    </xf>
    <xf numFmtId="0" fontId="57" fillId="0" borderId="0" xfId="0" applyFont="1"/>
    <xf numFmtId="174" fontId="48" fillId="0" borderId="0" xfId="0" applyNumberFormat="1" applyFont="1"/>
    <xf numFmtId="9" fontId="48" fillId="0" borderId="14" xfId="5" applyNumberFormat="1" applyFont="1" applyAlignment="1">
      <alignment horizontal="right" vertical="distributed"/>
    </xf>
    <xf numFmtId="175" fontId="34" fillId="0" borderId="14" xfId="8" applyNumberFormat="1" applyFont="1" applyAlignment="1">
      <alignment horizontal="right" vertical="distributed"/>
    </xf>
    <xf numFmtId="174" fontId="42" fillId="0" borderId="31" xfId="0" applyNumberFormat="1" applyFont="1" applyBorder="1"/>
    <xf numFmtId="175" fontId="25" fillId="0" borderId="0" xfId="0" applyNumberFormat="1" applyFont="1"/>
    <xf numFmtId="40" fontId="56" fillId="0" borderId="0" xfId="0" applyNumberFormat="1" applyFont="1"/>
    <xf numFmtId="164" fontId="56" fillId="0" borderId="0" xfId="0" applyNumberFormat="1" applyFont="1"/>
    <xf numFmtId="185" fontId="42" fillId="0" borderId="0" xfId="0" applyNumberFormat="1" applyFont="1"/>
    <xf numFmtId="0" fontId="60" fillId="0" borderId="0" xfId="0" applyFont="1"/>
    <xf numFmtId="0" fontId="61" fillId="0" borderId="0" xfId="0" applyFont="1"/>
    <xf numFmtId="175" fontId="39" fillId="0" borderId="31" xfId="8" applyNumberFormat="1" applyFont="1" applyBorder="1" applyAlignment="1">
      <alignment horizontal="right" vertical="distributed"/>
    </xf>
    <xf numFmtId="0" fontId="63" fillId="0" borderId="0" xfId="0" applyFont="1" applyAlignment="1">
      <alignment textRotation="90"/>
    </xf>
    <xf numFmtId="0" fontId="64" fillId="0" borderId="0" xfId="0" quotePrefix="1" applyFont="1"/>
    <xf numFmtId="10" fontId="63" fillId="0" borderId="0" xfId="0" applyNumberFormat="1" applyFont="1"/>
    <xf numFmtId="183" fontId="25" fillId="0" borderId="10" xfId="0" applyNumberFormat="1" applyFont="1" applyBorder="1" applyAlignment="1">
      <alignment horizontal="center"/>
    </xf>
    <xf numFmtId="183" fontId="25" fillId="0" borderId="17" xfId="0" applyNumberFormat="1" applyFont="1" applyBorder="1" applyAlignment="1">
      <alignment horizontal="center"/>
    </xf>
    <xf numFmtId="183" fontId="25" fillId="0" borderId="11" xfId="0" applyNumberFormat="1" applyFont="1" applyBorder="1" applyAlignment="1">
      <alignment horizontal="center"/>
    </xf>
    <xf numFmtId="183" fontId="25" fillId="0" borderId="6" xfId="0" applyNumberFormat="1" applyFont="1" applyBorder="1" applyAlignment="1">
      <alignment horizontal="center"/>
    </xf>
    <xf numFmtId="183" fontId="25" fillId="0" borderId="7" xfId="0" applyNumberFormat="1" applyFont="1" applyBorder="1" applyAlignment="1">
      <alignment horizontal="center"/>
    </xf>
    <xf numFmtId="175" fontId="49" fillId="10" borderId="14" xfId="8" applyNumberFormat="1" applyFont="1" applyFill="1" applyAlignment="1">
      <alignment horizontal="right" vertical="distributed"/>
    </xf>
    <xf numFmtId="183" fontId="39" fillId="0" borderId="33" xfId="0" applyNumberFormat="1" applyFont="1" applyBorder="1" applyAlignment="1">
      <alignment horizontal="center"/>
    </xf>
    <xf numFmtId="183" fontId="25" fillId="0" borderId="8" xfId="0" applyNumberFormat="1" applyFont="1" applyBorder="1" applyAlignment="1">
      <alignment horizontal="center"/>
    </xf>
    <xf numFmtId="183" fontId="25" fillId="0" borderId="5" xfId="0" applyNumberFormat="1" applyFont="1" applyBorder="1" applyAlignment="1">
      <alignment horizontal="center"/>
    </xf>
    <xf numFmtId="183" fontId="25" fillId="0" borderId="9" xfId="0" applyNumberFormat="1" applyFont="1" applyBorder="1" applyAlignment="1">
      <alignment horizontal="center"/>
    </xf>
    <xf numFmtId="174" fontId="34" fillId="10" borderId="14" xfId="8" applyNumberFormat="1" applyFont="1" applyFill="1" applyAlignment="1">
      <alignment horizontal="right" vertical="distributed"/>
    </xf>
    <xf numFmtId="175" fontId="25" fillId="0" borderId="14" xfId="8" applyNumberFormat="1" applyFont="1" applyAlignment="1">
      <alignment horizontal="right" vertical="distributed"/>
    </xf>
    <xf numFmtId="175" fontId="65" fillId="0" borderId="0" xfId="0" applyNumberFormat="1" applyFont="1"/>
    <xf numFmtId="174" fontId="39" fillId="0" borderId="0" xfId="0" applyNumberFormat="1" applyFont="1" applyAlignment="1">
      <alignment horizontal="center"/>
    </xf>
    <xf numFmtId="174" fontId="42" fillId="0" borderId="0" xfId="0" applyNumberFormat="1" applyFont="1" applyAlignment="1">
      <alignment horizontal="center"/>
    </xf>
    <xf numFmtId="175" fontId="39" fillId="0" borderId="14" xfId="9" applyNumberFormat="1" applyFont="1"/>
    <xf numFmtId="183" fontId="25" fillId="0" borderId="24" xfId="0" applyNumberFormat="1" applyFont="1" applyBorder="1" applyAlignment="1">
      <alignment horizontal="center"/>
    </xf>
    <xf numFmtId="183" fontId="25" fillId="0" borderId="25" xfId="0" applyNumberFormat="1" applyFont="1" applyBorder="1" applyAlignment="1">
      <alignment horizontal="center"/>
    </xf>
    <xf numFmtId="183" fontId="25" fillId="0" borderId="27" xfId="0" applyNumberFormat="1" applyFont="1" applyBorder="1" applyAlignment="1">
      <alignment horizontal="center"/>
    </xf>
    <xf numFmtId="183" fontId="25" fillId="0" borderId="26" xfId="0" applyNumberFormat="1" applyFont="1" applyBorder="1" applyAlignment="1">
      <alignment horizontal="center"/>
    </xf>
    <xf numFmtId="183" fontId="25" fillId="0" borderId="0" xfId="0" applyNumberFormat="1" applyFont="1" applyAlignment="1">
      <alignment horizontal="center"/>
    </xf>
    <xf numFmtId="175" fontId="42" fillId="0" borderId="14" xfId="9" applyNumberFormat="1" applyFont="1"/>
    <xf numFmtId="183" fontId="39" fillId="0" borderId="31" xfId="0" applyNumberFormat="1" applyFont="1" applyBorder="1" applyAlignment="1">
      <alignment horizontal="center"/>
    </xf>
    <xf numFmtId="183" fontId="25" fillId="0" borderId="18" xfId="0" applyNumberFormat="1" applyFont="1" applyBorder="1" applyAlignment="1">
      <alignment horizontal="center"/>
    </xf>
    <xf numFmtId="0" fontId="34" fillId="0" borderId="29" xfId="0" applyFont="1" applyBorder="1"/>
    <xf numFmtId="183" fontId="25" fillId="0" borderId="28" xfId="0" applyNumberFormat="1" applyFont="1" applyBorder="1" applyAlignment="1">
      <alignment horizontal="center"/>
    </xf>
    <xf numFmtId="183" fontId="25" fillId="0" borderId="29" xfId="0" applyNumberFormat="1" applyFont="1" applyBorder="1" applyAlignment="1">
      <alignment horizontal="center"/>
    </xf>
    <xf numFmtId="183" fontId="25" fillId="0" borderId="30" xfId="0" applyNumberFormat="1" applyFont="1" applyBorder="1" applyAlignment="1">
      <alignment horizontal="center"/>
    </xf>
    <xf numFmtId="0" fontId="54" fillId="5" borderId="0" xfId="0" applyFont="1" applyFill="1" applyAlignment="1">
      <alignment horizontal="left" vertical="center"/>
    </xf>
    <xf numFmtId="0" fontId="43" fillId="5" borderId="0" xfId="0" applyFont="1" applyFill="1" applyAlignment="1">
      <alignment horizontal="left"/>
    </xf>
    <xf numFmtId="0" fontId="47" fillId="5" borderId="14" xfId="6" applyFont="1" applyFill="1" applyAlignment="1">
      <alignment horizontal="left" vertical="center"/>
    </xf>
    <xf numFmtId="0" fontId="43" fillId="5" borderId="14" xfId="6" applyFont="1" applyFill="1" applyAlignment="1">
      <alignment horizontal="left" vertical="center"/>
    </xf>
    <xf numFmtId="43" fontId="39" fillId="0" borderId="14" xfId="2" applyFont="1" applyBorder="1" applyAlignment="1">
      <alignment vertical="center"/>
    </xf>
    <xf numFmtId="178" fontId="42" fillId="0" borderId="14" xfId="6" applyNumberFormat="1" applyFont="1" applyAlignment="1">
      <alignment vertical="center"/>
    </xf>
    <xf numFmtId="177" fontId="42" fillId="0" borderId="14" xfId="6" applyNumberFormat="1" applyFont="1" applyAlignment="1">
      <alignment vertical="center"/>
    </xf>
    <xf numFmtId="164" fontId="42" fillId="0" borderId="19" xfId="1" applyNumberFormat="1" applyFont="1" applyFill="1" applyBorder="1" applyAlignment="1">
      <alignment horizontal="left" vertical="center"/>
    </xf>
    <xf numFmtId="179" fontId="34" fillId="0" borderId="20" xfId="6" applyNumberFormat="1" applyFont="1" applyBorder="1" applyAlignment="1">
      <alignment horizontal="center" vertical="center"/>
    </xf>
    <xf numFmtId="164" fontId="42" fillId="0" borderId="23" xfId="1" applyNumberFormat="1" applyFont="1" applyFill="1" applyBorder="1" applyAlignment="1">
      <alignment horizontal="left" vertical="center"/>
    </xf>
    <xf numFmtId="179" fontId="34" fillId="0" borderId="22" xfId="6" applyNumberFormat="1" applyFont="1" applyBorder="1" applyAlignment="1">
      <alignment horizontal="center" vertical="center"/>
    </xf>
    <xf numFmtId="164" fontId="42" fillId="0" borderId="21" xfId="1" applyNumberFormat="1" applyFont="1" applyFill="1" applyBorder="1" applyAlignment="1">
      <alignment horizontal="left" vertical="center"/>
    </xf>
    <xf numFmtId="0" fontId="62" fillId="0" borderId="0" xfId="0" applyFont="1" applyAlignment="1">
      <alignment horizontal="center"/>
    </xf>
    <xf numFmtId="0" fontId="47" fillId="5" borderId="0" xfId="0" applyFont="1" applyFill="1" applyAlignment="1">
      <alignment horizontal="left" vertical="center"/>
    </xf>
    <xf numFmtId="0" fontId="33" fillId="0" borderId="0" xfId="0" applyFont="1" applyAlignment="1">
      <alignment vertical="center"/>
    </xf>
    <xf numFmtId="0" fontId="42" fillId="0" borderId="2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1" fontId="48" fillId="0" borderId="0" xfId="0" applyNumberFormat="1" applyFont="1" applyAlignment="1">
      <alignment vertical="center"/>
    </xf>
    <xf numFmtId="181" fontId="48" fillId="10" borderId="0" xfId="0" applyNumberFormat="1" applyFont="1" applyFill="1" applyAlignment="1">
      <alignment vertical="center"/>
    </xf>
    <xf numFmtId="174" fontId="48" fillId="10" borderId="0" xfId="0" applyNumberFormat="1" applyFont="1" applyFill="1" applyAlignment="1">
      <alignment vertical="center"/>
    </xf>
    <xf numFmtId="175" fontId="48" fillId="10" borderId="0" xfId="0" applyNumberFormat="1" applyFont="1" applyFill="1" applyAlignment="1">
      <alignment vertical="center"/>
    </xf>
    <xf numFmtId="0" fontId="38" fillId="7" borderId="0" xfId="0" applyFont="1" applyFill="1"/>
    <xf numFmtId="0" fontId="39" fillId="7" borderId="0" xfId="0" applyFont="1" applyFill="1"/>
    <xf numFmtId="0" fontId="39" fillId="7" borderId="0" xfId="0" applyFont="1" applyFill="1" applyAlignment="1">
      <alignment horizontal="center"/>
    </xf>
    <xf numFmtId="187" fontId="34" fillId="0" borderId="0" xfId="0" applyNumberFormat="1" applyFont="1" applyAlignment="1">
      <alignment horizontal="right"/>
    </xf>
    <xf numFmtId="0" fontId="25" fillId="0" borderId="29" xfId="0" applyFont="1" applyBorder="1" applyAlignment="1">
      <alignment horizontal="left" indent="1"/>
    </xf>
    <xf numFmtId="175" fontId="34" fillId="0" borderId="0" xfId="0" applyNumberFormat="1" applyFont="1" applyAlignment="1">
      <alignment horizontal="right"/>
    </xf>
    <xf numFmtId="181" fontId="42" fillId="0" borderId="25" xfId="0" applyNumberFormat="1" applyFont="1" applyBorder="1" applyAlignment="1">
      <alignment horizontal="right"/>
    </xf>
    <xf numFmtId="0" fontId="67" fillId="0" borderId="0" xfId="0" applyFont="1"/>
    <xf numFmtId="181" fontId="25" fillId="0" borderId="0" xfId="0" applyNumberFormat="1" applyFont="1"/>
    <xf numFmtId="174" fontId="25" fillId="0" borderId="0" xfId="0" applyNumberFormat="1" applyFont="1"/>
    <xf numFmtId="186" fontId="25" fillId="0" borderId="0" xfId="0" applyNumberFormat="1" applyFont="1"/>
    <xf numFmtId="173" fontId="25" fillId="0" borderId="0" xfId="0" applyNumberFormat="1" applyFont="1"/>
    <xf numFmtId="175" fontId="42" fillId="0" borderId="25" xfId="0" applyNumberFormat="1" applyFont="1" applyBorder="1" applyAlignment="1">
      <alignment vertical="center"/>
    </xf>
    <xf numFmtId="0" fontId="67" fillId="0" borderId="29" xfId="0" applyFont="1" applyBorder="1"/>
    <xf numFmtId="181" fontId="25" fillId="0" borderId="29" xfId="0" applyNumberFormat="1" applyFont="1" applyBorder="1"/>
    <xf numFmtId="9" fontId="39" fillId="0" borderId="0" xfId="0" applyNumberFormat="1" applyFont="1"/>
    <xf numFmtId="0" fontId="68" fillId="0" borderId="0" xfId="0" applyFont="1"/>
    <xf numFmtId="181" fontId="39" fillId="0" borderId="0" xfId="0" applyNumberFormat="1" applyFont="1"/>
    <xf numFmtId="0" fontId="68" fillId="0" borderId="25" xfId="0" applyFont="1" applyBorder="1"/>
    <xf numFmtId="0" fontId="25" fillId="0" borderId="25" xfId="0" applyFont="1" applyBorder="1"/>
    <xf numFmtId="181" fontId="39" fillId="0" borderId="25" xfId="0" applyNumberFormat="1" applyFont="1" applyBorder="1"/>
    <xf numFmtId="0" fontId="38" fillId="0" borderId="0" xfId="0" applyFont="1"/>
    <xf numFmtId="0" fontId="39" fillId="0" borderId="0" xfId="0" applyFont="1" applyAlignment="1">
      <alignment horizontal="center"/>
    </xf>
    <xf numFmtId="173" fontId="39" fillId="0" borderId="29" xfId="5" applyNumberFormat="1" applyFont="1" applyBorder="1" applyAlignment="1">
      <alignment horizontal="center"/>
    </xf>
    <xf numFmtId="173" fontId="46" fillId="0" borderId="29" xfId="5" applyNumberFormat="1" applyFont="1" applyBorder="1" applyAlignment="1">
      <alignment horizontal="center"/>
    </xf>
    <xf numFmtId="175" fontId="39" fillId="0" borderId="32" xfId="9" applyNumberFormat="1" applyFont="1" applyBorder="1"/>
    <xf numFmtId="175" fontId="46" fillId="0" borderId="32" xfId="9" applyNumberFormat="1" applyFont="1" applyBorder="1"/>
    <xf numFmtId="0" fontId="69" fillId="0" borderId="0" xfId="0" applyFont="1"/>
    <xf numFmtId="0" fontId="57" fillId="0" borderId="0" xfId="0" applyFont="1" applyAlignment="1">
      <alignment horizontal="right" vertical="distributed" textRotation="90"/>
    </xf>
    <xf numFmtId="181" fontId="39" fillId="0" borderId="29" xfId="0" applyNumberFormat="1" applyFont="1" applyBorder="1" applyAlignment="1">
      <alignment horizontal="center"/>
    </xf>
    <xf numFmtId="181" fontId="46" fillId="0" borderId="29" xfId="0" applyNumberFormat="1" applyFont="1" applyBorder="1" applyAlignment="1">
      <alignment horizontal="center"/>
    </xf>
    <xf numFmtId="180" fontId="49" fillId="10" borderId="0" xfId="0" applyNumberFormat="1" applyFont="1" applyFill="1" applyAlignment="1">
      <alignment vertical="center"/>
    </xf>
    <xf numFmtId="186" fontId="49" fillId="10" borderId="0" xfId="0" applyNumberFormat="1" applyFont="1" applyFill="1" applyAlignment="1">
      <alignment vertical="center"/>
    </xf>
    <xf numFmtId="177" fontId="48" fillId="10" borderId="0" xfId="0" applyNumberFormat="1" applyFont="1" applyFill="1" applyAlignment="1">
      <alignment vertical="center"/>
    </xf>
    <xf numFmtId="0" fontId="39" fillId="5" borderId="0" xfId="0" applyFont="1" applyFill="1" applyAlignment="1">
      <alignment horizontal="center"/>
    </xf>
    <xf numFmtId="0" fontId="38" fillId="5" borderId="0" xfId="0" applyFont="1" applyFill="1"/>
    <xf numFmtId="0" fontId="39" fillId="5" borderId="0" xfId="0" applyFont="1" applyFill="1"/>
    <xf numFmtId="0" fontId="38" fillId="5" borderId="0" xfId="0" applyFont="1" applyFill="1" applyAlignment="1">
      <alignment horizontal="center"/>
    </xf>
    <xf numFmtId="0" fontId="68" fillId="0" borderId="14" xfId="0" applyFont="1" applyBorder="1"/>
    <xf numFmtId="181" fontId="0" fillId="0" borderId="0" xfId="0" applyNumberFormat="1"/>
    <xf numFmtId="183" fontId="48" fillId="10" borderId="0" xfId="0" applyNumberFormat="1" applyFont="1" applyFill="1" applyAlignment="1">
      <alignment vertical="center"/>
    </xf>
    <xf numFmtId="181" fontId="25" fillId="0" borderId="14" xfId="0" applyNumberFormat="1" applyFont="1" applyBorder="1"/>
    <xf numFmtId="180" fontId="25" fillId="0" borderId="0" xfId="0" applyNumberFormat="1" applyFont="1"/>
    <xf numFmtId="175" fontId="42" fillId="0" borderId="14" xfId="0" applyNumberFormat="1" applyFont="1" applyBorder="1" applyAlignment="1">
      <alignment vertical="center"/>
    </xf>
    <xf numFmtId="186" fontId="25" fillId="0" borderId="29" xfId="0" applyNumberFormat="1" applyFont="1" applyBorder="1"/>
    <xf numFmtId="181" fontId="0" fillId="0" borderId="29" xfId="0" applyNumberFormat="1" applyBorder="1"/>
    <xf numFmtId="44" fontId="25" fillId="0" borderId="25" xfId="3" applyFont="1" applyBorder="1" applyAlignment="1">
      <alignment horizontal="center"/>
    </xf>
    <xf numFmtId="44" fontId="25" fillId="0" borderId="0" xfId="3" applyFont="1" applyAlignment="1">
      <alignment horizontal="center"/>
    </xf>
    <xf numFmtId="44" fontId="25" fillId="0" borderId="24" xfId="3" applyFont="1" applyBorder="1" applyAlignment="1">
      <alignment horizontal="center"/>
    </xf>
    <xf numFmtId="44" fontId="25" fillId="0" borderId="26" xfId="3" applyFont="1" applyBorder="1" applyAlignment="1">
      <alignment horizontal="center"/>
    </xf>
    <xf numFmtId="44" fontId="25" fillId="0" borderId="27" xfId="3" applyFont="1" applyBorder="1" applyAlignment="1">
      <alignment horizontal="center"/>
    </xf>
    <xf numFmtId="44" fontId="39" fillId="0" borderId="31" xfId="3" applyFont="1" applyBorder="1" applyAlignment="1">
      <alignment horizontal="center"/>
    </xf>
    <xf numFmtId="44" fontId="25" fillId="0" borderId="18" xfId="3" applyFont="1" applyBorder="1" applyAlignment="1">
      <alignment horizontal="center"/>
    </xf>
    <xf numFmtId="44" fontId="25" fillId="0" borderId="28" xfId="3" applyFont="1" applyBorder="1" applyAlignment="1">
      <alignment horizontal="center"/>
    </xf>
    <xf numFmtId="44" fontId="25" fillId="0" borderId="29" xfId="3" applyFont="1" applyBorder="1" applyAlignment="1">
      <alignment horizontal="center"/>
    </xf>
    <xf numFmtId="44" fontId="25" fillId="0" borderId="30" xfId="3" applyFont="1" applyBorder="1" applyAlignment="1">
      <alignment horizontal="center"/>
    </xf>
    <xf numFmtId="44" fontId="25" fillId="0" borderId="34" xfId="3" applyFont="1" applyBorder="1" applyAlignment="1">
      <alignment horizontal="center"/>
    </xf>
    <xf numFmtId="44" fontId="25" fillId="0" borderId="35" xfId="3" applyFont="1" applyBorder="1" applyAlignment="1">
      <alignment horizontal="center"/>
    </xf>
    <xf numFmtId="44" fontId="25" fillId="0" borderId="36" xfId="3" applyFont="1" applyBorder="1" applyAlignment="1">
      <alignment horizontal="center"/>
    </xf>
    <xf numFmtId="44" fontId="25" fillId="0" borderId="37" xfId="3" applyFont="1" applyBorder="1" applyAlignment="1">
      <alignment horizontal="center"/>
    </xf>
    <xf numFmtId="44" fontId="25" fillId="0" borderId="38" xfId="3" applyFont="1" applyBorder="1" applyAlignment="1">
      <alignment horizontal="center"/>
    </xf>
    <xf numFmtId="44" fontId="25" fillId="0" borderId="39" xfId="3" applyFont="1" applyBorder="1" applyAlignment="1">
      <alignment horizontal="center"/>
    </xf>
    <xf numFmtId="44" fontId="25" fillId="0" borderId="40" xfId="3" applyFont="1" applyBorder="1" applyAlignment="1">
      <alignment horizontal="center"/>
    </xf>
    <xf numFmtId="44" fontId="25" fillId="0" borderId="41" xfId="3" applyFont="1" applyBorder="1" applyAlignment="1">
      <alignment horizontal="center"/>
    </xf>
    <xf numFmtId="10" fontId="46" fillId="0" borderId="29" xfId="1" applyNumberFormat="1" applyFont="1" applyBorder="1" applyAlignment="1">
      <alignment horizontal="center"/>
    </xf>
    <xf numFmtId="10" fontId="39" fillId="0" borderId="29" xfId="1" applyNumberFormat="1" applyFont="1" applyBorder="1" applyAlignment="1">
      <alignment horizontal="center"/>
    </xf>
    <xf numFmtId="181" fontId="42" fillId="0" borderId="14" xfId="0" applyNumberFormat="1" applyFont="1" applyBorder="1" applyAlignment="1">
      <alignment horizontal="right"/>
    </xf>
    <xf numFmtId="175" fontId="34" fillId="0" borderId="14" xfId="0" applyNumberFormat="1" applyFont="1" applyBorder="1" applyAlignment="1">
      <alignment horizontal="right"/>
    </xf>
    <xf numFmtId="0" fontId="11" fillId="0" borderId="14" xfId="0" applyFont="1" applyBorder="1" applyAlignment="1">
      <alignment horizontal="center"/>
    </xf>
    <xf numFmtId="0" fontId="12" fillId="0" borderId="14" xfId="0" applyFont="1" applyBorder="1"/>
    <xf numFmtId="166" fontId="14" fillId="0" borderId="14" xfId="0" applyNumberFormat="1" applyFont="1" applyBorder="1"/>
    <xf numFmtId="9" fontId="16" fillId="0" borderId="14" xfId="0" applyNumberFormat="1" applyFont="1" applyBorder="1"/>
    <xf numFmtId="0" fontId="14" fillId="0" borderId="14" xfId="0" applyFont="1" applyBorder="1"/>
    <xf numFmtId="0" fontId="13" fillId="0" borderId="14" xfId="0" applyFont="1" applyBorder="1"/>
    <xf numFmtId="166" fontId="10" fillId="0" borderId="14" xfId="0" applyNumberFormat="1" applyFont="1" applyBorder="1"/>
    <xf numFmtId="10" fontId="13" fillId="0" borderId="14" xfId="0" applyNumberFormat="1" applyFont="1" applyBorder="1"/>
    <xf numFmtId="7" fontId="10" fillId="0" borderId="14" xfId="0" applyNumberFormat="1" applyFont="1" applyBorder="1"/>
    <xf numFmtId="10" fontId="10" fillId="0" borderId="14" xfId="0" applyNumberFormat="1" applyFont="1" applyBorder="1"/>
    <xf numFmtId="0" fontId="9" fillId="0" borderId="14" xfId="0" applyFont="1" applyBorder="1"/>
    <xf numFmtId="0" fontId="14" fillId="0" borderId="14" xfId="0" applyFont="1" applyBorder="1" applyAlignment="1">
      <alignment horizontal="right"/>
    </xf>
    <xf numFmtId="9" fontId="14" fillId="0" borderId="14" xfId="0" applyNumberFormat="1" applyFont="1" applyBorder="1"/>
    <xf numFmtId="168" fontId="14" fillId="0" borderId="14" xfId="0" applyNumberFormat="1" applyFont="1" applyBorder="1"/>
    <xf numFmtId="9" fontId="12" fillId="0" borderId="14" xfId="0" applyNumberFormat="1" applyFont="1" applyBorder="1"/>
    <xf numFmtId="169" fontId="10" fillId="0" borderId="14" xfId="0" applyNumberFormat="1" applyFont="1" applyBorder="1"/>
    <xf numFmtId="0" fontId="11" fillId="0" borderId="14" xfId="0" applyFont="1" applyBorder="1" applyAlignment="1">
      <alignment horizontal="left"/>
    </xf>
    <xf numFmtId="165" fontId="11" fillId="0" borderId="14" xfId="0" applyNumberFormat="1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7" fontId="13" fillId="0" borderId="14" xfId="0" applyNumberFormat="1" applyFont="1" applyBorder="1"/>
    <xf numFmtId="9" fontId="13" fillId="0" borderId="14" xfId="0" applyNumberFormat="1" applyFont="1" applyBorder="1"/>
    <xf numFmtId="8" fontId="10" fillId="0" borderId="14" xfId="0" applyNumberFormat="1" applyFont="1" applyBorder="1"/>
    <xf numFmtId="171" fontId="10" fillId="0" borderId="14" xfId="0" applyNumberFormat="1" applyFont="1" applyBorder="1"/>
    <xf numFmtId="166" fontId="12" fillId="0" borderId="14" xfId="0" applyNumberFormat="1" applyFont="1" applyBorder="1"/>
    <xf numFmtId="7" fontId="14" fillId="0" borderId="14" xfId="0" applyNumberFormat="1" applyFont="1" applyBorder="1"/>
    <xf numFmtId="168" fontId="13" fillId="0" borderId="14" xfId="0" applyNumberFormat="1" applyFont="1" applyBorder="1"/>
    <xf numFmtId="10" fontId="12" fillId="0" borderId="14" xfId="0" applyNumberFormat="1" applyFont="1" applyBorder="1"/>
    <xf numFmtId="0" fontId="13" fillId="0" borderId="14" xfId="0" applyFont="1" applyBorder="1" applyAlignment="1">
      <alignment horizontal="right"/>
    </xf>
    <xf numFmtId="168" fontId="10" fillId="0" borderId="14" xfId="0" applyNumberFormat="1" applyFont="1" applyBorder="1"/>
    <xf numFmtId="168" fontId="12" fillId="0" borderId="14" xfId="0" applyNumberFormat="1" applyFont="1" applyBorder="1"/>
    <xf numFmtId="0" fontId="28" fillId="0" borderId="0" xfId="0" applyFont="1"/>
    <xf numFmtId="0" fontId="2" fillId="0" borderId="14" xfId="10"/>
    <xf numFmtId="0" fontId="2" fillId="0" borderId="29" xfId="10" applyBorder="1"/>
    <xf numFmtId="172" fontId="0" fillId="0" borderId="0" xfId="0" applyNumberFormat="1"/>
    <xf numFmtId="0" fontId="42" fillId="0" borderId="0" xfId="0" applyFont="1" applyAlignment="1">
      <alignment vertical="center"/>
    </xf>
    <xf numFmtId="44" fontId="0" fillId="0" borderId="0" xfId="3" applyFont="1"/>
    <xf numFmtId="44" fontId="0" fillId="0" borderId="29" xfId="0" applyNumberFormat="1" applyBorder="1"/>
    <xf numFmtId="172" fontId="70" fillId="0" borderId="14" xfId="10" applyNumberFormat="1" applyFont="1" applyAlignment="1">
      <alignment horizontal="left"/>
    </xf>
    <xf numFmtId="9" fontId="70" fillId="0" borderId="14" xfId="10" applyNumberFormat="1" applyFont="1"/>
    <xf numFmtId="172" fontId="70" fillId="0" borderId="29" xfId="10" applyNumberFormat="1" applyFont="1" applyBorder="1" applyAlignment="1">
      <alignment horizontal="left"/>
    </xf>
    <xf numFmtId="44" fontId="0" fillId="0" borderId="0" xfId="0" applyNumberFormat="1"/>
    <xf numFmtId="0" fontId="2" fillId="0" borderId="14" xfId="14"/>
    <xf numFmtId="44" fontId="28" fillId="0" borderId="0" xfId="0" applyNumberFormat="1" applyFont="1"/>
    <xf numFmtId="172" fontId="3" fillId="0" borderId="14" xfId="14" applyNumberFormat="1" applyFont="1" applyAlignment="1">
      <alignment horizontal="left"/>
    </xf>
    <xf numFmtId="0" fontId="28" fillId="0" borderId="29" xfId="0" applyFont="1" applyBorder="1"/>
    <xf numFmtId="0" fontId="3" fillId="0" borderId="14" xfId="14" applyFont="1"/>
    <xf numFmtId="0" fontId="3" fillId="0" borderId="29" xfId="14" applyFont="1" applyBorder="1"/>
    <xf numFmtId="9" fontId="3" fillId="0" borderId="14" xfId="14" applyNumberFormat="1" applyFont="1"/>
    <xf numFmtId="172" fontId="3" fillId="0" borderId="14" xfId="14" applyNumberFormat="1" applyFont="1" applyAlignment="1">
      <alignment horizontal="right"/>
    </xf>
    <xf numFmtId="9" fontId="3" fillId="0" borderId="29" xfId="14" applyNumberFormat="1" applyFont="1" applyBorder="1"/>
    <xf numFmtId="0" fontId="3" fillId="0" borderId="14" xfId="14" applyFont="1" applyAlignment="1">
      <alignment horizontal="left"/>
    </xf>
    <xf numFmtId="0" fontId="28" fillId="0" borderId="29" xfId="14" applyFont="1" applyBorder="1"/>
    <xf numFmtId="0" fontId="2" fillId="0" borderId="29" xfId="14" applyBorder="1"/>
    <xf numFmtId="44" fontId="2" fillId="0" borderId="14" xfId="14" applyNumberFormat="1"/>
    <xf numFmtId="0" fontId="34" fillId="0" borderId="14" xfId="0" applyFont="1" applyBorder="1" applyAlignment="1">
      <alignment vertical="center"/>
    </xf>
    <xf numFmtId="0" fontId="3" fillId="0" borderId="29" xfId="14" applyFont="1" applyBorder="1" applyAlignment="1">
      <alignment horizontal="right"/>
    </xf>
    <xf numFmtId="1" fontId="28" fillId="0" borderId="0" xfId="0" applyNumberFormat="1" applyFont="1"/>
    <xf numFmtId="10" fontId="0" fillId="0" borderId="0" xfId="0" applyNumberFormat="1"/>
    <xf numFmtId="164" fontId="70" fillId="0" borderId="14" xfId="10" applyNumberFormat="1" applyFont="1"/>
    <xf numFmtId="164" fontId="70" fillId="0" borderId="29" xfId="10" applyNumberFormat="1" applyFont="1" applyBorder="1"/>
    <xf numFmtId="164" fontId="0" fillId="0" borderId="0" xfId="0" applyNumberFormat="1"/>
    <xf numFmtId="1" fontId="28" fillId="0" borderId="29" xfId="0" applyNumberFormat="1" applyFont="1" applyBorder="1"/>
    <xf numFmtId="0" fontId="28" fillId="0" borderId="14" xfId="0" applyFont="1" applyBorder="1"/>
    <xf numFmtId="1" fontId="0" fillId="0" borderId="29" xfId="0" applyNumberFormat="1" applyBorder="1"/>
    <xf numFmtId="0" fontId="25" fillId="0" borderId="0" xfId="0" applyFont="1" applyAlignment="1">
      <alignment horizontal="left"/>
    </xf>
    <xf numFmtId="188" fontId="25" fillId="0" borderId="0" xfId="0" applyNumberFormat="1" applyFont="1"/>
    <xf numFmtId="188" fontId="42" fillId="0" borderId="14" xfId="3" applyNumberFormat="1" applyFont="1" applyBorder="1" applyAlignment="1">
      <alignment vertical="center"/>
    </xf>
    <xf numFmtId="173" fontId="39" fillId="0" borderId="14" xfId="6" applyNumberFormat="1" applyFont="1" applyAlignment="1">
      <alignment horizontal="center" vertical="center"/>
    </xf>
    <xf numFmtId="0" fontId="49" fillId="0" borderId="0" xfId="0" applyFont="1" applyAlignment="1">
      <alignment horizontal="center"/>
    </xf>
    <xf numFmtId="188" fontId="49" fillId="0" borderId="14" xfId="3" applyNumberFormat="1" applyFont="1" applyBorder="1" applyAlignment="1">
      <alignment vertical="center"/>
    </xf>
    <xf numFmtId="173" fontId="49" fillId="0" borderId="14" xfId="6" applyNumberFormat="1" applyFont="1" applyAlignment="1">
      <alignment horizontal="center" vertical="center"/>
    </xf>
    <xf numFmtId="178" fontId="45" fillId="10" borderId="14" xfId="6" applyNumberFormat="1" applyFont="1" applyFill="1" applyAlignment="1">
      <alignment vertical="center"/>
    </xf>
    <xf numFmtId="0" fontId="28" fillId="10" borderId="0" xfId="0" applyFont="1" applyFill="1"/>
    <xf numFmtId="172" fontId="70" fillId="0" borderId="14" xfId="10" applyNumberFormat="1" applyFont="1" applyAlignment="1">
      <alignment horizontal="right"/>
    </xf>
    <xf numFmtId="188" fontId="0" fillId="0" borderId="0" xfId="3" applyNumberFormat="1" applyFont="1"/>
    <xf numFmtId="0" fontId="71" fillId="0" borderId="14" xfId="0" applyFont="1" applyBorder="1"/>
    <xf numFmtId="188" fontId="0" fillId="0" borderId="29" xfId="0" applyNumberFormat="1" applyBorder="1"/>
    <xf numFmtId="188" fontId="0" fillId="0" borderId="0" xfId="0" applyNumberFormat="1"/>
    <xf numFmtId="9" fontId="71" fillId="0" borderId="0" xfId="0" applyNumberFormat="1" applyFont="1"/>
    <xf numFmtId="0" fontId="1" fillId="0" borderId="0" xfId="0" applyFont="1"/>
    <xf numFmtId="0" fontId="1" fillId="0" borderId="14" xfId="0" applyFont="1" applyBorder="1"/>
    <xf numFmtId="0" fontId="1" fillId="0" borderId="29" xfId="0" applyFont="1" applyBorder="1"/>
    <xf numFmtId="188" fontId="28" fillId="0" borderId="0" xfId="0" applyNumberFormat="1" applyFont="1"/>
    <xf numFmtId="188" fontId="0" fillId="0" borderId="0" xfId="1" applyNumberFormat="1" applyFont="1"/>
    <xf numFmtId="0" fontId="28" fillId="0" borderId="42" xfId="0" applyFont="1" applyBorder="1"/>
    <xf numFmtId="0" fontId="28" fillId="0" borderId="28" xfId="0" applyFont="1" applyBorder="1"/>
    <xf numFmtId="9" fontId="28" fillId="0" borderId="30" xfId="1" applyFont="1" applyBorder="1"/>
    <xf numFmtId="0" fontId="28" fillId="0" borderId="43" xfId="0" applyFont="1" applyBorder="1"/>
    <xf numFmtId="43" fontId="72" fillId="0" borderId="44" xfId="2" applyFont="1" applyBorder="1" applyAlignment="1">
      <alignment horizontal="right"/>
    </xf>
    <xf numFmtId="0" fontId="73" fillId="0" borderId="14" xfId="0" applyFont="1" applyBorder="1"/>
    <xf numFmtId="0" fontId="73" fillId="0" borderId="0" xfId="0" applyFont="1"/>
    <xf numFmtId="9" fontId="73" fillId="0" borderId="0" xfId="1" applyFont="1"/>
    <xf numFmtId="167" fontId="3" fillId="0" borderId="0" xfId="0" applyNumberFormat="1" applyFont="1"/>
    <xf numFmtId="0" fontId="9" fillId="0" borderId="25" xfId="0" applyFont="1" applyBorder="1"/>
    <xf numFmtId="0" fontId="3" fillId="0" borderId="25" xfId="0" applyFont="1" applyBorder="1"/>
    <xf numFmtId="167" fontId="3" fillId="0" borderId="25" xfId="0" applyNumberFormat="1" applyFont="1" applyBorder="1"/>
    <xf numFmtId="9" fontId="3" fillId="0" borderId="14" xfId="17" applyNumberFormat="1" applyFont="1"/>
    <xf numFmtId="0" fontId="3" fillId="10" borderId="0" xfId="0" applyFont="1" applyFill="1"/>
    <xf numFmtId="9" fontId="74" fillId="0" borderId="14" xfId="17" applyNumberFormat="1" applyFont="1"/>
    <xf numFmtId="9" fontId="9" fillId="0" borderId="14" xfId="17" applyNumberFormat="1" applyFont="1"/>
    <xf numFmtId="173" fontId="9" fillId="0" borderId="14" xfId="17" applyNumberFormat="1" applyFont="1"/>
    <xf numFmtId="173" fontId="3" fillId="0" borderId="14" xfId="17" applyNumberFormat="1" applyFont="1"/>
    <xf numFmtId="9" fontId="3" fillId="0" borderId="18" xfId="17" applyNumberFormat="1" applyFont="1" applyBorder="1"/>
    <xf numFmtId="9" fontId="3" fillId="0" borderId="29" xfId="17" applyNumberFormat="1" applyFont="1" applyBorder="1"/>
    <xf numFmtId="9" fontId="3" fillId="0" borderId="30" xfId="17" applyNumberFormat="1" applyFont="1" applyBorder="1"/>
    <xf numFmtId="9" fontId="3" fillId="0" borderId="24" xfId="17" applyNumberFormat="1" applyFont="1" applyBorder="1"/>
    <xf numFmtId="9" fontId="3" fillId="0" borderId="25" xfId="17" applyNumberFormat="1" applyFont="1" applyBorder="1"/>
    <xf numFmtId="9" fontId="3" fillId="0" borderId="26" xfId="17" applyNumberFormat="1" applyFont="1" applyBorder="1"/>
    <xf numFmtId="9" fontId="3" fillId="0" borderId="27" xfId="17" applyNumberFormat="1" applyFont="1" applyBorder="1"/>
    <xf numFmtId="9" fontId="3" fillId="0" borderId="28" xfId="17" applyNumberFormat="1" applyFont="1" applyBorder="1"/>
    <xf numFmtId="174" fontId="33" fillId="0" borderId="14" xfId="5" applyNumberFormat="1" applyFont="1" applyFill="1" applyBorder="1" applyAlignment="1">
      <alignment horizontal="left" vertical="center"/>
    </xf>
    <xf numFmtId="1" fontId="50" fillId="0" borderId="14" xfId="0" applyNumberFormat="1" applyFont="1" applyBorder="1"/>
    <xf numFmtId="175" fontId="51" fillId="0" borderId="14" xfId="0" applyNumberFormat="1" applyFont="1" applyBorder="1"/>
    <xf numFmtId="174" fontId="39" fillId="0" borderId="14" xfId="0" applyNumberFormat="1" applyFont="1" applyBorder="1" applyAlignment="1">
      <alignment horizontal="center"/>
    </xf>
    <xf numFmtId="174" fontId="38" fillId="0" borderId="14" xfId="0" applyNumberFormat="1" applyFont="1" applyBorder="1"/>
    <xf numFmtId="174" fontId="40" fillId="0" borderId="14" xfId="0" applyNumberFormat="1" applyFont="1" applyBorder="1" applyAlignment="1">
      <alignment horizontal="left" indent="3"/>
    </xf>
    <xf numFmtId="0" fontId="50" fillId="0" borderId="14" xfId="0" applyFont="1" applyBorder="1"/>
    <xf numFmtId="175" fontId="45" fillId="11" borderId="29" xfId="0" applyNumberFormat="1" applyFont="1" applyFill="1" applyBorder="1"/>
    <xf numFmtId="175" fontId="49" fillId="11" borderId="0" xfId="0" applyNumberFormat="1" applyFont="1" applyFill="1"/>
    <xf numFmtId="175" fontId="75" fillId="0" borderId="18" xfId="0" applyNumberFormat="1" applyFont="1" applyBorder="1"/>
    <xf numFmtId="175" fontId="40" fillId="0" borderId="0" xfId="0" applyNumberFormat="1" applyFont="1" applyAlignment="1">
      <alignment horizontal="right"/>
    </xf>
    <xf numFmtId="175" fontId="40" fillId="0" borderId="18" xfId="0" applyNumberFormat="1" applyFont="1" applyBorder="1" applyAlignment="1">
      <alignment horizontal="right"/>
    </xf>
    <xf numFmtId="1" fontId="48" fillId="0" borderId="29" xfId="0" applyNumberFormat="1" applyFont="1" applyBorder="1"/>
    <xf numFmtId="1" fontId="48" fillId="0" borderId="30" xfId="0" applyNumberFormat="1" applyFont="1" applyBorder="1"/>
    <xf numFmtId="1" fontId="50" fillId="0" borderId="0" xfId="0" applyNumberFormat="1" applyFont="1"/>
    <xf numFmtId="174" fontId="40" fillId="8" borderId="14" xfId="5" applyNumberFormat="1" applyFont="1" applyFill="1" applyBorder="1" applyAlignment="1">
      <alignment horizontal="left" vertical="center"/>
    </xf>
    <xf numFmtId="175" fontId="40" fillId="0" borderId="18" xfId="0" applyNumberFormat="1" applyFont="1" applyBorder="1"/>
    <xf numFmtId="0" fontId="1" fillId="0" borderId="18" xfId="0" applyFont="1" applyBorder="1"/>
    <xf numFmtId="175" fontId="75" fillId="0" borderId="29" xfId="0" applyNumberFormat="1" applyFont="1" applyBorder="1" applyAlignment="1">
      <alignment horizontal="right"/>
    </xf>
    <xf numFmtId="175" fontId="75" fillId="0" borderId="14" xfId="0" applyNumberFormat="1" applyFont="1" applyBorder="1" applyAlignment="1">
      <alignment horizontal="right"/>
    </xf>
    <xf numFmtId="189" fontId="49" fillId="11" borderId="0" xfId="2" applyNumberFormat="1" applyFont="1" applyFill="1"/>
    <xf numFmtId="189" fontId="45" fillId="11" borderId="29" xfId="2" applyNumberFormat="1" applyFont="1" applyFill="1" applyBorder="1"/>
    <xf numFmtId="164" fontId="49" fillId="11" borderId="0" xfId="1" applyNumberFormat="1" applyFont="1" applyFill="1"/>
    <xf numFmtId="164" fontId="45" fillId="11" borderId="29" xfId="1" applyNumberFormat="1" applyFont="1" applyFill="1" applyBorder="1"/>
    <xf numFmtId="175" fontId="75" fillId="0" borderId="0" xfId="0" applyNumberFormat="1" applyFont="1"/>
    <xf numFmtId="44" fontId="1" fillId="0" borderId="0" xfId="0" applyNumberFormat="1" applyFont="1"/>
    <xf numFmtId="44" fontId="46" fillId="0" borderId="0" xfId="3" applyFont="1" applyAlignment="1">
      <alignment horizontal="center" vertical="center"/>
    </xf>
    <xf numFmtId="177" fontId="46" fillId="0" borderId="14" xfId="6" applyNumberFormat="1" applyFont="1" applyAlignment="1">
      <alignment horizontal="center" vertical="center"/>
    </xf>
    <xf numFmtId="0" fontId="46" fillId="0" borderId="14" xfId="6" applyFont="1" applyAlignment="1">
      <alignment horizontal="center" vertical="center"/>
    </xf>
    <xf numFmtId="178" fontId="46" fillId="0" borderId="14" xfId="6" applyNumberFormat="1" applyFont="1" applyAlignment="1">
      <alignment horizontal="center" vertical="center"/>
    </xf>
    <xf numFmtId="173" fontId="46" fillId="0" borderId="14" xfId="6" applyNumberFormat="1" applyFont="1" applyAlignment="1">
      <alignment horizontal="center" vertical="center"/>
    </xf>
    <xf numFmtId="43" fontId="46" fillId="0" borderId="14" xfId="2" applyFont="1" applyBorder="1" applyAlignment="1">
      <alignment horizontal="center" vertical="center"/>
    </xf>
    <xf numFmtId="9" fontId="46" fillId="0" borderId="14" xfId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44" fontId="34" fillId="0" borderId="0" xfId="3" applyFont="1" applyAlignment="1">
      <alignment horizontal="center" vertical="center"/>
    </xf>
    <xf numFmtId="164" fontId="34" fillId="0" borderId="0" xfId="1" applyNumberFormat="1" applyFont="1" applyAlignment="1">
      <alignment horizontal="center" vertical="center"/>
    </xf>
    <xf numFmtId="173" fontId="34" fillId="0" borderId="0" xfId="1" applyNumberFormat="1" applyFont="1" applyAlignment="1">
      <alignment horizontal="center" vertical="center"/>
    </xf>
    <xf numFmtId="0" fontId="43" fillId="5" borderId="14" xfId="6" applyFont="1" applyFill="1" applyAlignment="1">
      <alignment horizontal="center" vertical="center"/>
    </xf>
    <xf numFmtId="44" fontId="43" fillId="5" borderId="0" xfId="3" applyFont="1" applyFill="1" applyAlignment="1">
      <alignment horizontal="center" vertical="center"/>
    </xf>
    <xf numFmtId="44" fontId="48" fillId="0" borderId="0" xfId="3" applyFont="1" applyAlignment="1">
      <alignment horizontal="center" vertical="center"/>
    </xf>
    <xf numFmtId="177" fontId="48" fillId="0" borderId="14" xfId="6" applyNumberFormat="1" applyFont="1" applyAlignment="1">
      <alignment horizontal="center" vertical="center"/>
    </xf>
    <xf numFmtId="0" fontId="48" fillId="0" borderId="14" xfId="6" applyFont="1" applyAlignment="1">
      <alignment horizontal="center" vertical="center"/>
    </xf>
    <xf numFmtId="173" fontId="48" fillId="0" borderId="14" xfId="6" applyNumberFormat="1" applyFont="1" applyAlignment="1">
      <alignment horizontal="center" vertical="center"/>
    </xf>
    <xf numFmtId="173" fontId="42" fillId="0" borderId="14" xfId="6" applyNumberFormat="1" applyFont="1" applyAlignment="1">
      <alignment horizontal="center" vertical="center"/>
    </xf>
    <xf numFmtId="9" fontId="42" fillId="0" borderId="14" xfId="6" applyNumberFormat="1" applyFont="1" applyAlignment="1">
      <alignment horizontal="center" vertical="center"/>
    </xf>
    <xf numFmtId="0" fontId="47" fillId="5" borderId="14" xfId="6" applyFont="1" applyFill="1" applyAlignment="1">
      <alignment horizontal="center" vertical="center"/>
    </xf>
    <xf numFmtId="0" fontId="34" fillId="0" borderId="14" xfId="6" applyFont="1" applyAlignment="1">
      <alignment horizontal="center" vertical="center"/>
    </xf>
    <xf numFmtId="38" fontId="34" fillId="0" borderId="14" xfId="6" applyNumberFormat="1" applyFont="1" applyAlignment="1">
      <alignment horizontal="center" vertical="center"/>
    </xf>
    <xf numFmtId="9" fontId="34" fillId="0" borderId="14" xfId="6" applyNumberFormat="1" applyFont="1" applyAlignment="1">
      <alignment horizontal="center" vertical="center"/>
    </xf>
    <xf numFmtId="164" fontId="34" fillId="0" borderId="14" xfId="6" applyNumberFormat="1" applyFont="1" applyAlignment="1">
      <alignment horizontal="center" vertical="center"/>
    </xf>
    <xf numFmtId="44" fontId="42" fillId="0" borderId="20" xfId="3" applyFont="1" applyBorder="1" applyAlignment="1">
      <alignment horizontal="center" vertical="center"/>
    </xf>
    <xf numFmtId="9" fontId="42" fillId="0" borderId="20" xfId="1" applyFont="1" applyBorder="1" applyAlignment="1">
      <alignment horizontal="center" vertical="center"/>
    </xf>
    <xf numFmtId="0" fontId="42" fillId="0" borderId="20" xfId="6" applyFont="1" applyBorder="1" applyAlignment="1">
      <alignment horizontal="center" vertical="center"/>
    </xf>
    <xf numFmtId="178" fontId="42" fillId="0" borderId="20" xfId="6" applyNumberFormat="1" applyFont="1" applyBorder="1" applyAlignment="1">
      <alignment horizontal="center" vertical="center"/>
    </xf>
    <xf numFmtId="173" fontId="42" fillId="0" borderId="20" xfId="6" applyNumberFormat="1" applyFont="1" applyBorder="1" applyAlignment="1">
      <alignment horizontal="center" vertical="center"/>
    </xf>
    <xf numFmtId="43" fontId="39" fillId="0" borderId="20" xfId="2" applyFont="1" applyBorder="1" applyAlignment="1">
      <alignment horizontal="center" vertical="center"/>
    </xf>
    <xf numFmtId="44" fontId="42" fillId="0" borderId="22" xfId="3" applyFont="1" applyBorder="1" applyAlignment="1">
      <alignment horizontal="center" vertical="center"/>
    </xf>
    <xf numFmtId="9" fontId="42" fillId="0" borderId="22" xfId="1" applyFont="1" applyBorder="1" applyAlignment="1">
      <alignment horizontal="center" vertical="center"/>
    </xf>
    <xf numFmtId="0" fontId="42" fillId="0" borderId="22" xfId="6" applyFont="1" applyBorder="1" applyAlignment="1">
      <alignment horizontal="center" vertical="center"/>
    </xf>
    <xf numFmtId="178" fontId="42" fillId="0" borderId="22" xfId="6" applyNumberFormat="1" applyFont="1" applyBorder="1" applyAlignment="1">
      <alignment horizontal="center" vertical="center"/>
    </xf>
    <xf numFmtId="173" fontId="42" fillId="0" borderId="22" xfId="6" applyNumberFormat="1" applyFont="1" applyBorder="1" applyAlignment="1">
      <alignment horizontal="center" vertical="center"/>
    </xf>
    <xf numFmtId="43" fontId="39" fillId="0" borderId="22" xfId="2" applyFont="1" applyBorder="1" applyAlignment="1">
      <alignment horizontal="center" vertical="center"/>
    </xf>
    <xf numFmtId="44" fontId="34" fillId="0" borderId="14" xfId="3" applyFont="1" applyBorder="1" applyAlignment="1">
      <alignment horizontal="center" vertical="center"/>
    </xf>
    <xf numFmtId="9" fontId="34" fillId="0" borderId="14" xfId="1" applyFont="1" applyBorder="1" applyAlignment="1">
      <alignment horizontal="center" vertical="center"/>
    </xf>
    <xf numFmtId="44" fontId="42" fillId="0" borderId="14" xfId="3" applyFont="1" applyBorder="1" applyAlignment="1">
      <alignment horizontal="center" vertical="center"/>
    </xf>
    <xf numFmtId="9" fontId="42" fillId="0" borderId="14" xfId="1" applyFont="1" applyBorder="1" applyAlignment="1">
      <alignment horizontal="center" vertical="center"/>
    </xf>
    <xf numFmtId="178" fontId="42" fillId="0" borderId="14" xfId="3" applyNumberFormat="1" applyFont="1" applyBorder="1" applyAlignment="1">
      <alignment horizontal="center" vertical="center"/>
    </xf>
    <xf numFmtId="43" fontId="39" fillId="0" borderId="14" xfId="2" applyFont="1" applyBorder="1" applyAlignment="1">
      <alignment horizontal="center" vertical="center"/>
    </xf>
    <xf numFmtId="44" fontId="42" fillId="0" borderId="0" xfId="3" applyFont="1" applyAlignment="1">
      <alignment horizontal="center" vertical="center"/>
    </xf>
    <xf numFmtId="178" fontId="42" fillId="0" borderId="14" xfId="6" applyNumberFormat="1" applyFont="1" applyAlignment="1">
      <alignment horizontal="center" vertical="center"/>
    </xf>
    <xf numFmtId="177" fontId="42" fillId="0" borderId="14" xfId="6" applyNumberFormat="1" applyFont="1" applyAlignment="1">
      <alignment horizontal="center" vertical="center"/>
    </xf>
    <xf numFmtId="40" fontId="34" fillId="0" borderId="14" xfId="6" applyNumberFormat="1" applyFont="1" applyAlignment="1">
      <alignment horizontal="center" vertical="center"/>
    </xf>
    <xf numFmtId="43" fontId="39" fillId="0" borderId="0" xfId="2" applyFont="1" applyAlignment="1">
      <alignment horizontal="center" vertical="center"/>
    </xf>
    <xf numFmtId="9" fontId="42" fillId="0" borderId="0" xfId="1" applyFont="1" applyAlignment="1">
      <alignment horizontal="center" vertical="center"/>
    </xf>
    <xf numFmtId="164" fontId="42" fillId="0" borderId="0" xfId="1" applyNumberFormat="1" applyFont="1" applyAlignment="1">
      <alignment horizontal="left" vertical="center"/>
    </xf>
    <xf numFmtId="43" fontId="46" fillId="0" borderId="0" xfId="2" applyFont="1" applyAlignment="1">
      <alignment horizontal="center" vertical="center"/>
    </xf>
    <xf numFmtId="9" fontId="46" fillId="0" borderId="0" xfId="1" applyFont="1" applyAlignment="1">
      <alignment horizontal="center" vertical="center"/>
    </xf>
    <xf numFmtId="0" fontId="1" fillId="0" borderId="24" xfId="0" applyFont="1" applyBorder="1"/>
    <xf numFmtId="0" fontId="1" fillId="0" borderId="27" xfId="0" applyFont="1" applyBorder="1"/>
    <xf numFmtId="0" fontId="18" fillId="3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170" fontId="19" fillId="4" borderId="0" xfId="0" applyNumberFormat="1" applyFont="1" applyFill="1" applyAlignment="1">
      <alignment horizontal="right"/>
    </xf>
    <xf numFmtId="0" fontId="19" fillId="0" borderId="0" xfId="0" applyFont="1" applyAlignment="1">
      <alignment horizontal="left" indent="3"/>
    </xf>
    <xf numFmtId="170" fontId="19" fillId="0" borderId="0" xfId="0" applyNumberFormat="1" applyFont="1" applyAlignment="1">
      <alignment horizontal="right"/>
    </xf>
    <xf numFmtId="0" fontId="0" fillId="4" borderId="0" xfId="0" applyFill="1" applyAlignment="1">
      <alignment horizontal="left" indent="4"/>
    </xf>
    <xf numFmtId="170" fontId="0" fillId="4" borderId="0" xfId="0" applyNumberFormat="1" applyFill="1" applyAlignment="1">
      <alignment horizontal="right"/>
    </xf>
    <xf numFmtId="0" fontId="19" fillId="0" borderId="0" xfId="0" applyFont="1" applyAlignment="1">
      <alignment horizontal="left" indent="6"/>
    </xf>
    <xf numFmtId="0" fontId="0" fillId="4" borderId="0" xfId="0" applyFill="1" applyAlignment="1">
      <alignment horizontal="left" indent="7"/>
    </xf>
    <xf numFmtId="0" fontId="0" fillId="0" borderId="0" xfId="0" applyAlignment="1">
      <alignment horizontal="left" indent="7"/>
    </xf>
    <xf numFmtId="170" fontId="0" fillId="0" borderId="0" xfId="0" applyNumberFormat="1" applyAlignment="1">
      <alignment horizontal="righ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 indent="4"/>
    </xf>
    <xf numFmtId="170" fontId="20" fillId="4" borderId="0" xfId="0" applyNumberFormat="1" applyFont="1" applyFill="1" applyAlignment="1">
      <alignment horizontal="righ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170" fontId="20" fillId="0" borderId="0" xfId="0" applyNumberFormat="1" applyFont="1" applyAlignment="1">
      <alignment horizontal="right"/>
    </xf>
    <xf numFmtId="0" fontId="0" fillId="4" borderId="0" xfId="0" applyFill="1" applyAlignment="1">
      <alignment horizontal="left" indent="1"/>
    </xf>
    <xf numFmtId="0" fontId="0" fillId="0" borderId="0" xfId="0" applyAlignment="1">
      <alignment horizontal="left" indent="1"/>
    </xf>
    <xf numFmtId="4" fontId="0" fillId="0" borderId="0" xfId="0" applyNumberFormat="1" applyAlignment="1">
      <alignment horizontal="right"/>
    </xf>
    <xf numFmtId="0" fontId="19" fillId="4" borderId="0" xfId="0" applyFont="1" applyFill="1" applyAlignment="1">
      <alignment horizontal="left" indent="3"/>
    </xf>
    <xf numFmtId="4" fontId="19" fillId="4" borderId="0" xfId="0" applyNumberFormat="1" applyFont="1" applyFill="1" applyAlignment="1">
      <alignment horizontal="right"/>
    </xf>
    <xf numFmtId="4" fontId="0" fillId="4" borderId="0" xfId="0" applyNumberFormat="1" applyFill="1" applyAlignment="1">
      <alignment horizontal="right"/>
    </xf>
    <xf numFmtId="4" fontId="19" fillId="0" borderId="0" xfId="0" applyNumberFormat="1" applyFont="1" applyAlignment="1">
      <alignment horizontal="right"/>
    </xf>
    <xf numFmtId="3" fontId="19" fillId="4" borderId="0" xfId="0" applyNumberFormat="1" applyFont="1" applyFill="1" applyAlignment="1">
      <alignment horizontal="right"/>
    </xf>
    <xf numFmtId="3" fontId="0" fillId="0" borderId="0" xfId="0" applyNumberFormat="1" applyAlignment="1">
      <alignment horizontal="right"/>
    </xf>
    <xf numFmtId="3" fontId="0" fillId="4" borderId="0" xfId="0" applyNumberFormat="1" applyFill="1" applyAlignment="1">
      <alignment horizontal="right"/>
    </xf>
    <xf numFmtId="0" fontId="76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3" fontId="20" fillId="4" borderId="0" xfId="0" applyNumberFormat="1" applyFont="1" applyFill="1" applyAlignment="1">
      <alignment horizontal="right"/>
    </xf>
    <xf numFmtId="0" fontId="19" fillId="4" borderId="0" xfId="0" applyFont="1" applyFill="1" applyAlignment="1">
      <alignment horizontal="left" indent="6"/>
    </xf>
    <xf numFmtId="3" fontId="20" fillId="0" borderId="0" xfId="0" applyNumberFormat="1" applyFont="1" applyAlignment="1">
      <alignment horizontal="right"/>
    </xf>
    <xf numFmtId="174" fontId="40" fillId="0" borderId="45" xfId="0" applyNumberFormat="1" applyFont="1" applyBorder="1" applyAlignment="1">
      <alignment horizontal="left" indent="3"/>
    </xf>
    <xf numFmtId="175" fontId="33" fillId="0" borderId="5" xfId="0" applyNumberFormat="1" applyFont="1" applyBorder="1"/>
    <xf numFmtId="175" fontId="33" fillId="0" borderId="46" xfId="0" applyNumberFormat="1" applyFont="1" applyBorder="1"/>
    <xf numFmtId="175" fontId="33" fillId="0" borderId="0" xfId="0" applyNumberFormat="1" applyFont="1"/>
    <xf numFmtId="175" fontId="40" fillId="0" borderId="0" xfId="0" applyNumberFormat="1" applyFont="1"/>
    <xf numFmtId="2" fontId="0" fillId="0" borderId="25" xfId="0" applyNumberFormat="1" applyBorder="1"/>
    <xf numFmtId="2" fontId="0" fillId="0" borderId="26" xfId="0" applyNumberFormat="1" applyBorder="1"/>
    <xf numFmtId="2" fontId="0" fillId="0" borderId="0" xfId="0" applyNumberFormat="1"/>
    <xf numFmtId="2" fontId="0" fillId="0" borderId="18" xfId="0" applyNumberFormat="1" applyBorder="1"/>
    <xf numFmtId="2" fontId="1" fillId="0" borderId="0" xfId="0" applyNumberFormat="1" applyFont="1"/>
    <xf numFmtId="2" fontId="1" fillId="0" borderId="18" xfId="0" applyNumberFormat="1" applyFont="1" applyBorder="1"/>
    <xf numFmtId="0" fontId="77" fillId="5" borderId="0" xfId="0" applyFont="1" applyFill="1"/>
    <xf numFmtId="10" fontId="25" fillId="0" borderId="0" xfId="0" applyNumberFormat="1" applyFont="1" applyAlignment="1">
      <alignment horizontal="left" indent="1"/>
    </xf>
    <xf numFmtId="0" fontId="78" fillId="0" borderId="0" xfId="0" applyFont="1"/>
    <xf numFmtId="9" fontId="0" fillId="0" borderId="14" xfId="0" applyNumberFormat="1" applyBorder="1"/>
    <xf numFmtId="183" fontId="45" fillId="11" borderId="29" xfId="0" applyNumberFormat="1" applyFont="1" applyFill="1" applyBorder="1"/>
    <xf numFmtId="183" fontId="49" fillId="11" borderId="0" xfId="0" applyNumberFormat="1" applyFont="1" applyFill="1"/>
    <xf numFmtId="183" fontId="0" fillId="0" borderId="14" xfId="0" applyNumberFormat="1" applyBorder="1"/>
    <xf numFmtId="183" fontId="50" fillId="0" borderId="14" xfId="0" applyNumberFormat="1" applyFont="1" applyBorder="1"/>
    <xf numFmtId="183" fontId="33" fillId="0" borderId="14" xfId="0" applyNumberFormat="1" applyFont="1" applyBorder="1"/>
    <xf numFmtId="183" fontId="51" fillId="0" borderId="14" xfId="0" applyNumberFormat="1" applyFont="1" applyBorder="1"/>
    <xf numFmtId="175" fontId="33" fillId="0" borderId="7" xfId="0" applyNumberFormat="1" applyFont="1" applyBorder="1" applyAlignment="1">
      <alignment horizontal="right"/>
    </xf>
    <xf numFmtId="0" fontId="79" fillId="0" borderId="0" xfId="0" applyFont="1"/>
    <xf numFmtId="10" fontId="25" fillId="0" borderId="0" xfId="0" applyNumberFormat="1" applyFont="1"/>
    <xf numFmtId="178" fontId="42" fillId="0" borderId="47" xfId="6" applyNumberFormat="1" applyFont="1" applyBorder="1" applyAlignment="1">
      <alignment horizontal="center" vertical="center"/>
    </xf>
    <xf numFmtId="178" fontId="42" fillId="0" borderId="7" xfId="3" applyNumberFormat="1" applyFont="1" applyBorder="1" applyAlignment="1">
      <alignment horizontal="center" vertical="center"/>
    </xf>
    <xf numFmtId="178" fontId="42" fillId="0" borderId="48" xfId="6" applyNumberFormat="1" applyFont="1" applyBorder="1" applyAlignment="1">
      <alignment horizontal="center" vertical="center"/>
    </xf>
    <xf numFmtId="0" fontId="80" fillId="0" borderId="0" xfId="0" applyFont="1" applyAlignment="1">
      <alignment horizontal="left" indent="1"/>
    </xf>
    <xf numFmtId="1" fontId="48" fillId="0" borderId="14" xfId="0" applyNumberFormat="1" applyFont="1" applyBorder="1"/>
    <xf numFmtId="0" fontId="3" fillId="0" borderId="7" xfId="0" applyFont="1" applyBorder="1"/>
    <xf numFmtId="1" fontId="48" fillId="0" borderId="7" xfId="0" applyNumberFormat="1" applyFont="1" applyBorder="1"/>
    <xf numFmtId="1" fontId="49" fillId="0" borderId="7" xfId="0" applyNumberFormat="1" applyFont="1" applyBorder="1"/>
    <xf numFmtId="0" fontId="0" fillId="0" borderId="7" xfId="0" applyBorder="1"/>
    <xf numFmtId="3" fontId="25" fillId="9" borderId="7" xfId="0" applyNumberFormat="1" applyFont="1" applyFill="1" applyBorder="1"/>
    <xf numFmtId="174" fontId="39" fillId="7" borderId="7" xfId="0" applyNumberFormat="1" applyFont="1" applyFill="1" applyBorder="1" applyAlignment="1">
      <alignment horizontal="center"/>
    </xf>
    <xf numFmtId="1" fontId="25" fillId="0" borderId="7" xfId="0" applyNumberFormat="1" applyFont="1" applyBorder="1"/>
    <xf numFmtId="183" fontId="33" fillId="0" borderId="7" xfId="0" applyNumberFormat="1" applyFont="1" applyBorder="1" applyAlignment="1">
      <alignment horizontal="right"/>
    </xf>
    <xf numFmtId="174" fontId="39" fillId="7" borderId="14" xfId="0" applyNumberFormat="1" applyFont="1" applyFill="1" applyBorder="1" applyAlignment="1">
      <alignment horizontal="center"/>
    </xf>
    <xf numFmtId="1" fontId="39" fillId="0" borderId="17" xfId="0" applyNumberFormat="1" applyFont="1" applyBorder="1"/>
    <xf numFmtId="2" fontId="0" fillId="0" borderId="14" xfId="0" applyNumberFormat="1" applyBorder="1"/>
    <xf numFmtId="44" fontId="81" fillId="0" borderId="5" xfId="0" applyNumberFormat="1" applyFont="1" applyBorder="1" applyAlignment="1">
      <alignment horizontal="right"/>
    </xf>
    <xf numFmtId="2" fontId="28" fillId="0" borderId="14" xfId="0" applyNumberFormat="1" applyFont="1" applyBorder="1"/>
    <xf numFmtId="175" fontId="45" fillId="10" borderId="0" xfId="0" applyNumberFormat="1" applyFont="1" applyFill="1" applyAlignment="1">
      <alignment vertical="center"/>
    </xf>
    <xf numFmtId="44" fontId="82" fillId="0" borderId="14" xfId="3" applyFont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57" fillId="0" borderId="18" xfId="0" applyFont="1" applyBorder="1" applyAlignment="1">
      <alignment horizontal="right" vertical="center" textRotation="90"/>
    </xf>
    <xf numFmtId="0" fontId="42" fillId="0" borderId="29" xfId="0" applyFont="1" applyBorder="1" applyAlignment="1">
      <alignment horizontal="center"/>
    </xf>
    <xf numFmtId="0" fontId="63" fillId="0" borderId="18" xfId="0" applyFont="1" applyBorder="1" applyAlignment="1">
      <alignment vertical="center" textRotation="90"/>
    </xf>
    <xf numFmtId="0" fontId="63" fillId="0" borderId="18" xfId="0" applyFont="1" applyBorder="1" applyAlignment="1">
      <alignment textRotation="90" wrapText="1"/>
    </xf>
    <xf numFmtId="0" fontId="63" fillId="0" borderId="18" xfId="0" applyFont="1" applyBorder="1" applyAlignment="1">
      <alignment textRotation="90"/>
    </xf>
    <xf numFmtId="193" fontId="0" fillId="0" borderId="0" xfId="0" applyNumberFormat="1"/>
    <xf numFmtId="0" fontId="83" fillId="0" borderId="0" xfId="0" applyFont="1"/>
    <xf numFmtId="0" fontId="6" fillId="0" borderId="1" xfId="0" applyFont="1" applyBorder="1" applyAlignment="1"/>
    <xf numFmtId="0" fontId="6" fillId="0" borderId="14" xfId="0" applyFont="1" applyBorder="1" applyAlignment="1"/>
    <xf numFmtId="0" fontId="0" fillId="0" borderId="14" xfId="0" applyBorder="1" applyAlignment="1"/>
  </cellXfs>
  <cellStyles count="18">
    <cellStyle name="Comma" xfId="2" builtinId="3"/>
    <cellStyle name="Comma 2 2 2 2" xfId="5" xr:uid="{673E032D-CF5C-4EEA-BB6C-94C377457D1A}"/>
    <cellStyle name="Currency" xfId="3" builtinId="4"/>
    <cellStyle name="Currency 2 2" xfId="13" xr:uid="{B2CFB6F6-D2F9-4C94-B0AD-661C37793AF9}"/>
    <cellStyle name="Normal" xfId="0" builtinId="0"/>
    <cellStyle name="Normal 2" xfId="4" xr:uid="{7D98200B-FE68-49CC-AA78-451BB0D99673}"/>
    <cellStyle name="Normal 3" xfId="14" xr:uid="{6DC71C98-72EE-4B44-8754-D2053692307F}"/>
    <cellStyle name="Normal 3 2" xfId="17" xr:uid="{5F3C138D-72B9-4747-9FE6-BF1BCABF6981}"/>
    <cellStyle name="Normal 4" xfId="12" xr:uid="{D7367518-A06E-4BE0-BCBE-35751F524552}"/>
    <cellStyle name="Normal 5" xfId="10" xr:uid="{C03DA602-181F-4985-81F8-27FA09AEC302}"/>
    <cellStyle name="Normal 6" xfId="15" xr:uid="{167F8B31-88B8-48AA-90BF-5E7B6E32E578}"/>
    <cellStyle name="Normal_Ch03 Pics v1.0" xfId="6" xr:uid="{8D2E80FF-C0FB-4EAC-81E3-5CE31CA0C246}"/>
    <cellStyle name="Normal_PT" xfId="7" xr:uid="{E7FFDD59-CAF6-4757-9652-48FE81AF0A4C}"/>
    <cellStyle name="Pctg" xfId="8" xr:uid="{76873DCB-5814-41D1-B46D-1A78954CD239}"/>
    <cellStyle name="Percent" xfId="1" builtinId="5"/>
    <cellStyle name="Percent 2" xfId="9" xr:uid="{ED50A572-6FF3-4998-821E-F5607E03414C}"/>
    <cellStyle name="Percent 3" xfId="11" xr:uid="{B0E61E9C-2203-4DB7-AC83-A5FF78920C41}"/>
    <cellStyle name="Percent 4" xfId="16" xr:uid="{38F673B0-9D7A-4E2C-969C-2147172B17E6}"/>
  </cellStyles>
  <dxfs count="0"/>
  <tableStyles count="0" defaultTableStyle="TableStyleMedium2" defaultPivotStyle="PivotStyleLight16"/>
  <colors>
    <mruColors>
      <color rgb="FF006600"/>
      <color rgb="FF0000FF"/>
      <color rgb="FF181E9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7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3</xdr:row>
      <xdr:rowOff>57150</xdr:rowOff>
    </xdr:from>
    <xdr:to>
      <xdr:col>12</xdr:col>
      <xdr:colOff>438150</xdr:colOff>
      <xdr:row>11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B74246-CD6C-EC86-D28E-F4B78AF8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695325"/>
          <a:ext cx="3067050" cy="1600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arjunbakre/Downloads/ACQ397SM.xls" TargetMode="External"/><Relationship Id="rId1" Type="http://schemas.openxmlformats.org/officeDocument/2006/relationships/externalLinkPath" Target="/C:/C:/C:/Users/arjunbakre/Downloads/ACQ397S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D_Valuation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michaelreiss/Desktop/Charlotte-files/charlotte-files/San%20Francisco/HealthCare/One-Page%20Summaries/DP%20Template/DP%20One%20Pager%20Template.xls" TargetMode="External"/><Relationship Id="rId1" Type="http://schemas.openxmlformats.org/officeDocument/2006/relationships/externalLinkPath" Target="/C:/C:/C:/Users/michaelreiss/Desktop/Charlotte-files/charlotte-files/San%20Francisco/HealthCare/One-Page%20Summaries/DP%20Template/DP%20One%20Pager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schembrim.LAZARD/Desktop/Barracuda%20Financial%20Model_DRAFT_v108.xlsx" TargetMode="External"/><Relationship Id="rId1" Type="http://schemas.openxmlformats.org/officeDocument/2006/relationships/externalLinkPath" Target="/C:/C:/C:/Users/schembrim.LAZARD/Desktop/Barracuda%20Financial%20Model_DRAFT_v10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Garritsen_Model_changes_after_presentation.xlsx" TargetMode="External"/><Relationship Id="rId1" Type="http://schemas.openxmlformats.org/officeDocument/2006/relationships/externalLinkPath" Target="/C:/C:/C:/Users/BUS-tradingflooruser/Downloads/Garritsen_Model_changes_after_present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b%20Equity%20Comps%202009%2002%20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HM%20Financial%20Excel_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High%20Growth%20Summary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arjunbakre/Downloads/Compsv1.xls" TargetMode="External"/><Relationship Id="rId1" Type="http://schemas.openxmlformats.org/officeDocument/2006/relationships/externalLinkPath" Target="/C:/C:/C:/Users/arjunbakre/Downloads/Compsv1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arjunbakre/Downloads/CCS_Equity%20Comps.xls" TargetMode="External"/><Relationship Id="rId1" Type="http://schemas.openxmlformats.org/officeDocument/2006/relationships/externalLinkPath" Target="/C:/C:/C:/Users/arjunbakre/Downloads/CCS_Equity%20Comp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Pitch%20Model%20Base_FactSet_v2.xlsx" TargetMode="External"/><Relationship Id="rId1" Type="http://schemas.openxmlformats.org/officeDocument/2006/relationships/externalLinkPath" Target="/C:/C:/C:/Users/BUS-tradingflooruser/Downloads/Pitch%20Model%20Base_FactSet_v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MD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schembrim.LAZARD/Desktop/Valuation_Biotix.xlsx" TargetMode="External"/><Relationship Id="rId1" Type="http://schemas.openxmlformats.org/officeDocument/2006/relationships/externalLinkPath" Target="/C:/C:/C:/Users/schembrim.LAZARD/Desktop/Valuation_Biotix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engin-labs.m.storage.umich.edu/anshulr/Users/murrayrobertgreen%201/Downloads/MDLZ%20CPB%20vF.xlsx" TargetMode="External"/><Relationship Id="rId1" Type="http://schemas.openxmlformats.org/officeDocument/2006/relationships/externalLinkPath" Target="/C:/engin-labs.m.storage.umich.edu/anshulr/Users/murrayrobertgreen%201/Downloads/MDLZ%20CPB%20vF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US_His_Population.xlsx" TargetMode="External"/><Relationship Id="rId1" Type="http://schemas.openxmlformats.org/officeDocument/2006/relationships/externalLinkPath" Target="/C:/C:/C:/Users/BUS-tradingflooruser/Downloads/US_His_Popul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michaelreiss/Desktop/cibna.msds.wachovia.net/root/HealthCare%20IB/Healthcare%20CF/Clients%20&amp;%20Prospects/Ameritox/November%202008/Excel/OLD/Ameritox%20Comps_November08_v1.xls" TargetMode="External"/><Relationship Id="rId1" Type="http://schemas.openxmlformats.org/officeDocument/2006/relationships/externalLinkPath" Target="/C:/C:/C:/Users/michaelreiss/Desktop/cibna.msds.wachovia.net/root/HealthCare%20IB/Healthcare%20CF/Clients%20&amp;%20Prospects/Ameritox/November%202008/Excel/OLD/Ameritox%20Comps_November08_v1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Transaction%20Comps_05.20.12.xls" TargetMode="External"/><Relationship Id="rId1" Type="http://schemas.openxmlformats.org/officeDocument/2006/relationships/externalLinkPath" Target="/C:/C:/C:/Users/BUS-tradingflooruser/Downloads/Transaction%20Comps_05.20.12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Applications/Microsoft%20Excel.app/A:/COMPS.xls" TargetMode="External"/><Relationship Id="rId1" Type="http://schemas.openxmlformats.org/officeDocument/2006/relationships/externalLinkPath" Target="/C:/C:/C:/Applications/Microsoft%20Excel.app/A:/COM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601 Detail informatio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Precedent Transactions"/>
      <sheetName val="Public Comparables"/>
      <sheetName val="Football Field"/>
      <sheetName val="Financials"/>
      <sheetName val="AVP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utput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Summary"/>
      <sheetName val="IS"/>
      <sheetName val="Income Statement"/>
      <sheetName val="Revenue Build"/>
      <sheetName val="Medicare Waterfall"/>
      <sheetName val="Medicaid Waterfall"/>
      <sheetName val="STAR Ratings Waterfall"/>
      <sheetName val="Employee Model"/>
      <sheetName val="Enrollment Projections"/>
      <sheetName val="Drivers"/>
      <sheetName val="2015 Drivers"/>
      <sheetName val="2016-2020 Drivers"/>
      <sheetName val="Driver Models"/>
      <sheetName val="CVS 2015B"/>
      <sheetName val="Aetna 2015B"/>
      <sheetName val="2016-2020 CVS.Aetna Contract"/>
      <sheetName val="Other"/>
      <sheetName val="Pipeline"/>
      <sheetName val="Medicare"/>
      <sheetName val="WellCare.MTM"/>
      <sheetName val="PT.MTM"/>
      <sheetName val="Carefirst.MTM"/>
      <sheetName val="CDPHP.MTM"/>
      <sheetName val="Geis.MTM"/>
      <sheetName val="USS.MTM"/>
      <sheetName val="USC.MTM"/>
      <sheetName val="Viva.MTM"/>
      <sheetName val="1.MTM"/>
      <sheetName val="2.MTM"/>
      <sheetName val="3.MTM"/>
      <sheetName val="4.MTM"/>
      <sheetName val="5.MTM"/>
      <sheetName val="Cigna.MTM"/>
      <sheetName val="6.MTM"/>
      <sheetName val="7.MTM"/>
      <sheetName val="8.MTM"/>
      <sheetName val="9.MTM"/>
      <sheetName val="10.MTM"/>
      <sheetName val="11.MTM"/>
      <sheetName val="12.MTM"/>
      <sheetName val="13.MTM"/>
      <sheetName val="14.MTM"/>
      <sheetName val="15.MTM"/>
      <sheetName val="16.MTM"/>
      <sheetName val="Medicaid"/>
      <sheetName val="CDPHP.Med"/>
      <sheetName val="ESI.Med"/>
      <sheetName val="RxR.Med"/>
      <sheetName val="USS.Med"/>
      <sheetName val="UNH.Med"/>
      <sheetName val="1.Med"/>
      <sheetName val="2.Med"/>
      <sheetName val="3.Med"/>
      <sheetName val="4.Med"/>
      <sheetName val="5.Med"/>
      <sheetName val="6.Med"/>
      <sheetName val="7.Med"/>
      <sheetName val="8.Med"/>
      <sheetName val="9.Med"/>
      <sheetName val="10.Med"/>
      <sheetName val="11.Med"/>
      <sheetName val="12.Med"/>
      <sheetName val="13.Med"/>
      <sheetName val="14.Med"/>
      <sheetName val="15.Med"/>
      <sheetName val="16.Med"/>
      <sheetName val="17.Med"/>
      <sheetName val="18.Med"/>
      <sheetName val="19.Med"/>
      <sheetName val="20.Med"/>
      <sheetName val="21.Med"/>
      <sheetName val="22.Med"/>
      <sheetName val="23.Med"/>
      <sheetName val="24.Med"/>
      <sheetName val="25.Med"/>
      <sheetName val="26.Med"/>
      <sheetName val="27.Med"/>
      <sheetName val="28.Med"/>
      <sheetName val="29.Med"/>
      <sheetName val="STAR"/>
      <sheetName val="CVS.STAR"/>
      <sheetName val="AET.STAR"/>
      <sheetName val="BCBS-TN.STAR"/>
      <sheetName val="HS.STAR"/>
      <sheetName val="WC.STAR"/>
      <sheetName val="UNH.STAR"/>
      <sheetName val="USS.STAR"/>
      <sheetName val="ESI.STAR"/>
      <sheetName val="Viva.STAR"/>
      <sheetName val="HEB.STAR"/>
      <sheetName val="SC.STAR"/>
      <sheetName val="Aus.STAR"/>
      <sheetName val="Other.STAR"/>
      <sheetName val="1.STAR"/>
      <sheetName val="2.STAR"/>
      <sheetName val="3.STAR"/>
      <sheetName val="4.STAR"/>
      <sheetName val="5.STAR"/>
      <sheetName val="6.STAR"/>
      <sheetName val="7.STAR"/>
      <sheetName val="8.STAR"/>
      <sheetName val="9.STAR"/>
      <sheetName val="10.STAR"/>
      <sheetName val="11.STAR"/>
      <sheetName val="12.STAR"/>
      <sheetName val="13.STAR"/>
      <sheetName val="14.STAR"/>
      <sheetName val="15.STAR"/>
      <sheetName val="16.STAR"/>
      <sheetName val="17.STAR"/>
      <sheetName val="18.STAR"/>
      <sheetName val="19.STAR"/>
      <sheetName val="20.STAR"/>
      <sheetName val="21.STAR"/>
      <sheetName val="22.STAR"/>
      <sheetName val="15-16 Bridge"/>
      <sheetName val="16-17 Bridge"/>
      <sheetName val="Client Data"/>
      <sheetName val="MP Charts 1.0"/>
      <sheetName val="MP Charts 2.0"/>
      <sheetName val="MP Charts 3.0"/>
      <sheetName val="Customer Concentration"/>
      <sheetName val="Valuation"/>
      <sheetName val="Football Field"/>
      <sheetName val="AVP"/>
      <sheetName val="DCF"/>
      <sheetName val="LBO Summary"/>
      <sheetName val="LBO Statements"/>
      <sheetName val="Valuation Charts"/>
      <sheetName val="Strat. Alt."/>
      <sheetName val="Merger"/>
      <sheetName val="Cash Flow"/>
      <sheetName val="WACC"/>
      <sheetName val="M&amp;A Comps"/>
      <sheetName val="M&amp;A Comps (2)"/>
      <sheetName val="Comps.2"/>
      <sheetName val="Summary P.L"/>
      <sheetName val="Charts"/>
      <sheetName val="Public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inputs"/>
      <sheetName val="Valuation--&gt;"/>
      <sheetName val="FF"/>
      <sheetName val="AVP"/>
      <sheetName val="LBO"/>
      <sheetName val="LBO Output"/>
      <sheetName val="DCF_2015"/>
      <sheetName val="WACC"/>
      <sheetName val="Comps--&gt;"/>
      <sheetName val="Public Comps"/>
      <sheetName val="M&amp;A"/>
      <sheetName val="Financials--&gt;"/>
      <sheetName val="rough_IS"/>
      <sheetName val="WorkingCap"/>
      <sheetName val="Depr."/>
      <sheetName val="Formatted P&amp;L"/>
      <sheetName val="opening_bs"/>
      <sheetName val="Charts--&gt;"/>
      <sheetName val="Revenue Chart"/>
      <sheetName val="Industry"/>
      <sheetName val="M&amp;A Chart"/>
      <sheetName val="Comp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Q_ChartParameters"/>
      <sheetName val="Inputs"/>
      <sheetName val="Output"/>
      <sheetName val="Template"/>
      <sheetName val="LH"/>
      <sheetName val="DGX"/>
      <sheetName val="SHL"/>
      <sheetName val="BRLI"/>
      <sheetName val="CLRT"/>
      <sheetName val="GHDX"/>
      <sheetName val="GXDX"/>
      <sheetName val="MYGN"/>
      <sheetName val="MDAS"/>
      <sheetName val="ATHN"/>
      <sheetName val="IPCM"/>
      <sheetName val="HMSY"/>
      <sheetName val="ghdx_gxdx output OLD"/>
      <sheetName val="ghdx_gxdx output NEW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harts"/>
      <sheetName val="Fin Profile"/>
      <sheetName val="IS"/>
      <sheetName val="DCF"/>
      <sheetName val="FF"/>
      <sheetName val="LBO Summary"/>
      <sheetName val="LBO Statements"/>
      <sheetName val="Public Compar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ghdx_gxdx output"/>
      <sheetName val="financial charts"/>
      <sheetName val="GHDX"/>
      <sheetName val="GXDX"/>
      <sheetName val="BRLI"/>
      <sheetName val="LH"/>
      <sheetName val="DGX"/>
      <sheetName val="SHL"/>
      <sheetName val="GXDX_IPO"/>
      <sheetName val="MDAS"/>
      <sheetName val="ATHN"/>
      <sheetName val="GTS"/>
      <sheetName val="AHII"/>
      <sheetName val="IPCM"/>
      <sheetName val="SKH"/>
      <sheetName val="WX"/>
      <sheetName val="template_1"/>
      <sheetName val="ENSG"/>
      <sheetName val="VRAD"/>
      <sheetName val="range"/>
      <sheetName val="Template"/>
      <sheetName val="MDRX"/>
      <sheetName val="ECLP"/>
      <sheetName val="HLEX"/>
      <sheetName val="NHWK"/>
      <sheetName val="QSII"/>
      <sheetName val="PSYS"/>
      <sheetName val="HWA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ec. Pharma M&amp;A Precedents"/>
      <sheetName val="SP Comps"/>
      <sheetName val="EB Comps"/>
      <sheetName val="Deal Comp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r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_CIQHiddenCacheSheet"/>
      <sheetName val="Public Comps"/>
      <sheetName val="M&amp;A Transactions Details "/>
      <sheetName val="WACC Calculation"/>
      <sheetName val="WACC"/>
      <sheetName val="M&amp;A Transactions"/>
      <sheetName val="Buyer Str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mt."/>
      <sheetName val="Balance Sheet"/>
      <sheetName val="Revenue Break-up Pie charts"/>
      <sheetName val="Acquiror Mults"/>
      <sheetName val="Ability to Pay- Summary"/>
      <sheetName val="Football Field"/>
      <sheetName val="Future SP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EV.EBITDA Chart"/>
      <sheetName val="M&amp;A Comps"/>
      <sheetName val="Public Comps"/>
      <sheetName val="DCF"/>
      <sheetName val="WACC"/>
      <sheetName val="AVP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CF"/>
      <sheetName val="Revenue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 HIS POP"/>
      <sheetName val="Fin Profile"/>
      <sheetName val="Rev Breakdown"/>
    </sheetNames>
    <sheetDataSet>
      <sheetData sheetId="0"/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 Char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yco_Brad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NIVERSE-AF"/>
      <sheetName val="UNIVERSE-MB"/>
      <sheetName val="JM - Coverage List"/>
      <sheetName val="Infrastructure"/>
      <sheetName val="JR-esolutions"/>
      <sheetName val="IT-eSolutions"/>
      <sheetName val="IT Newsletter"/>
      <sheetName val="Value per Consultant"/>
      <sheetName val="JR-FYII"/>
      <sheetName val="Forward Revenue"/>
      <sheetName val="Forward EBITD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zoomScale="89" workbookViewId="0">
      <selection activeCell="G16" sqref="G16"/>
    </sheetView>
  </sheetViews>
  <sheetFormatPr defaultColWidth="14.42578125" defaultRowHeight="15" customHeight="1"/>
  <cols>
    <col min="1" max="1" width="7.42578125" customWidth="1"/>
    <col min="2" max="14" width="8.5703125" customWidth="1"/>
    <col min="15" max="26" width="7.42578125" customWidth="1"/>
    <col min="27" max="28" width="13.5703125" customWidth="1"/>
  </cols>
  <sheetData>
    <row r="1" spans="1:28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</row>
    <row r="2" spans="1:28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</row>
    <row r="3" spans="1:28" ht="20.45">
      <c r="A3" s="1"/>
      <c r="B3" s="7"/>
      <c r="C3" s="8"/>
      <c r="D3" s="9"/>
      <c r="E3" s="513"/>
      <c r="F3" s="523"/>
      <c r="G3" s="523"/>
      <c r="H3" s="523"/>
      <c r="I3" s="523"/>
      <c r="J3" s="9"/>
      <c r="K3" s="9"/>
      <c r="L3" s="9"/>
      <c r="M3" s="8"/>
      <c r="N3" s="1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</row>
    <row r="4" spans="1:28" ht="15.6">
      <c r="A4" s="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</row>
    <row r="5" spans="1:28" ht="15.6">
      <c r="A5" s="1"/>
      <c r="B5" s="11"/>
      <c r="C5" s="1" t="s">
        <v>0</v>
      </c>
      <c r="D5" s="13" t="s">
        <v>1</v>
      </c>
      <c r="E5" s="1"/>
      <c r="F5" s="1"/>
      <c r="G5" s="1"/>
      <c r="H5" s="1"/>
      <c r="I5" s="1"/>
      <c r="J5" s="1"/>
      <c r="K5" s="1"/>
      <c r="L5" s="1"/>
      <c r="M5" s="1"/>
      <c r="N5" s="1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  <c r="AB5" s="2"/>
    </row>
    <row r="6" spans="1:28" ht="15.6">
      <c r="A6" s="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  <c r="AB6" s="2"/>
    </row>
    <row r="7" spans="1:28" ht="15.6">
      <c r="A7" s="1"/>
      <c r="B7" s="11"/>
      <c r="C7" s="1" t="s">
        <v>2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2"/>
    </row>
    <row r="8" spans="1:28" ht="15.6">
      <c r="A8" s="1"/>
      <c r="B8" s="11"/>
      <c r="C8" s="2"/>
      <c r="D8" s="2"/>
      <c r="E8" s="1"/>
      <c r="F8" s="1"/>
      <c r="G8" s="1"/>
      <c r="H8" s="1"/>
      <c r="I8" s="1"/>
      <c r="J8" s="1"/>
      <c r="K8" s="1"/>
      <c r="L8" s="1"/>
      <c r="M8" s="1"/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  <c r="AB8" s="2"/>
    </row>
    <row r="9" spans="1:28" ht="15.6">
      <c r="A9" s="1"/>
      <c r="B9" s="11"/>
      <c r="C9" s="1" t="s">
        <v>4</v>
      </c>
      <c r="D9" s="1"/>
      <c r="E9" s="1"/>
      <c r="F9" s="345">
        <v>2</v>
      </c>
      <c r="I9" s="1"/>
      <c r="J9" s="1"/>
      <c r="K9" s="1"/>
      <c r="L9" s="1"/>
      <c r="M9" s="1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  <c r="AB9" s="2"/>
    </row>
    <row r="10" spans="1:28" ht="15.6">
      <c r="A10" s="1"/>
      <c r="B10" s="11"/>
      <c r="C10" s="1" t="s">
        <v>5</v>
      </c>
      <c r="D10" s="1" t="s">
        <v>6</v>
      </c>
      <c r="E10" s="1" t="s">
        <v>7</v>
      </c>
      <c r="F10" s="1"/>
      <c r="G10" s="1"/>
      <c r="H10" s="1"/>
      <c r="I10" s="1"/>
      <c r="J10" s="1"/>
      <c r="K10" s="1"/>
      <c r="L10" s="1"/>
      <c r="M10" s="1"/>
      <c r="N10" s="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  <c r="AB10" s="2"/>
    </row>
    <row r="11" spans="1:28" ht="15.6">
      <c r="A11" s="1"/>
      <c r="B11" s="11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  <c r="AB11" s="2"/>
    </row>
    <row r="12" spans="1:28" ht="15.6">
      <c r="A12" s="1"/>
      <c r="B12" s="11"/>
      <c r="C12" s="2"/>
      <c r="D12" s="2"/>
      <c r="E12" s="1"/>
      <c r="F12" s="1"/>
      <c r="G12" s="1"/>
      <c r="H12" s="1"/>
      <c r="I12" s="1"/>
      <c r="J12" s="1"/>
      <c r="K12" s="1"/>
      <c r="L12" s="1"/>
      <c r="M12" s="1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  <c r="AB12" s="2"/>
    </row>
    <row r="13" spans="1:28" ht="15.6">
      <c r="A13" s="1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  <c r="AB13" s="2"/>
    </row>
    <row r="14" spans="1:28" ht="15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  <c r="AB14" s="2"/>
    </row>
    <row r="15" spans="1:28" ht="15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  <c r="AB15" s="2"/>
    </row>
    <row r="16" spans="1:28" ht="15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  <c r="AB16" s="2"/>
    </row>
    <row r="17" spans="1:28" ht="15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  <c r="AB17" s="2"/>
    </row>
    <row r="18" spans="1:28" ht="15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  <c r="AB18" s="2"/>
    </row>
    <row r="19" spans="1:2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  <c r="AB19" s="2"/>
    </row>
    <row r="20" spans="1:2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  <c r="AB20" s="2"/>
    </row>
    <row r="21" spans="1:2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  <c r="AB21" s="2"/>
    </row>
    <row r="22" spans="1:2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  <c r="AB22" s="2"/>
    </row>
    <row r="23" spans="1:2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  <c r="AB23" s="2"/>
    </row>
    <row r="24" spans="1:2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  <c r="AB24" s="2"/>
    </row>
    <row r="25" spans="1:2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  <c r="AB25" s="2"/>
    </row>
    <row r="26" spans="1:2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  <c r="AB26" s="2"/>
    </row>
    <row r="27" spans="1:2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  <c r="AB27" s="2"/>
    </row>
    <row r="28" spans="1: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  <c r="AB28" s="2"/>
    </row>
    <row r="29" spans="1:2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  <c r="AB29" s="2"/>
    </row>
    <row r="30" spans="1:2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  <c r="AB30" s="2"/>
    </row>
    <row r="31" spans="1:2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  <c r="AB31" s="2"/>
    </row>
    <row r="32" spans="1:2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  <c r="AB32" s="2"/>
    </row>
    <row r="33" spans="1:2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  <c r="AB33" s="2"/>
    </row>
    <row r="34" spans="1:2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  <c r="AB34" s="2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  <c r="AB35" s="2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/>
      <c r="AB36" s="2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/>
      <c r="AB37" s="2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  <c r="AB38" s="2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  <c r="AB39" s="2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  <c r="AB40" s="2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  <c r="AB41" s="2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  <c r="AB42" s="2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  <c r="AB43" s="2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  <c r="AB44" s="2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  <c r="AB45" s="2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  <c r="AB46" s="2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  <c r="AB47" s="2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  <c r="AB48" s="2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  <c r="AB49" s="2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  <c r="AB50" s="2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  <c r="AB51" s="2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  <c r="AB52" s="2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  <c r="AB53" s="2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  <c r="AB54" s="2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  <c r="AB55" s="2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  <c r="AB56" s="2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2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2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2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2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2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2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2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2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2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  <c r="AB66" s="2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2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2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2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2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2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2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2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2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2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2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2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2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2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2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2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2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2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2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2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  <c r="AB86" s="2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  <c r="AB87" s="2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  <c r="AB88" s="2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  <c r="AB89" s="2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  <c r="AB90" s="2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  <c r="AB91" s="2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  <c r="AB92" s="2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  <c r="AB93" s="2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  <c r="AB94" s="2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  <c r="AB95" s="2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  <c r="AB96" s="2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  <c r="AB97" s="2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  <c r="AB98" s="2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  <c r="AB99" s="2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  <c r="AB100" s="2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  <c r="AB101" s="2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  <c r="AB102" s="2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  <c r="AB103" s="2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  <c r="AB104" s="2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  <c r="AB105" s="2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  <c r="AB106" s="2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  <c r="AB107" s="2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  <c r="AB108" s="2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  <c r="AB109" s="2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  <c r="AB110" s="2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  <c r="AB111" s="2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  <c r="AB112" s="2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  <c r="AB113" s="2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  <c r="AB114" s="2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  <c r="AB115" s="2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  <c r="AB116" s="2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  <c r="AB117" s="2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  <c r="AB118" s="2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  <c r="AB119" s="2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  <c r="AB120" s="2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  <c r="AB121" s="2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  <c r="AB122" s="2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  <c r="AB123" s="2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  <c r="AB124" s="2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  <c r="AB125" s="2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  <c r="AB126" s="2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  <c r="AB127" s="2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  <c r="AB128" s="2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  <c r="AB129" s="2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  <c r="AB130" s="2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  <c r="AB131" s="2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  <c r="AB132" s="2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  <c r="AB133" s="2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  <c r="AB134" s="2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  <c r="AB135" s="2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  <c r="AB136" s="2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  <c r="AB137" s="2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  <c r="AB138" s="2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  <c r="AB139" s="2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  <c r="AB140" s="2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  <c r="AB141" s="2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  <c r="AB142" s="2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  <c r="AB143" s="2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  <c r="AB144" s="2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  <c r="AB145" s="2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  <c r="AB146" s="2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  <c r="AB147" s="2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  <c r="AB148" s="2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  <c r="AB149" s="2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  <c r="AB150" s="2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  <c r="AB151" s="2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  <c r="AB152" s="2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  <c r="AB153" s="2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  <c r="AB154" s="2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  <c r="AB155" s="2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  <c r="AB156" s="2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  <c r="AB157" s="2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  <c r="AB158" s="2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  <c r="AB159" s="2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  <c r="AB160" s="2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  <c r="AB161" s="2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  <c r="AB162" s="2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  <c r="AB163" s="2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  <c r="AB164" s="2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  <c r="AB165" s="2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  <c r="AB166" s="2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  <c r="AB167" s="2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  <c r="AB168" s="2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  <c r="AB169" s="2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  <c r="AB170" s="2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  <c r="AB171" s="2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  <c r="AB172" s="2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  <c r="AB173" s="2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  <c r="AB174" s="2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  <c r="AB175" s="2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  <c r="AB176" s="2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  <c r="AB177" s="2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  <c r="AB178" s="2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  <c r="AB179" s="2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  <c r="AB180" s="2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  <c r="AB181" s="2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  <c r="AB182" s="2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  <c r="AB183" s="2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  <c r="AB184" s="2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  <c r="AB185" s="2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  <c r="AB186" s="2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  <c r="AB187" s="2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  <c r="AB188" s="2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  <c r="AB189" s="2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  <c r="AB190" s="2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  <c r="AB191" s="2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  <c r="AB192" s="2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  <c r="AB193" s="2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  <c r="AB194" s="2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  <c r="AB195" s="2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  <c r="AB196" s="2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  <c r="AB197" s="2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  <c r="AB198" s="2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  <c r="AB199" s="2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  <c r="AB200" s="2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  <c r="AB201" s="2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  <c r="AB202" s="2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  <c r="AB203" s="2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  <c r="AB204" s="2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  <c r="AB205" s="2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  <c r="AB206" s="2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  <c r="AB207" s="2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  <c r="AB208" s="2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  <c r="AB209" s="2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  <c r="AB210" s="2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  <c r="AB211" s="2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  <c r="AB212" s="2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  <c r="AB213" s="2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  <c r="AB214" s="2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  <c r="AB215" s="2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  <c r="AB216" s="2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  <c r="AB217" s="2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  <c r="AB218" s="2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  <c r="AB219" s="2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  <c r="AB220" s="2"/>
    </row>
    <row r="221" spans="1:28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E3:I3"/>
  </mergeCells>
  <pageMargins left="0.7" right="0.7" top="0.75" bottom="0.75" header="0" footer="0"/>
  <pageSetup scale="7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7188-00FE-9043-B58A-C11CCECFE497}">
  <dimension ref="A1:BC98"/>
  <sheetViews>
    <sheetView showGridLines="0" tabSelected="1" topLeftCell="A36" zoomScale="63" workbookViewId="0">
      <selection activeCell="J89" sqref="J89"/>
    </sheetView>
  </sheetViews>
  <sheetFormatPr defaultColWidth="11.42578125" defaultRowHeight="14.45"/>
  <cols>
    <col min="2" max="2" width="23.5703125" customWidth="1"/>
    <col min="3" max="3" width="11.42578125" customWidth="1"/>
    <col min="4" max="4" width="15.5703125" customWidth="1"/>
    <col min="6" max="6" width="12.42578125" bestFit="1" customWidth="1"/>
    <col min="7" max="7" width="11.42578125" customWidth="1"/>
    <col min="8" max="8" width="12.42578125" bestFit="1" customWidth="1"/>
    <col min="9" max="9" width="10.42578125" customWidth="1"/>
    <col min="10" max="10" width="12.7109375" bestFit="1" customWidth="1"/>
    <col min="12" max="12" width="13.5703125" customWidth="1"/>
    <col min="15" max="15" width="14.28515625" customWidth="1"/>
    <col min="18" max="19" width="12.5703125" bestFit="1" customWidth="1"/>
    <col min="20" max="20" width="11.85546875" bestFit="1" customWidth="1"/>
  </cols>
  <sheetData>
    <row r="1" spans="2:55" ht="15.6"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</row>
    <row r="2" spans="2:55" ht="26.1">
      <c r="B2" s="27" t="s">
        <v>8</v>
      </c>
      <c r="C2" s="28"/>
      <c r="D2" s="28"/>
      <c r="E2" s="28"/>
      <c r="F2" s="28"/>
      <c r="G2" s="28"/>
      <c r="H2" s="28"/>
      <c r="I2" s="28"/>
      <c r="J2" s="28"/>
      <c r="K2" s="28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</row>
    <row r="3" spans="2:55" ht="15.6">
      <c r="B3" s="33" t="s">
        <v>9</v>
      </c>
      <c r="C3" s="28"/>
      <c r="D3" s="28"/>
      <c r="E3" s="28"/>
      <c r="F3" s="28"/>
      <c r="G3" s="28"/>
      <c r="H3" s="28"/>
      <c r="I3" s="28"/>
      <c r="J3" s="28"/>
      <c r="K3" s="28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</row>
    <row r="4" spans="2:55" ht="15.6">
      <c r="B4" s="29" t="s">
        <v>10</v>
      </c>
      <c r="C4" s="28"/>
      <c r="D4" s="28"/>
      <c r="E4" s="28"/>
      <c r="F4" s="28"/>
      <c r="G4" s="28"/>
      <c r="H4" s="28"/>
      <c r="I4" s="28"/>
      <c r="J4" s="28"/>
      <c r="K4" s="28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</row>
    <row r="5" spans="2:55" ht="15.6"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</row>
    <row r="6" spans="2:55" ht="15.6">
      <c r="B6" s="30" t="s">
        <v>11</v>
      </c>
      <c r="C6" s="31"/>
      <c r="D6" s="31"/>
      <c r="E6" s="31"/>
      <c r="F6" s="31"/>
      <c r="G6" s="31"/>
      <c r="H6" s="31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</row>
    <row r="7" spans="2:55" ht="15.6"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</row>
    <row r="8" spans="2:55" ht="15.6">
      <c r="B8" s="215" t="s">
        <v>12</v>
      </c>
      <c r="C8" s="216"/>
      <c r="D8" s="216"/>
      <c r="E8" s="216"/>
      <c r="F8" s="216"/>
      <c r="G8" s="216"/>
      <c r="H8" s="214"/>
      <c r="I8" s="214"/>
      <c r="J8" s="214"/>
      <c r="L8" s="215" t="s">
        <v>13</v>
      </c>
      <c r="M8" s="216"/>
      <c r="N8" s="216"/>
      <c r="O8" s="216"/>
      <c r="P8" s="216"/>
      <c r="Q8" s="216"/>
      <c r="R8" s="214"/>
      <c r="S8" s="214"/>
      <c r="T8" s="214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</row>
    <row r="9" spans="2:55" ht="15.6"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</row>
    <row r="10" spans="2:55" ht="15.6">
      <c r="B10" s="34" t="s">
        <v>14</v>
      </c>
      <c r="C10" s="35"/>
      <c r="D10" s="36"/>
      <c r="E10" s="36"/>
      <c r="F10" s="36"/>
      <c r="G10" s="36"/>
      <c r="H10" s="36"/>
      <c r="I10" s="36"/>
      <c r="J10" s="36"/>
      <c r="L10" s="34" t="s">
        <v>15</v>
      </c>
      <c r="M10" s="35"/>
      <c r="N10" s="36"/>
      <c r="O10" s="36"/>
      <c r="P10" s="36"/>
      <c r="Q10" s="36"/>
      <c r="R10" s="36"/>
      <c r="S10" s="36"/>
      <c r="T10" s="3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</row>
    <row r="11" spans="2:55" ht="15.6"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</row>
    <row r="12" spans="2:55" ht="15.6">
      <c r="B12" s="57" t="s">
        <v>16</v>
      </c>
      <c r="C12" s="57"/>
      <c r="D12" s="320">
        <v>2026</v>
      </c>
      <c r="L12" s="57" t="s">
        <v>17</v>
      </c>
      <c r="O12" s="327">
        <f>DCF!D12</f>
        <v>56.5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</row>
    <row r="13" spans="2:55" ht="15.6">
      <c r="B13" s="57" t="s">
        <v>18</v>
      </c>
      <c r="C13" s="57"/>
      <c r="D13" s="319">
        <f xml:space="preserve"> DCF!D14</f>
        <v>22.253</v>
      </c>
      <c r="E13" s="327" t="s">
        <v>19</v>
      </c>
      <c r="L13" s="57" t="s">
        <v>20</v>
      </c>
      <c r="O13" s="283">
        <f>DCF!D11</f>
        <v>1167</v>
      </c>
      <c r="P13" s="288"/>
      <c r="Q13" s="383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</row>
    <row r="14" spans="2:55" ht="15.6">
      <c r="B14" s="57" t="s">
        <v>21</v>
      </c>
      <c r="C14" s="57"/>
      <c r="D14" s="511">
        <v>0.215</v>
      </c>
      <c r="E14" s="327" t="s">
        <v>22</v>
      </c>
      <c r="L14" s="57" t="s">
        <v>23</v>
      </c>
      <c r="O14" s="286">
        <v>0.15</v>
      </c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</row>
    <row r="15" spans="2:55" ht="15.6">
      <c r="L15" s="175" t="s">
        <v>24</v>
      </c>
      <c r="M15" s="70"/>
      <c r="N15" s="70"/>
      <c r="O15" s="284">
        <f>O13*(1+O14)</f>
        <v>1342.05</v>
      </c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</row>
    <row r="16" spans="2:55" ht="15.6">
      <c r="B16" s="34" t="s">
        <v>25</v>
      </c>
      <c r="C16" s="35"/>
      <c r="D16" s="36"/>
      <c r="E16" s="36"/>
      <c r="F16" s="36"/>
      <c r="G16" s="36"/>
      <c r="H16" s="36"/>
      <c r="I16" s="36"/>
      <c r="J16" s="36"/>
      <c r="L16" s="282" t="s">
        <v>26</v>
      </c>
      <c r="O16" s="290">
        <f>O12*O15</f>
        <v>75825.824999999997</v>
      </c>
      <c r="P16" s="288"/>
      <c r="Q16" s="288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</row>
    <row r="17" spans="2:55" ht="15.75">
      <c r="X17" s="1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</row>
    <row r="18" spans="2:55" ht="15.75">
      <c r="B18" s="292" t="s">
        <v>27</v>
      </c>
      <c r="C18" s="70"/>
      <c r="D18" s="292" t="s">
        <v>28</v>
      </c>
      <c r="E18" s="292" t="s">
        <v>29</v>
      </c>
      <c r="L18" s="34" t="s">
        <v>30</v>
      </c>
      <c r="M18" s="35"/>
      <c r="N18" s="36"/>
      <c r="O18" s="36"/>
      <c r="P18" s="36"/>
      <c r="Q18" s="36"/>
      <c r="R18" s="36"/>
      <c r="S18" s="36"/>
      <c r="T18" s="36"/>
      <c r="X18" s="1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</row>
    <row r="19" spans="2:55" ht="15.75">
      <c r="B19" s="57" t="s">
        <v>31</v>
      </c>
      <c r="D19" s="285">
        <v>0</v>
      </c>
      <c r="E19" s="306">
        <v>0.03</v>
      </c>
      <c r="F19" s="327" t="s">
        <v>32</v>
      </c>
      <c r="X19" s="1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</row>
    <row r="20" spans="2:55" ht="15.75">
      <c r="B20" s="57" t="s">
        <v>33</v>
      </c>
      <c r="C20" s="279"/>
      <c r="D20" s="285">
        <v>4.75</v>
      </c>
      <c r="E20" s="306">
        <v>6.5000000000000002E-2</v>
      </c>
      <c r="F20" s="327"/>
      <c r="L20" s="57" t="s">
        <v>34</v>
      </c>
      <c r="O20" s="508">
        <f xml:space="preserve"> BS!B6</f>
        <v>2808</v>
      </c>
      <c r="X20" s="1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</row>
    <row r="21" spans="2:55" ht="15.75">
      <c r="B21" s="57" t="s">
        <v>35</v>
      </c>
      <c r="C21" s="279"/>
      <c r="D21" s="285">
        <v>1</v>
      </c>
      <c r="E21" s="306">
        <v>7.4999999999999997E-2</v>
      </c>
      <c r="F21" s="327" t="s">
        <v>36</v>
      </c>
      <c r="L21" s="175" t="s">
        <v>27</v>
      </c>
      <c r="M21" s="70"/>
      <c r="N21" s="70"/>
      <c r="O21" s="509">
        <f xml:space="preserve"> -(BS!B49+BS!B40)</f>
        <v>-30081</v>
      </c>
      <c r="X21" s="1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</row>
    <row r="22" spans="2:55" ht="15.75">
      <c r="B22" s="175" t="s">
        <v>37</v>
      </c>
      <c r="C22" s="280"/>
      <c r="D22" s="287">
        <v>1.5</v>
      </c>
      <c r="E22" s="307">
        <v>7.4999999999999997E-2</v>
      </c>
      <c r="L22" s="282" t="s">
        <v>38</v>
      </c>
      <c r="O22" s="510">
        <f>O20+O21</f>
        <v>-27273</v>
      </c>
      <c r="X22" s="1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</row>
    <row r="23" spans="2:55" ht="15.75">
      <c r="B23" s="278" t="s">
        <v>39</v>
      </c>
      <c r="D23" s="281">
        <f>SUM(D19:D22)</f>
        <v>7.25</v>
      </c>
      <c r="F23" s="327" t="s">
        <v>40</v>
      </c>
      <c r="X23" s="1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</row>
    <row r="24" spans="2:55" ht="15.75">
      <c r="X24" s="1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</row>
    <row r="25" spans="2:55" ht="15.75">
      <c r="B25" s="215" t="s">
        <v>41</v>
      </c>
      <c r="C25" s="216"/>
      <c r="D25" s="216"/>
      <c r="E25" s="216"/>
      <c r="F25" s="216"/>
      <c r="G25" s="216"/>
      <c r="H25" s="214"/>
      <c r="I25" s="214"/>
      <c r="J25" s="214"/>
      <c r="L25" s="215" t="s">
        <v>42</v>
      </c>
      <c r="M25" s="216"/>
      <c r="N25" s="216"/>
      <c r="O25" s="32" t="s">
        <v>43</v>
      </c>
      <c r="P25" s="32" t="s">
        <v>44</v>
      </c>
      <c r="Q25" s="32" t="s">
        <v>45</v>
      </c>
      <c r="R25" s="32" t="s">
        <v>46</v>
      </c>
      <c r="S25" s="32" t="s">
        <v>47</v>
      </c>
      <c r="T25" s="32" t="s">
        <v>48</v>
      </c>
      <c r="X25" s="1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</row>
    <row r="26" spans="2:55" ht="15.75">
      <c r="I26" s="24"/>
      <c r="J26" s="24"/>
      <c r="K26" s="24"/>
      <c r="L26" s="24"/>
      <c r="X26" s="1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</row>
    <row r="27" spans="2:55" ht="15.75">
      <c r="B27" s="292" t="s">
        <v>49</v>
      </c>
      <c r="C27" s="292"/>
      <c r="D27" s="292"/>
      <c r="E27" s="292" t="s">
        <v>28</v>
      </c>
      <c r="F27" s="292" t="s">
        <v>50</v>
      </c>
      <c r="H27" s="299" t="s">
        <v>51</v>
      </c>
      <c r="I27" s="294"/>
      <c r="J27" s="300"/>
      <c r="K27" s="291"/>
      <c r="X27" s="1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</row>
    <row r="28" spans="2:55" ht="15.75">
      <c r="B28" s="57" t="s">
        <v>31</v>
      </c>
      <c r="C28" s="289"/>
      <c r="D28" s="288">
        <f>E28*$O$30</f>
        <v>0</v>
      </c>
      <c r="E28" s="296">
        <f>D19</f>
        <v>0</v>
      </c>
      <c r="F28" s="295">
        <f>D28/$D$33</f>
        <v>0</v>
      </c>
      <c r="H28" s="289" t="s">
        <v>52</v>
      </c>
      <c r="I28" s="293"/>
      <c r="J28" s="301">
        <f>O16</f>
        <v>75825.824999999997</v>
      </c>
      <c r="K28" s="291"/>
      <c r="L28" s="327" t="s">
        <v>53</v>
      </c>
      <c r="O28" s="38">
        <f>'Operating Model'!I46</f>
        <v>10185.355</v>
      </c>
      <c r="P28" s="38">
        <f>'Operating Model'!J46</f>
        <v>11700.132024999999</v>
      </c>
      <c r="Q28" s="38">
        <f>'Operating Model'!K46</f>
        <v>12941.8809065</v>
      </c>
      <c r="R28" s="38">
        <f>'Operating Model'!L46</f>
        <v>14680.709278345003</v>
      </c>
      <c r="S28" s="38">
        <f>'Operating Model'!M46</f>
        <v>16567.707737838129</v>
      </c>
      <c r="T28" s="38">
        <f>'Operating Model'!N46</f>
        <v>18729.365556480392</v>
      </c>
      <c r="X28" s="1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</row>
    <row r="29" spans="2:55" ht="15.75">
      <c r="B29" s="57" t="s">
        <v>33</v>
      </c>
      <c r="C29" s="289"/>
      <c r="D29" s="288">
        <f>E29*$O$30</f>
        <v>27194.80405825</v>
      </c>
      <c r="E29" s="296">
        <f t="shared" ref="E29:E31" si="0">D20</f>
        <v>4.75</v>
      </c>
      <c r="F29" s="295">
        <f t="shared" ref="F29:F32" si="1">D29/$D$33</f>
        <v>0.25995044004372914</v>
      </c>
      <c r="H29" s="289" t="s">
        <v>54</v>
      </c>
      <c r="I29" s="293"/>
      <c r="J29" s="301">
        <f>-O22</f>
        <v>27273</v>
      </c>
      <c r="K29" s="291"/>
      <c r="L29" s="327" t="s">
        <v>55</v>
      </c>
      <c r="O29" s="38">
        <f>'Operating Model'!I28</f>
        <v>5118.8077069999999</v>
      </c>
      <c r="P29" s="38">
        <f>'Operating Model'!J28</f>
        <v>5829.0057748549998</v>
      </c>
      <c r="Q29" s="38">
        <f>'Operating Model'!K28</f>
        <v>6551.1801148702998</v>
      </c>
      <c r="R29" s="38">
        <f>'Operating Model'!L28</f>
        <v>7551.7568527806698</v>
      </c>
      <c r="S29" s="38">
        <f>'Operating Model'!M28</f>
        <v>8661.5976053417744</v>
      </c>
      <c r="T29" s="38">
        <f>'Operating Model'!N28</f>
        <v>9935.9284277128463</v>
      </c>
      <c r="X29" s="1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</row>
    <row r="30" spans="2:55" ht="15.75">
      <c r="B30" s="57" t="s">
        <v>35</v>
      </c>
      <c r="C30" s="289"/>
      <c r="D30" s="288">
        <f>E30*$O$30</f>
        <v>5725.2219070000001</v>
      </c>
      <c r="E30" s="296">
        <f t="shared" si="0"/>
        <v>1</v>
      </c>
      <c r="F30" s="295">
        <f t="shared" si="1"/>
        <v>5.472640843025877E-2</v>
      </c>
      <c r="H30" s="289" t="s">
        <v>56</v>
      </c>
      <c r="I30" s="289"/>
      <c r="J30" s="301">
        <f>J28*0.02</f>
        <v>1516.5165</v>
      </c>
      <c r="K30" s="291"/>
      <c r="L30" s="83" t="s">
        <v>57</v>
      </c>
      <c r="M30" s="292"/>
      <c r="N30" s="292"/>
      <c r="O30" s="309">
        <f>'Operating Model'!I41</f>
        <v>5725.2219070000001</v>
      </c>
      <c r="P30" s="309">
        <f>'Operating Model'!J41</f>
        <v>6499.991055855</v>
      </c>
      <c r="Q30" s="309">
        <f>'Operating Model'!K41</f>
        <v>7269.4240106770503</v>
      </c>
      <c r="R30" s="309">
        <f>'Operating Model'!L41</f>
        <v>8335.4849066361239</v>
      </c>
      <c r="S30" s="309">
        <f>'Operating Model'!M41</f>
        <v>9514.8583530885426</v>
      </c>
      <c r="T30" s="309">
        <f>'Operating Model'!N41</f>
        <v>10867.356398695902</v>
      </c>
      <c r="X30" s="1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</row>
    <row r="31" spans="2:55" ht="15.75">
      <c r="B31" s="302" t="s">
        <v>37</v>
      </c>
      <c r="C31" s="289"/>
      <c r="D31" s="288">
        <f>E31*$O$30</f>
        <v>8587.8328605000006</v>
      </c>
      <c r="E31" s="296">
        <f t="shared" si="0"/>
        <v>1.5</v>
      </c>
      <c r="F31" s="295">
        <f t="shared" si="1"/>
        <v>8.2089612645388166E-2</v>
      </c>
      <c r="H31" s="289"/>
      <c r="I31" s="293"/>
      <c r="J31" s="293"/>
      <c r="K31" s="298"/>
      <c r="L31" s="79" t="s">
        <v>58</v>
      </c>
      <c r="M31" s="278"/>
      <c r="N31" s="278"/>
      <c r="O31" s="304">
        <f>DCF!F29</f>
        <v>3574.3870105073297</v>
      </c>
      <c r="P31" s="304">
        <f>DCF!G29</f>
        <v>3783.0058875582636</v>
      </c>
      <c r="Q31" s="304">
        <f>DCF!H29</f>
        <v>4499.491260770581</v>
      </c>
      <c r="R31" s="304">
        <f>DCF!I29</f>
        <v>5133.1570460788171</v>
      </c>
      <c r="S31" s="304">
        <f>DCF!J29</f>
        <v>6014.6796598853261</v>
      </c>
      <c r="T31" s="304">
        <f>DCF!K29</f>
        <v>6909.3775939057641</v>
      </c>
      <c r="X31" s="1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</row>
    <row r="32" spans="2:55" ht="15.75">
      <c r="B32" s="175" t="s">
        <v>59</v>
      </c>
      <c r="C32" s="300"/>
      <c r="D32" s="284">
        <f>D33-SUM(D28:D31)</f>
        <v>63107.482674249994</v>
      </c>
      <c r="E32" s="303"/>
      <c r="F32" s="297">
        <f>D32/$D$33</f>
        <v>0.60323353888062392</v>
      </c>
      <c r="H32" s="70"/>
      <c r="I32" s="70"/>
      <c r="J32" s="70"/>
      <c r="K32" s="24"/>
      <c r="L32" s="329" t="s">
        <v>60</v>
      </c>
      <c r="M32" s="70"/>
      <c r="N32" s="70"/>
      <c r="O32" s="311">
        <f>(E45*$D$44 + E51*$D$50 + E57*$D$56)*(1-$D$14)</f>
        <v>2230.2959765087694</v>
      </c>
      <c r="P32" s="311">
        <f>(F45*$D$44 + F51*$D$50 + F57*$D$56)*(1-$D$14)</f>
        <v>2161.7137314989927</v>
      </c>
      <c r="Q32" s="311">
        <f>(G45*$D$44 + G51*$D$50 + G57*$D$56)*(1-$D$14)</f>
        <v>2078.9872992360683</v>
      </c>
      <c r="R32" s="311">
        <f>(H45*$D$44 + H51*$D$50 + H57*$D$56)*(1-$D$14)</f>
        <v>1955.4810845987697</v>
      </c>
      <c r="S32" s="311">
        <f>(I45*$D$44 + I51*$D$50 + I57*$D$56)*(1-$D$14)</f>
        <v>1793.3401686642503</v>
      </c>
      <c r="T32" s="311">
        <f>(J45*$D$44 + J51*$D$50 + J57*$D$56)*(1-$D$14)</f>
        <v>1577.946321124695</v>
      </c>
      <c r="X32" s="1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</row>
    <row r="33" spans="2:55" ht="15.75">
      <c r="B33" s="302" t="s">
        <v>61</v>
      </c>
      <c r="D33" s="288">
        <f>J33</f>
        <v>104615.34149999999</v>
      </c>
      <c r="H33" s="327" t="s">
        <v>61</v>
      </c>
      <c r="J33" s="288">
        <f>SUM(J28:J30)</f>
        <v>104615.34149999999</v>
      </c>
      <c r="L33" s="310" t="s">
        <v>62</v>
      </c>
      <c r="O33" s="38">
        <f>O31-O32</f>
        <v>1344.0910339985603</v>
      </c>
      <c r="P33" s="38">
        <f t="shared" ref="P33:T33" si="2">P31-P32</f>
        <v>1621.2921560592708</v>
      </c>
      <c r="Q33" s="38">
        <f t="shared" si="2"/>
        <v>2420.5039615345127</v>
      </c>
      <c r="R33" s="38">
        <f t="shared" si="2"/>
        <v>3177.6759614800476</v>
      </c>
      <c r="S33" s="38">
        <f t="shared" si="2"/>
        <v>4221.3394912210761</v>
      </c>
      <c r="T33" s="38">
        <f t="shared" si="2"/>
        <v>5331.4312727810693</v>
      </c>
      <c r="X33" s="1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</row>
    <row r="34" spans="2:55" ht="15.75">
      <c r="X34" s="1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</row>
    <row r="35" spans="2:55" ht="15.75">
      <c r="B35" s="215" t="s">
        <v>63</v>
      </c>
      <c r="C35" s="216"/>
      <c r="D35" s="32" t="s">
        <v>29</v>
      </c>
      <c r="E35" s="32" t="s">
        <v>43</v>
      </c>
      <c r="F35" s="32" t="s">
        <v>44</v>
      </c>
      <c r="G35" s="32" t="s">
        <v>45</v>
      </c>
      <c r="H35" s="32" t="s">
        <v>46</v>
      </c>
      <c r="I35" s="32" t="s">
        <v>47</v>
      </c>
      <c r="J35" s="32" t="s">
        <v>48</v>
      </c>
      <c r="L35" s="215" t="s">
        <v>64</v>
      </c>
      <c r="M35" s="216"/>
      <c r="N35" s="216"/>
      <c r="O35" s="216"/>
      <c r="P35" s="216"/>
      <c r="Q35" s="216"/>
      <c r="R35" s="214"/>
      <c r="S35" s="214"/>
      <c r="T35" s="214"/>
      <c r="X35" s="1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</row>
    <row r="36" spans="2:55" ht="15.75">
      <c r="X36" s="1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</row>
    <row r="37" spans="2:55" ht="15.75">
      <c r="B37" s="278" t="s">
        <v>31</v>
      </c>
      <c r="D37" s="308">
        <f>E19</f>
        <v>0.03</v>
      </c>
      <c r="L37" s="327" t="s">
        <v>65</v>
      </c>
      <c r="O37" s="38">
        <f>T30</f>
        <v>10867.356398695902</v>
      </c>
      <c r="Q37" s="327" t="s">
        <v>65</v>
      </c>
      <c r="T37" s="521">
        <f>T30</f>
        <v>10867.356398695902</v>
      </c>
      <c r="X37" s="1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</row>
    <row r="38" spans="2:55" ht="15.75">
      <c r="B38" s="327" t="s">
        <v>66</v>
      </c>
      <c r="E38" s="476">
        <f>D28</f>
        <v>0</v>
      </c>
      <c r="F38" s="476">
        <f>E40</f>
        <v>0</v>
      </c>
      <c r="G38" s="476">
        <f t="shared" ref="G38:J38" si="3">F40</f>
        <v>0</v>
      </c>
      <c r="H38" s="476">
        <f t="shared" si="3"/>
        <v>0</v>
      </c>
      <c r="I38" s="476">
        <f t="shared" si="3"/>
        <v>0</v>
      </c>
      <c r="J38" s="476">
        <f t="shared" si="3"/>
        <v>0</v>
      </c>
      <c r="L38" s="327" t="s">
        <v>18</v>
      </c>
      <c r="O38" s="321">
        <f>D13</f>
        <v>22.253</v>
      </c>
      <c r="Q38" s="327" t="s">
        <v>18</v>
      </c>
      <c r="T38" s="321">
        <f>D13</f>
        <v>22.253</v>
      </c>
      <c r="X38" s="1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</row>
    <row r="39" spans="2:55" ht="15.75">
      <c r="B39" s="327" t="s">
        <v>67</v>
      </c>
      <c r="E39" s="476"/>
      <c r="F39" s="476">
        <f>-MIN(E40,O33)</f>
        <v>0</v>
      </c>
      <c r="G39" s="476">
        <f t="shared" ref="G39:J39" si="4">-MIN(F40,P33)</f>
        <v>0</v>
      </c>
      <c r="H39" s="476">
        <f t="shared" si="4"/>
        <v>0</v>
      </c>
      <c r="I39" s="476">
        <f t="shared" si="4"/>
        <v>0</v>
      </c>
      <c r="J39" s="476">
        <f t="shared" si="4"/>
        <v>0</v>
      </c>
      <c r="L39" s="327" t="s">
        <v>68</v>
      </c>
      <c r="O39" s="322">
        <f>O37*O38</f>
        <v>241831.28194017991</v>
      </c>
      <c r="Q39" s="327" t="s">
        <v>68</v>
      </c>
      <c r="T39" s="322">
        <f>T37*T38</f>
        <v>241831.28194017991</v>
      </c>
      <c r="X39" s="1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</row>
    <row r="40" spans="2:55" ht="15.75">
      <c r="B40" s="327" t="s">
        <v>69</v>
      </c>
      <c r="E40" s="476">
        <f>SUM(E38:E39)</f>
        <v>0</v>
      </c>
      <c r="F40" s="476">
        <f>SUM(F38:F39)</f>
        <v>0</v>
      </c>
      <c r="G40" s="476">
        <f t="shared" ref="G40:J40" si="5">SUM(G38:G39)</f>
        <v>0</v>
      </c>
      <c r="H40" s="476">
        <f t="shared" si="5"/>
        <v>0</v>
      </c>
      <c r="I40" s="476">
        <f t="shared" si="5"/>
        <v>0</v>
      </c>
      <c r="J40" s="476">
        <f t="shared" si="5"/>
        <v>0</v>
      </c>
      <c r="L40" s="329" t="s">
        <v>70</v>
      </c>
      <c r="M40" s="70"/>
      <c r="N40" s="70"/>
      <c r="O40" s="324">
        <f>J62</f>
        <v>23391.524948675469</v>
      </c>
      <c r="Q40" s="329" t="s">
        <v>70</v>
      </c>
      <c r="R40" s="70"/>
      <c r="S40" s="70"/>
      <c r="T40" s="324">
        <f>J62</f>
        <v>23391.524948675469</v>
      </c>
      <c r="X40" s="1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</row>
    <row r="41" spans="2:55" ht="15.75">
      <c r="B41" s="327" t="s">
        <v>71</v>
      </c>
      <c r="E41" s="476"/>
      <c r="F41" s="476">
        <f>AVERAGE(E40:F40)*$D$37</f>
        <v>0</v>
      </c>
      <c r="G41" s="476">
        <f t="shared" ref="G41:J41" si="6">AVERAGE(F40:G40)*$D$37</f>
        <v>0</v>
      </c>
      <c r="H41" s="476">
        <f t="shared" si="6"/>
        <v>0</v>
      </c>
      <c r="I41" s="476">
        <f t="shared" si="6"/>
        <v>0</v>
      </c>
      <c r="J41" s="476">
        <f t="shared" si="6"/>
        <v>0</v>
      </c>
      <c r="L41" s="278" t="s">
        <v>72</v>
      </c>
      <c r="O41" s="325">
        <f>O39-O40</f>
        <v>218439.75699150443</v>
      </c>
      <c r="Q41" s="278" t="s">
        <v>73</v>
      </c>
      <c r="T41" s="330">
        <f>T39-T40</f>
        <v>218439.75699150443</v>
      </c>
      <c r="X41" s="1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</row>
    <row r="42" spans="2:55" ht="15.75">
      <c r="B42" s="327" t="s">
        <v>74</v>
      </c>
      <c r="D42" s="305">
        <v>2.5000000000000001E-3</v>
      </c>
      <c r="E42" s="476"/>
      <c r="F42" s="476">
        <v>0</v>
      </c>
      <c r="G42" s="476">
        <v>0</v>
      </c>
      <c r="H42" s="476">
        <v>0</v>
      </c>
      <c r="I42" s="476">
        <v>0</v>
      </c>
      <c r="J42" s="476">
        <v>0</v>
      </c>
      <c r="L42" s="323" t="s">
        <v>75</v>
      </c>
      <c r="O42" s="326">
        <v>1</v>
      </c>
      <c r="Q42" s="323" t="s">
        <v>75</v>
      </c>
      <c r="T42" s="326">
        <v>1</v>
      </c>
      <c r="X42" s="1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</row>
    <row r="43" spans="2:55" ht="15.75">
      <c r="L43" s="328" t="s">
        <v>76</v>
      </c>
      <c r="O43" s="325">
        <f>O41*O42</f>
        <v>218439.75699150443</v>
      </c>
      <c r="Q43" s="328" t="s">
        <v>77</v>
      </c>
      <c r="T43" s="325">
        <f xml:space="preserve"> D32</f>
        <v>63107.482674249994</v>
      </c>
      <c r="X43" s="1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</row>
    <row r="44" spans="2:55" ht="15.75">
      <c r="B44" s="278" t="s">
        <v>33</v>
      </c>
      <c r="D44" s="308">
        <f>E20</f>
        <v>6.5000000000000002E-2</v>
      </c>
      <c r="L44" s="328" t="s">
        <v>77</v>
      </c>
      <c r="O44" s="325">
        <f>D32</f>
        <v>63107.482674249994</v>
      </c>
      <c r="Q44" s="329" t="s">
        <v>78</v>
      </c>
      <c r="R44" s="70"/>
      <c r="S44" s="70"/>
      <c r="T44" s="324">
        <f>SUM(D29:D31)</f>
        <v>41507.858825750001</v>
      </c>
      <c r="X44" s="1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</row>
    <row r="45" spans="2:55" ht="15.75">
      <c r="B45" s="327" t="s">
        <v>66</v>
      </c>
      <c r="E45" s="476">
        <f>D29</f>
        <v>27194.80405825</v>
      </c>
      <c r="F45" s="476">
        <f>E47</f>
        <v>25850.713024251439</v>
      </c>
      <c r="G45" s="476">
        <f>F47</f>
        <v>24229.42086819217</v>
      </c>
      <c r="H45" s="476">
        <f t="shared" ref="G45:J45" si="7">G47</f>
        <v>21808.916906657658</v>
      </c>
      <c r="I45" s="476">
        <f t="shared" si="7"/>
        <v>18631.240945177611</v>
      </c>
      <c r="J45" s="476">
        <f t="shared" si="7"/>
        <v>14409.901453956536</v>
      </c>
      <c r="L45" s="335" t="s">
        <v>79</v>
      </c>
      <c r="M45" s="332"/>
      <c r="N45" s="332"/>
      <c r="O45" s="336">
        <f>O43/O44</f>
        <v>3.4613923378793765</v>
      </c>
      <c r="Q45" s="310" t="s">
        <v>80</v>
      </c>
      <c r="R45" s="278"/>
      <c r="S45" s="278"/>
      <c r="T45" s="330">
        <f xml:space="preserve"> T43 + T44 - T47</f>
        <v>103098.825</v>
      </c>
      <c r="X45" s="1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</row>
    <row r="46" spans="2:55" ht="15.75">
      <c r="B46" s="327" t="s">
        <v>67</v>
      </c>
      <c r="E46" s="476">
        <f>MIN(E45, O33)</f>
        <v>1344.0910339985603</v>
      </c>
      <c r="F46" s="476">
        <f>MIN(F45,P33+F39)</f>
        <v>1621.2921560592708</v>
      </c>
      <c r="G46" s="476">
        <f>MIN(G45,Q33+G39)</f>
        <v>2420.5039615345127</v>
      </c>
      <c r="H46" s="476">
        <f>MIN(H45,R33+H39)</f>
        <v>3177.6759614800476</v>
      </c>
      <c r="I46" s="476">
        <f>MIN(I45,S33+I39)</f>
        <v>4221.3394912210761</v>
      </c>
      <c r="J46" s="476">
        <f>MIN(J45,T33+J39)</f>
        <v>5331.4312727810693</v>
      </c>
      <c r="L46" s="333" t="s">
        <v>81</v>
      </c>
      <c r="M46" s="292"/>
      <c r="N46" s="292"/>
      <c r="O46" s="334">
        <f>O45^(1/6)-1</f>
        <v>0.22991511275945054</v>
      </c>
      <c r="Q46" s="328" t="s">
        <v>82</v>
      </c>
      <c r="T46" s="331">
        <f>O22</f>
        <v>-27273</v>
      </c>
      <c r="X46" s="1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</row>
    <row r="47" spans="2:55" ht="15.75">
      <c r="B47" s="327" t="s">
        <v>69</v>
      </c>
      <c r="E47" s="476">
        <f>E45- E46</f>
        <v>25850.713024251439</v>
      </c>
      <c r="F47" s="476">
        <f t="shared" ref="F47:J47" si="8">F45- F46</f>
        <v>24229.42086819217</v>
      </c>
      <c r="G47" s="476">
        <f t="shared" si="8"/>
        <v>21808.916906657658</v>
      </c>
      <c r="H47" s="476">
        <f t="shared" si="8"/>
        <v>18631.240945177611</v>
      </c>
      <c r="I47" s="476">
        <f>I45- I46</f>
        <v>14409.901453956536</v>
      </c>
      <c r="J47" s="476">
        <f t="shared" si="8"/>
        <v>9078.4701811754676</v>
      </c>
      <c r="Q47" s="328" t="s">
        <v>83</v>
      </c>
      <c r="T47" s="325">
        <f>J30</f>
        <v>1516.5165</v>
      </c>
      <c r="X47" s="1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</row>
    <row r="48" spans="2:55" ht="15.75">
      <c r="B48" s="327" t="s">
        <v>84</v>
      </c>
      <c r="E48" s="476">
        <f xml:space="preserve"> E47 * D44</f>
        <v>1680.2963465763437</v>
      </c>
      <c r="F48" s="476">
        <f>AVERAGE(E47:F47)*$D$44</f>
        <v>1627.6043515044175</v>
      </c>
      <c r="G48" s="476">
        <f t="shared" ref="G48:J48" si="9">AVERAGE(F47:G47)*$D$44</f>
        <v>1496.2459776826195</v>
      </c>
      <c r="H48" s="476">
        <f t="shared" si="9"/>
        <v>1314.3051301846463</v>
      </c>
      <c r="I48" s="476">
        <f t="shared" si="9"/>
        <v>1073.8371279718597</v>
      </c>
      <c r="J48" s="476">
        <f t="shared" si="9"/>
        <v>763.3720781417901</v>
      </c>
      <c r="T48" s="26"/>
      <c r="W48" s="26"/>
      <c r="X48" s="1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</row>
    <row r="49" spans="2:55" ht="15.75">
      <c r="E49" s="476"/>
      <c r="F49" s="476"/>
      <c r="G49" s="476"/>
      <c r="H49" s="476"/>
      <c r="I49" s="476"/>
      <c r="J49" s="476"/>
      <c r="Q49" s="329" t="s">
        <v>15</v>
      </c>
      <c r="R49" s="70"/>
      <c r="S49" s="70"/>
      <c r="T49" s="324">
        <f xml:space="preserve"> T45 + T46</f>
        <v>75825.824999999997</v>
      </c>
      <c r="X49" s="1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</row>
    <row r="50" spans="2:55" ht="15.75">
      <c r="B50" s="278" t="s">
        <v>35</v>
      </c>
      <c r="D50" s="308">
        <f>E21</f>
        <v>7.4999999999999997E-2</v>
      </c>
      <c r="E50" s="476"/>
      <c r="F50" s="476"/>
      <c r="G50" s="476"/>
      <c r="H50" s="476"/>
      <c r="I50" s="476"/>
      <c r="J50" s="476"/>
      <c r="Q50" s="328" t="s">
        <v>85</v>
      </c>
      <c r="T50">
        <f>O12</f>
        <v>56.5</v>
      </c>
      <c r="X50" s="1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</row>
    <row r="51" spans="2:55" ht="15.75">
      <c r="B51" s="327" t="s">
        <v>66</v>
      </c>
      <c r="E51" s="476">
        <f>D30</f>
        <v>5725.2219070000001</v>
      </c>
      <c r="F51" s="476">
        <f>E53</f>
        <v>5725.2219070000001</v>
      </c>
      <c r="G51" s="476">
        <f t="shared" ref="G51:J51" si="10">F53</f>
        <v>5725.2219070000001</v>
      </c>
      <c r="H51" s="476">
        <f>G53</f>
        <v>5725.2219070000001</v>
      </c>
      <c r="I51" s="476">
        <f t="shared" si="10"/>
        <v>5725.2219070000001</v>
      </c>
      <c r="J51" s="476">
        <f t="shared" si="10"/>
        <v>5725.2219070000001</v>
      </c>
      <c r="Q51" s="329" t="s">
        <v>86</v>
      </c>
      <c r="R51" s="70"/>
      <c r="S51" s="70"/>
      <c r="T51" s="284">
        <f>T49/T50</f>
        <v>1342.05</v>
      </c>
      <c r="X51" s="1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</row>
    <row r="52" spans="2:55" ht="15.75">
      <c r="B52" s="327" t="s">
        <v>67</v>
      </c>
      <c r="E52" s="476">
        <f>MAX(0, MIN(E51, O33-E46))</f>
        <v>0</v>
      </c>
      <c r="F52" s="476">
        <f>MAX(0, MIN(F51, P33+F39-F46))</f>
        <v>0</v>
      </c>
      <c r="G52" s="476">
        <f>MAX(0, MIN(G51, Q33+G39-G46))</f>
        <v>0</v>
      </c>
      <c r="H52" s="476">
        <f>MAX(0, MIN(H51, R33+H39-H46))</f>
        <v>0</v>
      </c>
      <c r="I52" s="476">
        <f>MAX(0, MIN(I51, S33+I39-I46))</f>
        <v>0</v>
      </c>
      <c r="J52" s="476">
        <f>MAX(0, MIN(J51, T33+J39-J46))</f>
        <v>0</v>
      </c>
      <c r="Q52" s="337" t="s">
        <v>87</v>
      </c>
      <c r="R52" s="338"/>
      <c r="S52" s="338"/>
      <c r="T52" s="339">
        <f>(T51-O13)/O13</f>
        <v>0.14999999999999997</v>
      </c>
      <c r="X52" s="1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</row>
    <row r="53" spans="2:55" ht="15.75">
      <c r="B53" s="327" t="s">
        <v>69</v>
      </c>
      <c r="E53" s="476">
        <f xml:space="preserve"> E51  - E52</f>
        <v>5725.2219070000001</v>
      </c>
      <c r="F53" s="476">
        <f t="shared" ref="F53:J53" si="11" xml:space="preserve"> F51  - F52</f>
        <v>5725.2219070000001</v>
      </c>
      <c r="G53" s="476">
        <f t="shared" si="11"/>
        <v>5725.2219070000001</v>
      </c>
      <c r="H53" s="476">
        <f t="shared" si="11"/>
        <v>5725.2219070000001</v>
      </c>
      <c r="I53" s="476">
        <f t="shared" si="11"/>
        <v>5725.2219070000001</v>
      </c>
      <c r="J53" s="476">
        <f t="shared" si="11"/>
        <v>5725.2219070000001</v>
      </c>
      <c r="X53" s="1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</row>
    <row r="54" spans="2:55" ht="15.75">
      <c r="B54" s="327" t="s">
        <v>84</v>
      </c>
      <c r="E54" s="476">
        <f>AVERAGE(D53:E53)*$D$50</f>
        <v>429.39164302500001</v>
      </c>
      <c r="F54" s="476">
        <f>AVERAGE(E53:F53)*$D$50</f>
        <v>429.39164302500001</v>
      </c>
      <c r="G54" s="476">
        <f t="shared" ref="G54:J54" si="12">AVERAGE(F53:G53)*$D$50</f>
        <v>429.39164302500001</v>
      </c>
      <c r="H54" s="476">
        <f t="shared" si="12"/>
        <v>429.39164302500001</v>
      </c>
      <c r="I54" s="476">
        <f t="shared" si="12"/>
        <v>429.39164302500001</v>
      </c>
      <c r="J54" s="476">
        <f t="shared" si="12"/>
        <v>429.39164302500001</v>
      </c>
      <c r="X54" s="1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</row>
    <row r="55" spans="2:55" ht="15.75">
      <c r="E55" s="476"/>
      <c r="F55" s="476"/>
      <c r="G55" s="476"/>
      <c r="H55" s="476"/>
      <c r="I55" s="476"/>
      <c r="J55" s="476"/>
      <c r="X55" s="1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</row>
    <row r="56" spans="2:55" ht="15.75">
      <c r="B56" s="278" t="s">
        <v>37</v>
      </c>
      <c r="D56" s="308">
        <f>E22</f>
        <v>7.4999999999999997E-2</v>
      </c>
      <c r="E56" s="476"/>
      <c r="F56" s="476"/>
      <c r="G56" s="476"/>
      <c r="H56" s="476"/>
      <c r="I56" s="476"/>
      <c r="J56" s="476"/>
      <c r="X56" s="1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</row>
    <row r="57" spans="2:55" ht="15.75">
      <c r="B57" s="327" t="s">
        <v>66</v>
      </c>
      <c r="E57" s="476">
        <f>D31</f>
        <v>8587.8328605000006</v>
      </c>
      <c r="F57" s="476">
        <f>E59</f>
        <v>8587.8328605000006</v>
      </c>
      <c r="G57" s="476">
        <f t="shared" ref="G57:J57" si="13">F59</f>
        <v>8587.8328605000006</v>
      </c>
      <c r="H57" s="476">
        <f t="shared" si="13"/>
        <v>8587.8328605000006</v>
      </c>
      <c r="I57" s="476">
        <f t="shared" si="13"/>
        <v>8587.8328605000006</v>
      </c>
      <c r="J57" s="476">
        <f t="shared" si="13"/>
        <v>8587.8328605000006</v>
      </c>
      <c r="U57" s="24"/>
      <c r="X57" s="1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</row>
    <row r="58" spans="2:55" ht="15.75">
      <c r="B58" s="327" t="s">
        <v>67</v>
      </c>
      <c r="E58" s="476">
        <f>-MAX(0, MIN(E57, O33-E46-E52))</f>
        <v>0</v>
      </c>
      <c r="F58" s="476">
        <f>-MAX(0, MIN(F57, P33+F39-F46-F52))</f>
        <v>0</v>
      </c>
      <c r="G58" s="476">
        <f>-MAX(0, MIN(G57, Q33+G39-G46-G52))</f>
        <v>0</v>
      </c>
      <c r="H58" s="476">
        <f>-MAX(0, MIN(H57, R33+H39-H46-H52))</f>
        <v>0</v>
      </c>
      <c r="I58" s="476">
        <f>-MAX(0, MIN(I57, S33+I39-I46-I52))</f>
        <v>0</v>
      </c>
      <c r="J58" s="476">
        <f>-MAX(0, MIN(J57, T33+J39-J46-J52))</f>
        <v>0</v>
      </c>
      <c r="U58" s="24"/>
      <c r="X58" s="1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</row>
    <row r="59" spans="2:55" ht="15.75">
      <c r="B59" s="327" t="s">
        <v>69</v>
      </c>
      <c r="E59" s="476">
        <f>SUM(E57:E58)</f>
        <v>8587.8328605000006</v>
      </c>
      <c r="F59" s="476">
        <f>SUM(F57:F58)</f>
        <v>8587.8328605000006</v>
      </c>
      <c r="G59" s="476">
        <f t="shared" ref="G59:J59" si="14">SUM(G57:G58)</f>
        <v>8587.8328605000006</v>
      </c>
      <c r="H59" s="476">
        <f t="shared" si="14"/>
        <v>8587.8328605000006</v>
      </c>
      <c r="I59" s="476">
        <f t="shared" si="14"/>
        <v>8587.8328605000006</v>
      </c>
      <c r="J59" s="476">
        <f t="shared" si="14"/>
        <v>8587.8328605000006</v>
      </c>
      <c r="U59" s="24"/>
      <c r="X59" s="1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</row>
    <row r="60" spans="2:55" ht="15.75">
      <c r="B60" s="327" t="s">
        <v>84</v>
      </c>
      <c r="E60" s="476">
        <f>AVERAGE(D59:E59)*$D$56</f>
        <v>644.08746453750007</v>
      </c>
      <c r="F60" s="476">
        <f>AVERAGE(E59:F59)*$D$56</f>
        <v>644.08746453750007</v>
      </c>
      <c r="G60" s="476">
        <f>AVERAGE(F59:G59)*$D$56</f>
        <v>644.08746453750007</v>
      </c>
      <c r="H60" s="476">
        <f>AVERAGE(G59:H59)*$D$56</f>
        <v>644.08746453750007</v>
      </c>
      <c r="I60" s="476">
        <f t="shared" ref="G60:J60" si="15">AVERAGE(H59:I59)*$D$56</f>
        <v>644.08746453750007</v>
      </c>
      <c r="J60" s="476">
        <f t="shared" si="15"/>
        <v>644.08746453750007</v>
      </c>
      <c r="U60" s="24"/>
      <c r="X60" s="1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</row>
    <row r="61" spans="2:55" ht="15.75">
      <c r="E61" s="476"/>
      <c r="F61" s="476"/>
      <c r="G61" s="476"/>
      <c r="H61" s="476"/>
      <c r="I61" s="476"/>
      <c r="J61" s="476"/>
      <c r="U61" s="24"/>
      <c r="X61" s="1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</row>
    <row r="62" spans="2:55" ht="15.75">
      <c r="B62" s="278" t="s">
        <v>88</v>
      </c>
      <c r="C62" s="278"/>
      <c r="D62" s="278"/>
      <c r="E62" s="476">
        <f>E40+E47+E53+E59</f>
        <v>40163.767791751437</v>
      </c>
      <c r="F62" s="476">
        <f t="shared" ref="F62:J62" si="16">F40+F47+F53+F59</f>
        <v>38542.475635692172</v>
      </c>
      <c r="G62" s="476">
        <f t="shared" si="16"/>
        <v>36121.971674157656</v>
      </c>
      <c r="H62" s="476">
        <f t="shared" si="16"/>
        <v>32944.295712677609</v>
      </c>
      <c r="I62" s="476">
        <f t="shared" si="16"/>
        <v>28722.956221456538</v>
      </c>
      <c r="J62" s="476">
        <f>J40+J47+J53+J59</f>
        <v>23391.524948675469</v>
      </c>
      <c r="U62" s="24"/>
      <c r="X62" s="1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</row>
    <row r="63" spans="2:55" ht="15.75">
      <c r="B63" s="278" t="s">
        <v>89</v>
      </c>
      <c r="C63" s="278"/>
      <c r="D63" s="278"/>
      <c r="E63" s="476">
        <f>E41+E42+E48+E54+E60</f>
        <v>2753.775454138844</v>
      </c>
      <c r="F63" s="476">
        <f>F41+F42+F48+F54+F60</f>
        <v>2701.0834590669178</v>
      </c>
      <c r="G63" s="476">
        <f t="shared" ref="F63:J63" si="17">G41+G42+G48+G54+G60</f>
        <v>2569.7250852451198</v>
      </c>
      <c r="H63" s="476">
        <f t="shared" si="17"/>
        <v>2387.7842377471466</v>
      </c>
      <c r="I63" s="476">
        <f t="shared" si="17"/>
        <v>2147.3162355343597</v>
      </c>
      <c r="J63" s="476">
        <f>J41+J42+J48+J54+J60</f>
        <v>1836.8511857042904</v>
      </c>
      <c r="U63" s="24"/>
      <c r="X63" s="1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</row>
    <row r="64" spans="2:55" ht="15.75">
      <c r="U64" s="24"/>
      <c r="X64" s="1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</row>
    <row r="65" spans="1:55" ht="15.75">
      <c r="B65" s="215" t="s">
        <v>90</v>
      </c>
      <c r="C65" s="216"/>
      <c r="D65" s="32"/>
      <c r="E65" s="32" t="s">
        <v>43</v>
      </c>
      <c r="F65" s="32" t="s">
        <v>44</v>
      </c>
      <c r="G65" s="32" t="s">
        <v>45</v>
      </c>
      <c r="H65" s="32" t="s">
        <v>46</v>
      </c>
      <c r="I65" s="32" t="s">
        <v>47</v>
      </c>
      <c r="J65" s="32" t="s">
        <v>48</v>
      </c>
      <c r="L65" s="215" t="s">
        <v>91</v>
      </c>
      <c r="M65" s="216"/>
      <c r="N65" s="32"/>
      <c r="O65" s="32"/>
      <c r="P65" s="32"/>
      <c r="Q65" s="32"/>
      <c r="R65" s="32"/>
      <c r="S65" s="32"/>
      <c r="T65" s="32"/>
      <c r="U65" s="24"/>
      <c r="X65" s="1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</row>
    <row r="66" spans="1:55" ht="15.75">
      <c r="U66" s="24"/>
      <c r="V66" s="1"/>
      <c r="W66" s="1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</row>
    <row r="67" spans="1:55" ht="15.75">
      <c r="A67" s="1"/>
      <c r="B67" s="522" t="s">
        <v>55</v>
      </c>
      <c r="D67" t="s">
        <v>92</v>
      </c>
      <c r="E67" s="476">
        <f>O29</f>
        <v>5118.8077069999999</v>
      </c>
      <c r="F67" s="476">
        <f t="shared" ref="F67:J67" si="18">P29</f>
        <v>5829.0057748549998</v>
      </c>
      <c r="G67" s="476">
        <f t="shared" si="18"/>
        <v>6551.1801148702998</v>
      </c>
      <c r="H67" s="476">
        <f t="shared" si="18"/>
        <v>7551.7568527806698</v>
      </c>
      <c r="I67" s="476">
        <f t="shared" si="18"/>
        <v>8661.5976053417744</v>
      </c>
      <c r="J67" s="476">
        <f t="shared" si="18"/>
        <v>9935.9284277128463</v>
      </c>
      <c r="L67" s="24"/>
      <c r="M67" s="24"/>
      <c r="N67" s="24"/>
      <c r="O67" s="24"/>
      <c r="P67" s="24"/>
      <c r="Q67" s="310" t="s">
        <v>18</v>
      </c>
      <c r="R67" s="24"/>
      <c r="S67" s="24"/>
      <c r="T67" s="24"/>
      <c r="U67" s="24"/>
      <c r="V67" s="1"/>
      <c r="W67" s="1"/>
      <c r="X67" s="1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</row>
    <row r="68" spans="1:55" ht="15.75">
      <c r="A68" s="1"/>
      <c r="B68" s="522" t="s">
        <v>84</v>
      </c>
      <c r="D68" t="s">
        <v>92</v>
      </c>
      <c r="E68" s="476">
        <f>E63</f>
        <v>2753.775454138844</v>
      </c>
      <c r="F68" s="476">
        <f t="shared" ref="F68:J68" si="19">F63</f>
        <v>2701.0834590669178</v>
      </c>
      <c r="G68" s="476">
        <f t="shared" si="19"/>
        <v>2569.7250852451198</v>
      </c>
      <c r="H68" s="476">
        <f t="shared" si="19"/>
        <v>2387.7842377471466</v>
      </c>
      <c r="I68" s="476">
        <f t="shared" si="19"/>
        <v>2147.3162355343597</v>
      </c>
      <c r="J68" s="476">
        <f t="shared" si="19"/>
        <v>1836.8511857042904</v>
      </c>
      <c r="L68" s="24"/>
      <c r="M68" s="346">
        <f>$O$46</f>
        <v>0.22991511275945054</v>
      </c>
      <c r="N68" s="349">
        <f t="shared" ref="N68:O68" si="20">O68-1.5</f>
        <v>17.753</v>
      </c>
      <c r="O68" s="349">
        <f t="shared" si="20"/>
        <v>19.253</v>
      </c>
      <c r="P68" s="349">
        <f>Q68-1.5</f>
        <v>20.753</v>
      </c>
      <c r="Q68" s="348">
        <f xml:space="preserve"> DCF!D14</f>
        <v>22.253</v>
      </c>
      <c r="R68" s="349">
        <f>Q68+1.5</f>
        <v>23.753</v>
      </c>
      <c r="S68" s="349">
        <f t="shared" ref="S68:T68" si="21">R68+1.5</f>
        <v>25.253</v>
      </c>
      <c r="T68" s="349">
        <f t="shared" si="21"/>
        <v>26.753</v>
      </c>
      <c r="U68" s="24"/>
      <c r="V68" s="1"/>
      <c r="W68" s="1"/>
      <c r="X68" s="1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</row>
    <row r="69" spans="1:55" ht="15.6">
      <c r="A69" s="1"/>
      <c r="C69" s="1" t="s">
        <v>31</v>
      </c>
      <c r="E69" s="476">
        <f>E41</f>
        <v>0</v>
      </c>
      <c r="F69" s="476">
        <f>F41</f>
        <v>0</v>
      </c>
      <c r="G69" s="476">
        <f t="shared" ref="F69:J69" si="22">G41</f>
        <v>0</v>
      </c>
      <c r="H69" s="476">
        <f t="shared" si="22"/>
        <v>0</v>
      </c>
      <c r="I69" s="476">
        <f t="shared" si="22"/>
        <v>0</v>
      </c>
      <c r="J69" s="476">
        <f t="shared" si="22"/>
        <v>0</v>
      </c>
      <c r="L69" s="24"/>
      <c r="M69" s="344">
        <f t="shared" ref="M69:M72" si="23">M70-2%</f>
        <v>4.9999999999999989E-2</v>
      </c>
      <c r="N69" s="353">
        <f t="dataTable" ref="N69:T79" dt2D="1" dtr="1" r1="D13" r2="O14"/>
        <v>0.2013985650085679</v>
      </c>
      <c r="O69" s="354">
        <v>0.21992221558702929</v>
      </c>
      <c r="P69" s="354">
        <v>0.23713784932560245</v>
      </c>
      <c r="Q69" s="354">
        <v>0.25323290356197048</v>
      </c>
      <c r="R69" s="354">
        <v>0.26835629513025561</v>
      </c>
      <c r="S69" s="354">
        <v>0.28262841087910373</v>
      </c>
      <c r="T69" s="355">
        <v>0.29614803699949022</v>
      </c>
      <c r="U69" s="24"/>
      <c r="V69" s="1"/>
      <c r="W69" s="1"/>
      <c r="X69" s="1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</row>
    <row r="70" spans="1:55" ht="15.6">
      <c r="A70" s="1"/>
      <c r="C70" s="82" t="s">
        <v>93</v>
      </c>
      <c r="E70" s="6">
        <f>IF(E69=0, 0, E67/E69)</f>
        <v>0</v>
      </c>
      <c r="F70" s="6">
        <f>IF(F69=0,0,F67/F69)</f>
        <v>0</v>
      </c>
      <c r="G70" s="6">
        <f t="shared" ref="F70:J70" si="24">IF(G69=0,0,G67/G69)</f>
        <v>0</v>
      </c>
      <c r="H70" s="6">
        <f t="shared" si="24"/>
        <v>0</v>
      </c>
      <c r="I70" s="6">
        <f t="shared" si="24"/>
        <v>0</v>
      </c>
      <c r="J70" s="6">
        <f t="shared" si="24"/>
        <v>0</v>
      </c>
      <c r="L70" s="24"/>
      <c r="M70" s="344">
        <f t="shared" si="23"/>
        <v>6.9999999999999993E-2</v>
      </c>
      <c r="N70" s="356">
        <v>0.19668703707150303</v>
      </c>
      <c r="O70" s="344">
        <v>0.21513804340038845</v>
      </c>
      <c r="P70" s="344">
        <v>0.23228616254249368</v>
      </c>
      <c r="Q70" s="344">
        <v>0.24831809676199801</v>
      </c>
      <c r="R70" s="344">
        <v>0.26338217888548088</v>
      </c>
      <c r="S70" s="344">
        <v>0.27759832364016424</v>
      </c>
      <c r="T70" s="350">
        <v>0.29106492980695631</v>
      </c>
      <c r="V70" s="1"/>
      <c r="W70" s="1"/>
      <c r="X70" s="1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</row>
    <row r="71" spans="1:55" ht="15.6">
      <c r="A71" s="1"/>
      <c r="B71" s="1"/>
      <c r="C71" s="1" t="s">
        <v>94</v>
      </c>
      <c r="D71" s="1"/>
      <c r="E71" s="476">
        <f>E48</f>
        <v>1680.2963465763437</v>
      </c>
      <c r="F71" s="476">
        <f>F48</f>
        <v>1627.6043515044175</v>
      </c>
      <c r="G71" s="476">
        <f t="shared" ref="F71:J71" si="25">G48</f>
        <v>1496.2459776826195</v>
      </c>
      <c r="H71" s="476">
        <f t="shared" si="25"/>
        <v>1314.3051301846463</v>
      </c>
      <c r="I71" s="476">
        <f t="shared" si="25"/>
        <v>1073.8371279718597</v>
      </c>
      <c r="J71" s="476">
        <f t="shared" si="25"/>
        <v>763.3720781417901</v>
      </c>
      <c r="K71" s="1"/>
      <c r="L71" s="24"/>
      <c r="M71" s="344">
        <f t="shared" si="23"/>
        <v>0.09</v>
      </c>
      <c r="N71" s="356">
        <v>0.19210188080972279</v>
      </c>
      <c r="O71" s="344">
        <v>0.21048219133880064</v>
      </c>
      <c r="P71" s="344">
        <v>0.22756460674766021</v>
      </c>
      <c r="Q71" s="344">
        <v>0.243535113942974</v>
      </c>
      <c r="R71" s="344">
        <v>0.25854147740791289</v>
      </c>
      <c r="S71" s="344">
        <v>0.27270315241142407</v>
      </c>
      <c r="T71" s="350">
        <v>0.28611816071538509</v>
      </c>
      <c r="V71" s="1"/>
      <c r="W71" s="1"/>
      <c r="X71" s="1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</row>
    <row r="72" spans="1:55" ht="15.6">
      <c r="A72" s="1"/>
      <c r="B72" s="1"/>
      <c r="C72" s="82" t="s">
        <v>93</v>
      </c>
      <c r="D72" s="1"/>
      <c r="E72" s="6">
        <f>IF(E71=0, 0, (E67-E69)/E71)</f>
        <v>3.0463719792224335</v>
      </c>
      <c r="F72" s="6">
        <f>IF(F71=0, 0, (F67-F69)/F71)</f>
        <v>3.5813407413584071</v>
      </c>
      <c r="G72" s="6">
        <f>IF(G71=0,0,(G67-G69)/G71)</f>
        <v>4.3784111787667053</v>
      </c>
      <c r="H72" s="6">
        <f t="shared" ref="F72:J72" si="26">IF(H71=0,0,(H67-H69)/H71)</f>
        <v>5.7458170704391351</v>
      </c>
      <c r="I72" s="6">
        <f t="shared" si="26"/>
        <v>8.0660254518306758</v>
      </c>
      <c r="J72" s="6">
        <f t="shared" si="26"/>
        <v>13.015839473588041</v>
      </c>
      <c r="K72" s="1"/>
      <c r="L72" s="24"/>
      <c r="M72" s="344">
        <f t="shared" si="23"/>
        <v>0.11</v>
      </c>
      <c r="N72" s="356">
        <v>0.18763694265785347</v>
      </c>
      <c r="O72" s="344">
        <v>0.2059484109587244</v>
      </c>
      <c r="P72" s="344">
        <v>0.22296684531905719</v>
      </c>
      <c r="Q72" s="344">
        <v>0.23887753604395923</v>
      </c>
      <c r="R72" s="344">
        <v>0.2538276941745774</v>
      </c>
      <c r="S72" s="344">
        <v>0.26793632756810926</v>
      </c>
      <c r="T72" s="350">
        <v>0.28130109085245558</v>
      </c>
      <c r="V72" s="1"/>
      <c r="W72" s="1"/>
      <c r="X72" s="1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</row>
    <row r="73" spans="1:55" ht="15.6">
      <c r="A73" s="1"/>
      <c r="B73" s="1"/>
      <c r="C73" s="1" t="s">
        <v>95</v>
      </c>
      <c r="D73" s="1"/>
      <c r="E73" s="476">
        <f>E54</f>
        <v>429.39164302500001</v>
      </c>
      <c r="F73" s="476">
        <f xml:space="preserve"> F54</f>
        <v>429.39164302500001</v>
      </c>
      <c r="G73" s="476">
        <f>G54</f>
        <v>429.39164302500001</v>
      </c>
      <c r="H73" s="476">
        <f>H54</f>
        <v>429.39164302500001</v>
      </c>
      <c r="I73" s="476">
        <f t="shared" ref="F73:J73" si="27">I54</f>
        <v>429.39164302500001</v>
      </c>
      <c r="J73" s="476">
        <f t="shared" si="27"/>
        <v>429.39164302500001</v>
      </c>
      <c r="K73" s="1"/>
      <c r="L73" s="310" t="s">
        <v>23</v>
      </c>
      <c r="M73" s="344">
        <f>M74-2%</f>
        <v>0.13</v>
      </c>
      <c r="N73" s="356">
        <v>0.18328649737839253</v>
      </c>
      <c r="O73" s="344">
        <v>0.20153088874862268</v>
      </c>
      <c r="P73" s="344">
        <v>0.21848698270443645</v>
      </c>
      <c r="Q73" s="344">
        <v>0.23433939081209165</v>
      </c>
      <c r="R73" s="344">
        <v>0.24923478486243389</v>
      </c>
      <c r="S73" s="344">
        <v>0.26329173677373663</v>
      </c>
      <c r="T73" s="350">
        <v>0.27660754345421412</v>
      </c>
      <c r="V73" s="1"/>
      <c r="W73" s="1"/>
      <c r="X73" s="1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</row>
    <row r="74" spans="1:55" ht="15.75">
      <c r="A74" s="1"/>
      <c r="B74" s="1"/>
      <c r="C74" s="82" t="s">
        <v>93</v>
      </c>
      <c r="D74" s="1"/>
      <c r="E74" s="340">
        <f>IF(E73=0, 0, (E67-E69-E71)/E73)</f>
        <v>8.0078674475354408</v>
      </c>
      <c r="F74" s="340">
        <f>IF(F73=0, 0, (F67-F69-F71)/F73)</f>
        <v>9.7845439975318023</v>
      </c>
      <c r="G74" s="6">
        <f t="shared" ref="F74:J74" si="28">IF(G73=0,0,(G67-G69-G71)/G73)</f>
        <v>11.772316064598797</v>
      </c>
      <c r="H74" s="6">
        <f t="shared" si="28"/>
        <v>14.526253186145189</v>
      </c>
      <c r="I74" s="6">
        <f t="shared" si="28"/>
        <v>17.670955177225331</v>
      </c>
      <c r="J74" s="6">
        <f>IF(J73=0,0,(J67-J69-J71)/J73)</f>
        <v>21.3617486473462</v>
      </c>
      <c r="K74" s="1"/>
      <c r="L74" s="24"/>
      <c r="M74" s="347">
        <v>0.15</v>
      </c>
      <c r="N74" s="356">
        <v>0.17904520967477855</v>
      </c>
      <c r="O74" s="344">
        <v>0.19722420715016575</v>
      </c>
      <c r="P74" s="344">
        <v>0.21411952489247987</v>
      </c>
      <c r="Q74" s="344">
        <v>0.22991511275945054</v>
      </c>
      <c r="R74" s="344">
        <v>0.24475711682202039</v>
      </c>
      <c r="S74" s="344">
        <v>0.25876368399773808</v>
      </c>
      <c r="T74" s="350">
        <v>0.27203176245072158</v>
      </c>
      <c r="V74" s="1"/>
      <c r="W74" s="1"/>
      <c r="X74" s="1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</row>
    <row r="75" spans="1:55" ht="15.6">
      <c r="A75" s="1"/>
      <c r="B75" s="1"/>
      <c r="C75" s="1" t="s">
        <v>96</v>
      </c>
      <c r="D75" s="1"/>
      <c r="E75" s="476">
        <f>E60</f>
        <v>644.08746453750007</v>
      </c>
      <c r="F75" s="476">
        <f xml:space="preserve"> F60</f>
        <v>644.08746453750007</v>
      </c>
      <c r="G75" s="476">
        <f t="shared" ref="F75:J75" si="29">G60</f>
        <v>644.08746453750007</v>
      </c>
      <c r="H75" s="476">
        <f t="shared" si="29"/>
        <v>644.08746453750007</v>
      </c>
      <c r="I75" s="476">
        <f t="shared" si="29"/>
        <v>644.08746453750007</v>
      </c>
      <c r="J75" s="476">
        <f t="shared" si="29"/>
        <v>644.08746453750007</v>
      </c>
      <c r="K75" s="1"/>
      <c r="L75" s="24"/>
      <c r="M75" s="344">
        <f>M74+2%</f>
        <v>0.16999999999999998</v>
      </c>
      <c r="N75" s="356">
        <v>0.17490809998067891</v>
      </c>
      <c r="O75" s="344">
        <v>0.19302330982004712</v>
      </c>
      <c r="P75" s="344">
        <v>0.20985934418438479</v>
      </c>
      <c r="Q75" s="344">
        <v>0.22559950747632462</v>
      </c>
      <c r="R75" s="344">
        <v>0.24038943296007198</v>
      </c>
      <c r="S75" s="344">
        <v>0.25434685299166993</v>
      </c>
      <c r="T75" s="350">
        <v>0.26756837555727997</v>
      </c>
      <c r="V75" s="1"/>
      <c r="W75" s="1"/>
      <c r="X75" s="1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</row>
    <row r="76" spans="1:55" ht="15.75">
      <c r="A76" s="1"/>
      <c r="B76" s="1"/>
      <c r="C76" s="82" t="s">
        <v>93</v>
      </c>
      <c r="D76" s="1"/>
      <c r="E76" s="6">
        <f>IF(E75=0, 0, (E67-E69-E71-E73)/E75)</f>
        <v>4.6719116316902936</v>
      </c>
      <c r="F76" s="6">
        <f>IF(F75=0, 0, (F67-F69-F71-F73)/F75)</f>
        <v>5.8563626650212006</v>
      </c>
      <c r="G76" s="6">
        <f t="shared" ref="G76:J76" si="30">IF(G75=0,0,(G67-G69-G71-G73)/G75)</f>
        <v>7.1815440430658644</v>
      </c>
      <c r="H76" s="6">
        <f t="shared" si="30"/>
        <v>9.0175021240967901</v>
      </c>
      <c r="I76" s="6">
        <f t="shared" si="30"/>
        <v>11.113970118150219</v>
      </c>
      <c r="J76" s="6">
        <f t="shared" si="30"/>
        <v>13.574499098230799</v>
      </c>
      <c r="K76" s="1"/>
      <c r="L76" s="24"/>
      <c r="M76" s="344">
        <f t="shared" ref="M76:M79" si="31">M75+2%</f>
        <v>0.18999999999999997</v>
      </c>
      <c r="N76" s="356">
        <v>0.17087051389438734</v>
      </c>
      <c r="O76" s="344">
        <v>0.18892347059310688</v>
      </c>
      <c r="P76" s="344">
        <v>0.20570164771899413</v>
      </c>
      <c r="Q76" s="344">
        <v>0.22138771974685589</v>
      </c>
      <c r="R76" s="344">
        <v>0.23612681947040026</v>
      </c>
      <c r="S76" s="344">
        <v>0.25003627465698508</v>
      </c>
      <c r="T76" s="350">
        <v>0.26321236129824377</v>
      </c>
      <c r="V76" s="1"/>
      <c r="W76" s="1"/>
      <c r="X76" s="1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</row>
    <row r="77" spans="1:55" ht="15.75">
      <c r="A77" s="1"/>
      <c r="B77" s="1"/>
      <c r="C77" s="1" t="s">
        <v>97</v>
      </c>
      <c r="D77" s="1"/>
      <c r="E77" s="476">
        <f t="shared" ref="E77:F77" si="32">E69+E71+E73+E75</f>
        <v>2753.775454138844</v>
      </c>
      <c r="F77" s="476">
        <f t="shared" si="32"/>
        <v>2701.0834590669178</v>
      </c>
      <c r="G77" s="476">
        <f>G69+G71+G73+G75</f>
        <v>2569.7250852451198</v>
      </c>
      <c r="H77" s="476">
        <f t="shared" ref="H77:J77" si="33">H69+H71+H73+H75</f>
        <v>2387.7842377471466</v>
      </c>
      <c r="I77" s="476">
        <f t="shared" si="33"/>
        <v>2147.3162355343597</v>
      </c>
      <c r="J77" s="476">
        <f t="shared" si="33"/>
        <v>1836.8511857042904</v>
      </c>
      <c r="K77" s="1"/>
      <c r="L77" s="24"/>
      <c r="M77" s="344">
        <f t="shared" si="31"/>
        <v>0.20999999999999996</v>
      </c>
      <c r="N77" s="356">
        <v>0.16692809480412985</v>
      </c>
      <c r="O77" s="344">
        <v>0.18492026568556197</v>
      </c>
      <c r="P77" s="344">
        <v>0.20164194928375689</v>
      </c>
      <c r="Q77" s="344">
        <v>0.21727520499326403</v>
      </c>
      <c r="R77" s="344">
        <v>0.23196467693351908</v>
      </c>
      <c r="S77" s="344">
        <v>0.24582729781946022</v>
      </c>
      <c r="T77" s="350">
        <v>0.25895901947339284</v>
      </c>
      <c r="V77" s="1"/>
      <c r="W77" s="1"/>
      <c r="X77" s="1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</row>
    <row r="78" spans="1:55" ht="15.75">
      <c r="A78" s="1"/>
      <c r="B78" s="1"/>
      <c r="C78" s="341" t="s">
        <v>98</v>
      </c>
      <c r="D78" s="342"/>
      <c r="E78" s="343">
        <f t="shared" ref="E78:F78" si="34">IF(E77=0,0,E67/E68)</f>
        <v>1.8588326434918947</v>
      </c>
      <c r="F78" s="343">
        <f t="shared" si="34"/>
        <v>2.1580250529795233</v>
      </c>
      <c r="G78" s="343">
        <f>IF(G77=0,0,G67/G68)</f>
        <v>2.5493700289131898</v>
      </c>
      <c r="H78" s="343">
        <f>IF(H77=0,0,H67/H68)</f>
        <v>3.1626629966808415</v>
      </c>
      <c r="I78" s="343">
        <f t="shared" ref="I78" si="35">IF(I77=0,0,I67/I68)</f>
        <v>4.0336851470721244</v>
      </c>
      <c r="J78" s="343">
        <f>IF(J77=0,0,J67/J68)</f>
        <v>5.409217962261426</v>
      </c>
      <c r="K78" s="1"/>
      <c r="L78" s="24"/>
      <c r="M78" s="344">
        <f t="shared" si="31"/>
        <v>0.22999999999999995</v>
      </c>
      <c r="N78" s="356">
        <v>0.16307675931455035</v>
      </c>
      <c r="O78" s="344">
        <v>0.18100954874261022</v>
      </c>
      <c r="P78" s="344">
        <v>0.19767604401020122</v>
      </c>
      <c r="Q78" s="344">
        <v>0.2132577036421095</v>
      </c>
      <c r="R78" s="344">
        <v>0.22789869437357502</v>
      </c>
      <c r="S78" s="344">
        <v>0.24171556299420138</v>
      </c>
      <c r="T78" s="350">
        <v>0.2548039446464061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55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4"/>
      <c r="M79" s="344">
        <f t="shared" si="31"/>
        <v>0.24999999999999994</v>
      </c>
      <c r="N79" s="357">
        <v>0.15931267513890135</v>
      </c>
      <c r="O79" s="351">
        <v>0.17718742838975232</v>
      </c>
      <c r="P79" s="351">
        <v>0.19379998560845868</v>
      </c>
      <c r="Q79" s="351">
        <v>0.20933121806264121</v>
      </c>
      <c r="R79" s="351">
        <v>0.22392482591839635</v>
      </c>
      <c r="S79" s="351">
        <v>0.23769697878306295</v>
      </c>
      <c r="T79" s="352">
        <v>0.25074300229349666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55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</sheetData>
  <conditionalFormatting sqref="BA19:BC3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9:T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13"/>
  <sheetViews>
    <sheetView showGridLines="0" zoomScale="69" workbookViewId="0">
      <selection activeCell="N44" sqref="N44"/>
    </sheetView>
  </sheetViews>
  <sheetFormatPr defaultColWidth="14.42578125" defaultRowHeight="15" customHeight="1"/>
  <cols>
    <col min="1" max="1" width="8.5703125" customWidth="1"/>
    <col min="2" max="2" width="21.85546875" customWidth="1"/>
    <col min="3" max="17" width="10.42578125" customWidth="1"/>
    <col min="18" max="26" width="8.5703125" customWidth="1"/>
  </cols>
  <sheetData>
    <row r="1" spans="2:38" ht="12.75" customHeight="1">
      <c r="T1" s="2"/>
      <c r="U1" s="2"/>
      <c r="V1" s="2"/>
      <c r="W1" s="2"/>
      <c r="X1" s="2"/>
      <c r="Y1" s="2"/>
      <c r="Z1" s="2"/>
    </row>
    <row r="2" spans="2:38" ht="26.1">
      <c r="B2" s="27" t="s">
        <v>8</v>
      </c>
      <c r="C2" s="28"/>
      <c r="D2" s="28"/>
      <c r="E2" s="28"/>
      <c r="F2" s="28"/>
      <c r="G2" s="28"/>
      <c r="H2" s="28"/>
      <c r="I2" s="28"/>
      <c r="J2" s="28"/>
      <c r="K2" s="28"/>
      <c r="L2" s="2"/>
      <c r="R2" s="24"/>
      <c r="S2" s="24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2:38" ht="12.75" customHeight="1">
      <c r="B3" s="33" t="s">
        <v>99</v>
      </c>
      <c r="C3" s="28"/>
      <c r="D3" s="28"/>
      <c r="E3" s="28"/>
      <c r="F3" s="28"/>
      <c r="G3" s="28"/>
      <c r="H3" s="28"/>
      <c r="I3" s="28"/>
      <c r="J3" s="28"/>
      <c r="K3" s="28"/>
      <c r="L3" s="2"/>
      <c r="R3" s="24"/>
      <c r="S3" s="24"/>
      <c r="T3" s="20"/>
      <c r="U3" s="258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 spans="2:38" ht="12.75" customHeight="1">
      <c r="B4" s="29" t="s">
        <v>10</v>
      </c>
      <c r="C4" s="28"/>
      <c r="D4" s="28"/>
      <c r="E4" s="28"/>
      <c r="F4" s="28"/>
      <c r="G4" s="28"/>
      <c r="H4" s="28"/>
      <c r="I4" s="28"/>
      <c r="J4" s="28"/>
      <c r="K4" s="28"/>
      <c r="L4" s="2"/>
      <c r="R4" s="24"/>
      <c r="S4" s="24"/>
      <c r="T4" s="20"/>
      <c r="U4" s="26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spans="2:38" ht="12.75" customHeight="1">
      <c r="R5" s="24"/>
      <c r="S5" s="24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2:38" ht="12.75" customHeight="1">
      <c r="B6" s="30" t="s">
        <v>100</v>
      </c>
      <c r="C6" s="31"/>
      <c r="D6" s="31"/>
      <c r="E6" s="31"/>
      <c r="F6" s="31"/>
      <c r="G6" s="31"/>
      <c r="H6" s="31"/>
      <c r="I6" s="31"/>
      <c r="J6" s="31"/>
      <c r="K6" s="31"/>
      <c r="L6" s="57"/>
      <c r="R6" s="24"/>
      <c r="S6" s="24"/>
      <c r="T6" s="5"/>
      <c r="U6" s="514"/>
      <c r="V6" s="524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2:38" ht="12.75" customHeight="1">
      <c r="R7" s="24"/>
      <c r="S7" s="24"/>
      <c r="T7" s="5"/>
      <c r="U7" s="5"/>
      <c r="V7" s="259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2:38" ht="12.75" customHeight="1">
      <c r="B8" s="215" t="s">
        <v>12</v>
      </c>
      <c r="C8" s="216"/>
      <c r="D8" s="216"/>
      <c r="E8" s="216"/>
      <c r="F8" s="216"/>
      <c r="G8" s="216"/>
      <c r="H8" s="214"/>
      <c r="I8" s="214"/>
      <c r="J8" s="214"/>
      <c r="K8" s="214"/>
      <c r="L8" s="202"/>
      <c r="R8" s="24"/>
      <c r="S8" s="24"/>
      <c r="T8" s="5"/>
      <c r="U8" s="5"/>
      <c r="V8" s="260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2:38" ht="12.75" customHeight="1">
      <c r="B9" s="173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R9" s="24"/>
      <c r="S9" s="24"/>
      <c r="T9" s="5"/>
      <c r="U9" s="5"/>
      <c r="V9" s="260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2:38" ht="12.75" customHeight="1">
      <c r="B10" s="174" t="s">
        <v>101</v>
      </c>
      <c r="C10" s="175"/>
      <c r="D10" s="175"/>
      <c r="E10" s="175"/>
      <c r="F10" s="57"/>
      <c r="G10" s="57"/>
      <c r="H10" s="57"/>
      <c r="I10" s="57"/>
      <c r="J10" s="57"/>
      <c r="K10" s="57"/>
      <c r="L10" s="57"/>
      <c r="M10" s="57"/>
      <c r="N10" s="57"/>
      <c r="R10" s="24"/>
      <c r="S10" s="24"/>
      <c r="T10" s="5"/>
      <c r="U10" s="5"/>
      <c r="V10" s="261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2:38" ht="12.75" customHeight="1">
      <c r="B11" s="57" t="s">
        <v>102</v>
      </c>
      <c r="C11" s="57"/>
      <c r="D11" s="212">
        <f xml:space="preserve"> Comps!D11</f>
        <v>1167</v>
      </c>
      <c r="E11" s="57"/>
      <c r="F11" s="57"/>
      <c r="H11" s="176"/>
      <c r="I11" s="57"/>
      <c r="J11" s="57"/>
      <c r="K11" s="57"/>
      <c r="L11" s="57"/>
      <c r="M11" s="57"/>
      <c r="N11" s="57"/>
      <c r="R11" s="24"/>
      <c r="S11" s="24"/>
      <c r="T11" s="5"/>
      <c r="U11" s="5"/>
      <c r="V11" s="261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2:38" ht="12.75" customHeight="1">
      <c r="B12" s="57" t="s">
        <v>103</v>
      </c>
      <c r="C12" s="57"/>
      <c r="D12" s="211">
        <v>56.5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R12" s="24"/>
      <c r="S12" s="24"/>
      <c r="T12" s="5"/>
      <c r="U12" s="5"/>
      <c r="V12" s="26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2:38" ht="12.75" customHeight="1">
      <c r="B13" s="57" t="s">
        <v>104</v>
      </c>
      <c r="C13" s="57"/>
      <c r="D13" s="177">
        <v>27518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R13" s="24"/>
      <c r="S13" s="2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2:38" ht="12.75" customHeight="1">
      <c r="B14" s="57" t="s">
        <v>18</v>
      </c>
      <c r="C14" s="57"/>
      <c r="D14" s="178">
        <f xml:space="preserve"> AVERAGE(Precedents!F14, Comps!K29)</f>
        <v>22.253</v>
      </c>
      <c r="E14" s="57" t="s">
        <v>105</v>
      </c>
      <c r="F14" s="57"/>
      <c r="G14" s="57"/>
      <c r="H14" s="57"/>
      <c r="I14" s="57"/>
      <c r="J14" s="57"/>
      <c r="K14" s="57"/>
      <c r="L14" s="57"/>
      <c r="M14" s="57"/>
      <c r="N14" s="57"/>
      <c r="R14" s="24"/>
      <c r="S14" s="24"/>
      <c r="T14" s="5"/>
      <c r="U14" s="514"/>
      <c r="V14" s="524"/>
      <c r="W14" s="524"/>
      <c r="X14" s="524"/>
      <c r="Y14" s="524"/>
      <c r="Z14" s="524"/>
      <c r="AA14" s="524"/>
      <c r="AB14" s="524"/>
      <c r="AC14" s="524"/>
      <c r="AD14" s="524"/>
      <c r="AE14" s="524"/>
      <c r="AF14" s="524"/>
      <c r="AG14" s="524"/>
      <c r="AH14" s="524"/>
      <c r="AI14" s="524"/>
      <c r="AJ14" s="5"/>
      <c r="AK14" s="5"/>
      <c r="AL14" s="5"/>
    </row>
    <row r="15" spans="2:38" ht="12.75" customHeight="1">
      <c r="B15" s="57" t="s">
        <v>106</v>
      </c>
      <c r="C15" s="57"/>
      <c r="D15" s="179">
        <f>WACC!D27</f>
        <v>8.4834400000000004E-2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R15" s="24"/>
      <c r="S15" s="24"/>
      <c r="T15" s="5"/>
      <c r="U15" s="5"/>
      <c r="V15" s="263"/>
      <c r="W15" s="263"/>
      <c r="X15" s="263"/>
      <c r="Y15" s="263"/>
      <c r="Z15" s="263"/>
      <c r="AA15" s="263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2:38" ht="12.75" customHeight="1">
      <c r="B16" s="57" t="s">
        <v>21</v>
      </c>
      <c r="C16" s="57"/>
      <c r="D16" s="213">
        <v>0.215</v>
      </c>
      <c r="E16" s="57"/>
      <c r="F16" s="57"/>
      <c r="G16" s="57"/>
      <c r="H16" s="57"/>
      <c r="I16" s="57"/>
      <c r="J16" s="57"/>
      <c r="K16" s="57"/>
      <c r="L16" s="57"/>
      <c r="M16" s="57"/>
      <c r="N16" s="57"/>
      <c r="R16" s="24"/>
      <c r="S16" s="24"/>
      <c r="T16" s="5"/>
      <c r="U16" s="5"/>
      <c r="V16" s="263"/>
      <c r="W16" s="263"/>
      <c r="X16" s="263"/>
      <c r="Y16" s="263"/>
      <c r="Z16" s="263"/>
      <c r="AA16" s="263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2:38" ht="12.75" customHeight="1">
      <c r="B17" s="57" t="s">
        <v>107</v>
      </c>
      <c r="C17" s="57"/>
      <c r="D17" s="220">
        <v>2.2499999999999999E-2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  <c r="R17" s="24"/>
      <c r="S17" s="24"/>
      <c r="T17" s="5"/>
      <c r="U17" s="5"/>
      <c r="V17" s="263"/>
      <c r="W17" s="263"/>
      <c r="X17" s="263"/>
      <c r="Y17" s="263"/>
      <c r="Z17" s="263"/>
      <c r="AA17" s="263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2:38" ht="12.75" customHeight="1"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R18" s="24"/>
      <c r="S18" s="24"/>
      <c r="T18" s="5"/>
      <c r="U18" s="264"/>
      <c r="V18" s="265"/>
      <c r="W18" s="265"/>
      <c r="X18" s="265"/>
      <c r="Y18" s="265"/>
      <c r="Z18" s="265"/>
      <c r="AA18" s="265"/>
      <c r="AB18" s="5"/>
      <c r="AC18" s="514"/>
      <c r="AD18" s="524"/>
      <c r="AE18" s="524"/>
      <c r="AF18" s="5"/>
      <c r="AG18" s="514"/>
      <c r="AH18" s="524"/>
      <c r="AI18" s="524"/>
      <c r="AJ18" s="5"/>
      <c r="AK18" s="5"/>
      <c r="AL18" s="5"/>
    </row>
    <row r="19" spans="2:38" ht="12.75" customHeight="1">
      <c r="B19" s="87" t="s">
        <v>108</v>
      </c>
      <c r="C19" s="215"/>
      <c r="D19" s="215"/>
      <c r="E19" s="215"/>
      <c r="F19" s="217" t="s">
        <v>43</v>
      </c>
      <c r="G19" s="217" t="s">
        <v>44</v>
      </c>
      <c r="H19" s="217" t="s">
        <v>45</v>
      </c>
      <c r="I19" s="217" t="s">
        <v>46</v>
      </c>
      <c r="J19" s="217" t="s">
        <v>47</v>
      </c>
      <c r="K19" s="217" t="s">
        <v>48</v>
      </c>
      <c r="R19" s="24"/>
      <c r="S19" s="24"/>
      <c r="T19" s="5"/>
      <c r="U19" s="5"/>
      <c r="V19" s="249"/>
      <c r="W19" s="249"/>
      <c r="X19" s="249"/>
      <c r="Y19" s="249"/>
      <c r="Z19" s="249"/>
      <c r="AA19" s="249"/>
      <c r="AB19" s="5"/>
      <c r="AC19" s="5"/>
      <c r="AD19" s="5"/>
      <c r="AE19" s="254"/>
      <c r="AF19" s="5"/>
      <c r="AG19" s="5"/>
      <c r="AH19" s="5"/>
      <c r="AI19" s="254"/>
      <c r="AJ19" s="5"/>
      <c r="AK19" s="5"/>
      <c r="AL19" s="5"/>
    </row>
    <row r="20" spans="2:38" ht="12.75" customHeight="1"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R20" s="24"/>
      <c r="S20" s="24"/>
      <c r="T20" s="5"/>
      <c r="U20" s="5"/>
      <c r="V20" s="250"/>
      <c r="W20" s="250"/>
      <c r="X20" s="250"/>
      <c r="Y20" s="250"/>
      <c r="Z20" s="250"/>
      <c r="AA20" s="250"/>
      <c r="AB20" s="5"/>
      <c r="AC20" s="5"/>
      <c r="AD20" s="5"/>
      <c r="AE20" s="254"/>
      <c r="AF20" s="5"/>
      <c r="AG20" s="5"/>
      <c r="AH20" s="5"/>
      <c r="AI20" s="254"/>
      <c r="AJ20" s="5"/>
      <c r="AK20" s="5"/>
      <c r="AL20" s="5"/>
    </row>
    <row r="21" spans="2:38" ht="12.75" customHeight="1">
      <c r="B21" s="180" t="s">
        <v>109</v>
      </c>
      <c r="C21" s="181"/>
      <c r="D21" s="181"/>
      <c r="E21" s="181"/>
      <c r="F21" s="181"/>
      <c r="G21" s="181"/>
      <c r="H21" s="182"/>
      <c r="I21" s="182"/>
      <c r="J21" s="182"/>
      <c r="K21" s="182"/>
      <c r="L21" s="202"/>
      <c r="M21" s="202"/>
      <c r="N21" s="202"/>
      <c r="R21" s="24"/>
      <c r="S21" s="24"/>
      <c r="T21" s="5"/>
      <c r="U21" s="266"/>
      <c r="V21" s="251"/>
      <c r="W21" s="251"/>
      <c r="X21" s="251"/>
      <c r="Y21" s="251"/>
      <c r="Z21" s="251"/>
      <c r="AA21" s="251"/>
      <c r="AB21" s="5"/>
      <c r="AC21" s="5"/>
      <c r="AD21" s="5"/>
      <c r="AE21" s="254"/>
      <c r="AF21" s="5"/>
      <c r="AG21" s="5"/>
      <c r="AH21" s="5"/>
      <c r="AI21" s="254"/>
      <c r="AJ21" s="5"/>
      <c r="AK21" s="5"/>
      <c r="AL21" s="5"/>
    </row>
    <row r="22" spans="2:38" ht="12.75" customHeight="1"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R22" s="24"/>
      <c r="S22" s="24"/>
      <c r="T22" s="5"/>
      <c r="U22" s="5"/>
      <c r="V22" s="252"/>
      <c r="W22" s="252"/>
      <c r="X22" s="252"/>
      <c r="Y22" s="252"/>
      <c r="Z22" s="252"/>
      <c r="AA22" s="252"/>
      <c r="AB22" s="5"/>
      <c r="AC22" s="5"/>
      <c r="AD22" s="5"/>
      <c r="AE22" s="254"/>
      <c r="AF22" s="5"/>
      <c r="AG22" s="5"/>
      <c r="AH22" s="5"/>
      <c r="AI22" s="254"/>
      <c r="AJ22" s="5"/>
      <c r="AK22" s="5"/>
      <c r="AL22" s="5"/>
    </row>
    <row r="23" spans="2:38" ht="12.75" customHeight="1">
      <c r="B23" s="72" t="s">
        <v>55</v>
      </c>
      <c r="C23" s="72"/>
      <c r="D23" s="72"/>
      <c r="E23" s="72"/>
      <c r="F23" s="86">
        <f>'Operating Model'!I28</f>
        <v>5118.8077069999999</v>
      </c>
      <c r="G23" s="86">
        <f>'Operating Model'!J28</f>
        <v>5829.0057748549998</v>
      </c>
      <c r="H23" s="86">
        <f>'Operating Model'!K28</f>
        <v>6551.1801148702998</v>
      </c>
      <c r="I23" s="86">
        <f>'Operating Model'!L28</f>
        <v>7551.7568527806698</v>
      </c>
      <c r="J23" s="86">
        <f>'Operating Model'!M28</f>
        <v>8661.5976053417744</v>
      </c>
      <c r="K23" s="86">
        <f>'Operating Model'!N28</f>
        <v>9935.9284277128463</v>
      </c>
      <c r="L23" s="72"/>
      <c r="M23" s="72"/>
      <c r="N23" s="72"/>
      <c r="R23" s="24"/>
      <c r="S23" s="24"/>
      <c r="T23" s="5"/>
      <c r="U23" s="5"/>
      <c r="V23" s="252"/>
      <c r="W23" s="252"/>
      <c r="X23" s="252"/>
      <c r="Y23" s="252"/>
      <c r="Z23" s="252"/>
      <c r="AA23" s="252"/>
      <c r="AB23" s="5"/>
      <c r="AC23" s="5"/>
      <c r="AD23" s="5"/>
      <c r="AE23" s="254"/>
      <c r="AF23" s="5"/>
      <c r="AG23" s="5"/>
      <c r="AH23" s="5"/>
      <c r="AI23" s="254"/>
      <c r="AJ23" s="5"/>
      <c r="AK23" s="5"/>
      <c r="AL23" s="5"/>
    </row>
    <row r="24" spans="2:38" ht="12.75" customHeight="1">
      <c r="B24" s="184" t="s">
        <v>110</v>
      </c>
      <c r="C24" s="84"/>
      <c r="D24" s="84"/>
      <c r="E24" s="84"/>
      <c r="F24" s="89">
        <f>F23*$D$16</f>
        <v>1100.5436570049999</v>
      </c>
      <c r="G24" s="89">
        <f t="shared" ref="G24:K24" si="0">G23*$D$16</f>
        <v>1253.2362415938248</v>
      </c>
      <c r="H24" s="89">
        <f t="shared" si="0"/>
        <v>1408.5037246971144</v>
      </c>
      <c r="I24" s="89">
        <f t="shared" si="0"/>
        <v>1623.627723347844</v>
      </c>
      <c r="J24" s="89">
        <f t="shared" si="0"/>
        <v>1862.2434851484816</v>
      </c>
      <c r="K24" s="89">
        <f t="shared" si="0"/>
        <v>2136.2246119582619</v>
      </c>
      <c r="L24" s="72"/>
      <c r="M24" s="72"/>
      <c r="N24" s="72"/>
      <c r="R24" s="24"/>
      <c r="S24" s="24"/>
      <c r="T24" s="5"/>
      <c r="U24" s="5"/>
      <c r="V24" s="252"/>
      <c r="W24" s="252"/>
      <c r="X24" s="252"/>
      <c r="Y24" s="252"/>
      <c r="Z24" s="252"/>
      <c r="AA24" s="252"/>
      <c r="AB24" s="5"/>
      <c r="AC24" s="5"/>
      <c r="AD24" s="5"/>
      <c r="AE24" s="254"/>
      <c r="AF24" s="5"/>
      <c r="AG24" s="5"/>
      <c r="AH24" s="5"/>
      <c r="AI24" s="254"/>
      <c r="AJ24" s="5"/>
      <c r="AK24" s="5"/>
      <c r="AL24" s="5"/>
    </row>
    <row r="25" spans="2:38" ht="12.75" customHeight="1">
      <c r="B25" s="79" t="s">
        <v>111</v>
      </c>
      <c r="C25" s="72"/>
      <c r="D25" s="72"/>
      <c r="E25" s="72"/>
      <c r="F25" s="91">
        <f>F23-F24</f>
        <v>4018.2640499950003</v>
      </c>
      <c r="G25" s="91">
        <f t="shared" ref="G25:K25" si="1">G23-G24</f>
        <v>4575.7695332611747</v>
      </c>
      <c r="H25" s="91">
        <f t="shared" si="1"/>
        <v>5142.6763901731856</v>
      </c>
      <c r="I25" s="91">
        <f t="shared" si="1"/>
        <v>5928.1291294328257</v>
      </c>
      <c r="J25" s="91">
        <f t="shared" si="1"/>
        <v>6799.3541201932931</v>
      </c>
      <c r="K25" s="91">
        <f t="shared" si="1"/>
        <v>7799.7038157545849</v>
      </c>
      <c r="L25" s="72"/>
      <c r="M25" s="72"/>
      <c r="N25" s="72"/>
      <c r="R25" s="24"/>
      <c r="S25" s="24"/>
      <c r="T25" s="5"/>
      <c r="U25" s="5"/>
      <c r="V25" s="252"/>
      <c r="W25" s="252"/>
      <c r="X25" s="252"/>
      <c r="Y25" s="252"/>
      <c r="Z25" s="252"/>
      <c r="AA25" s="252"/>
      <c r="AB25" s="5"/>
      <c r="AC25" s="5"/>
      <c r="AD25" s="5"/>
      <c r="AE25" s="254"/>
      <c r="AF25" s="5"/>
      <c r="AG25" s="5"/>
      <c r="AH25" s="5"/>
      <c r="AI25" s="254"/>
      <c r="AJ25" s="5"/>
      <c r="AK25" s="5"/>
      <c r="AL25" s="5"/>
    </row>
    <row r="26" spans="2:38" ht="12.75" customHeight="1">
      <c r="B26" s="81" t="s">
        <v>112</v>
      </c>
      <c r="C26" s="72"/>
      <c r="D26" s="72"/>
      <c r="E26" s="72"/>
      <c r="F26" s="85">
        <f>'Operating Model'!I23</f>
        <v>407.41419999999999</v>
      </c>
      <c r="G26" s="85">
        <f>'Operating Model'!J23</f>
        <v>468.00528099999997</v>
      </c>
      <c r="H26" s="85">
        <f>'Operating Model'!K23</f>
        <v>511.20429580675</v>
      </c>
      <c r="I26" s="85">
        <f>'Operating Model'!L23</f>
        <v>572.54766185545509</v>
      </c>
      <c r="J26" s="85">
        <f>'Operating Model'!M23</f>
        <v>637.85674790676796</v>
      </c>
      <c r="K26" s="85">
        <f>'Operating Model'!N23</f>
        <v>711.71589114625488</v>
      </c>
      <c r="L26" s="72"/>
      <c r="M26" s="72"/>
      <c r="N26" s="72"/>
      <c r="R26" s="24"/>
      <c r="S26" s="24"/>
      <c r="T26" s="5"/>
      <c r="U26" s="5"/>
      <c r="V26" s="252"/>
      <c r="W26" s="252"/>
      <c r="X26" s="252"/>
      <c r="Y26" s="252"/>
      <c r="Z26" s="252"/>
      <c r="AA26" s="252"/>
      <c r="AB26" s="5"/>
      <c r="AC26" s="5"/>
      <c r="AD26" s="5"/>
      <c r="AE26" s="254"/>
      <c r="AF26" s="5"/>
      <c r="AG26" s="5"/>
      <c r="AH26" s="5"/>
      <c r="AI26" s="254"/>
      <c r="AJ26" s="5"/>
      <c r="AK26" s="5"/>
      <c r="AL26" s="5"/>
    </row>
    <row r="27" spans="2:38" ht="12.75" customHeight="1">
      <c r="B27" s="81" t="s">
        <v>113</v>
      </c>
      <c r="C27" s="72"/>
      <c r="D27" s="72"/>
      <c r="E27" s="72"/>
      <c r="F27" s="85">
        <f>'Operating Model'!I65</f>
        <v>107.76032448767091</v>
      </c>
      <c r="G27" s="85">
        <f>'Operating Model'!J65</f>
        <v>418.35942090291064</v>
      </c>
      <c r="H27" s="85">
        <f>'Operating Model'!K65</f>
        <v>287.28340447385335</v>
      </c>
      <c r="I27" s="85">
        <f>'Operating Model'!L65</f>
        <v>398.59293283869329</v>
      </c>
      <c r="J27" s="85">
        <f>'Operating Model'!M65</f>
        <v>411.90103620660921</v>
      </c>
      <c r="K27" s="85">
        <f>'Operating Model'!N65</f>
        <v>478.28017960625311</v>
      </c>
      <c r="L27" s="72"/>
      <c r="M27" s="72"/>
      <c r="N27" s="72"/>
      <c r="R27" s="24"/>
      <c r="S27" s="24"/>
      <c r="T27" s="5"/>
      <c r="U27" s="5"/>
      <c r="V27" s="252"/>
      <c r="W27" s="252"/>
      <c r="X27" s="252"/>
      <c r="Y27" s="252"/>
      <c r="Z27" s="252"/>
      <c r="AA27" s="252"/>
      <c r="AB27" s="5"/>
      <c r="AC27" s="5"/>
      <c r="AD27" s="5"/>
      <c r="AE27" s="254"/>
      <c r="AF27" s="5"/>
      <c r="AG27" s="5"/>
      <c r="AH27" s="5"/>
      <c r="AI27" s="254"/>
      <c r="AJ27" s="5"/>
      <c r="AK27" s="5"/>
      <c r="AL27" s="5"/>
    </row>
    <row r="28" spans="2:38" ht="12.75" customHeight="1">
      <c r="B28" s="184" t="s">
        <v>114</v>
      </c>
      <c r="C28" s="84"/>
      <c r="D28" s="84"/>
      <c r="E28" s="84"/>
      <c r="F28" s="98">
        <f>'Operating Model'!I76*-1</f>
        <v>743.53091499999994</v>
      </c>
      <c r="G28" s="89">
        <f>'Operating Model'!J76*-1</f>
        <v>842.40950580000003</v>
      </c>
      <c r="H28" s="89">
        <f>'Operating Model'!K76*-1</f>
        <v>867.10602073550001</v>
      </c>
      <c r="I28" s="89">
        <f>'Operating Model'!L76*-1</f>
        <v>968.92681237077022</v>
      </c>
      <c r="J28" s="89">
        <f>'Operating Model'!M76*-1</f>
        <v>1010.6301720081259</v>
      </c>
      <c r="K28" s="89">
        <f>'Operating Model'!N76*-1</f>
        <v>1123.7619333888235</v>
      </c>
      <c r="L28" s="72"/>
      <c r="M28" s="72"/>
      <c r="N28" s="72"/>
      <c r="R28" s="24"/>
      <c r="S28" s="24"/>
      <c r="T28" s="5"/>
      <c r="U28" s="5"/>
      <c r="V28" s="252"/>
      <c r="W28" s="252"/>
      <c r="X28" s="252"/>
      <c r="Y28" s="252"/>
      <c r="Z28" s="252"/>
      <c r="AA28" s="252"/>
      <c r="AB28" s="5"/>
      <c r="AC28" s="5"/>
      <c r="AD28" s="5"/>
      <c r="AE28" s="254"/>
      <c r="AF28" s="5"/>
      <c r="AG28" s="5"/>
      <c r="AH28" s="5"/>
      <c r="AI28" s="254"/>
      <c r="AJ28" s="5"/>
      <c r="AK28" s="5"/>
      <c r="AL28" s="5"/>
    </row>
    <row r="29" spans="2:38" ht="12.75" customHeight="1">
      <c r="B29" s="79" t="s">
        <v>58</v>
      </c>
      <c r="C29" s="72"/>
      <c r="D29" s="72"/>
      <c r="E29" s="72"/>
      <c r="F29" s="507">
        <f>F25+F26-F27-F28</f>
        <v>3574.3870105073297</v>
      </c>
      <c r="G29" s="91">
        <f t="shared" ref="G29:K29" si="2">G25+G26-G27-G28</f>
        <v>3783.0058875582636</v>
      </c>
      <c r="H29" s="91">
        <f t="shared" si="2"/>
        <v>4499.491260770581</v>
      </c>
      <c r="I29" s="91">
        <f>I25+I26-I27-I28</f>
        <v>5133.1570460788171</v>
      </c>
      <c r="J29" s="91">
        <f t="shared" si="2"/>
        <v>6014.6796598853261</v>
      </c>
      <c r="K29" s="91">
        <f t="shared" si="2"/>
        <v>6909.3775939057641</v>
      </c>
      <c r="L29" s="72"/>
      <c r="M29" s="72"/>
      <c r="N29" s="72"/>
      <c r="R29" s="24"/>
      <c r="S29" s="24"/>
      <c r="T29" s="5"/>
      <c r="U29" s="5"/>
      <c r="V29" s="252"/>
      <c r="W29" s="252"/>
      <c r="X29" s="252"/>
      <c r="Y29" s="252"/>
      <c r="Z29" s="252"/>
      <c r="AA29" s="252"/>
      <c r="AB29" s="5"/>
      <c r="AC29" s="5"/>
      <c r="AD29" s="5"/>
      <c r="AE29" s="254"/>
      <c r="AF29" s="5"/>
      <c r="AG29" s="5"/>
      <c r="AH29" s="5"/>
      <c r="AI29" s="254"/>
      <c r="AJ29" s="5"/>
      <c r="AK29" s="5"/>
      <c r="AL29" s="5"/>
    </row>
    <row r="30" spans="2:38" ht="12.75" customHeight="1">
      <c r="B30" s="72"/>
      <c r="C30" s="72"/>
      <c r="D30" s="72"/>
      <c r="E30" s="72"/>
      <c r="F30" s="77"/>
      <c r="G30" s="77"/>
      <c r="H30" s="77"/>
      <c r="I30" s="77"/>
      <c r="J30" s="77"/>
      <c r="K30" s="77"/>
      <c r="L30" s="72"/>
      <c r="R30" s="24"/>
      <c r="S30" s="24"/>
      <c r="T30" s="5"/>
      <c r="U30" s="266"/>
      <c r="V30" s="251"/>
      <c r="W30" s="251"/>
      <c r="X30" s="251"/>
      <c r="Y30" s="251"/>
      <c r="Z30" s="251"/>
      <c r="AA30" s="251"/>
      <c r="AB30" s="5"/>
      <c r="AC30" s="5"/>
      <c r="AD30" s="5"/>
      <c r="AE30" s="254"/>
      <c r="AF30" s="5"/>
      <c r="AG30" s="5"/>
      <c r="AH30" s="5"/>
      <c r="AI30" s="254"/>
      <c r="AJ30" s="5"/>
      <c r="AK30" s="5"/>
      <c r="AL30" s="5"/>
    </row>
    <row r="31" spans="2:38" ht="12.75" customHeight="1">
      <c r="B31" s="81" t="s">
        <v>115</v>
      </c>
      <c r="C31" s="72"/>
      <c r="D31" s="72"/>
      <c r="E31" s="72"/>
      <c r="F31" s="183">
        <v>0.5</v>
      </c>
      <c r="G31" s="183">
        <f>1+F31</f>
        <v>1.5</v>
      </c>
      <c r="H31" s="183">
        <f>1+G31</f>
        <v>2.5</v>
      </c>
      <c r="I31" s="183">
        <f t="shared" ref="H31:K31" si="3">1+H31</f>
        <v>3.5</v>
      </c>
      <c r="J31" s="183">
        <f>1+I31</f>
        <v>4.5</v>
      </c>
      <c r="K31" s="183">
        <f t="shared" si="3"/>
        <v>5.5</v>
      </c>
      <c r="L31" s="183"/>
      <c r="R31" s="24"/>
      <c r="S31" s="24"/>
      <c r="T31" s="5"/>
      <c r="U31" s="266"/>
      <c r="V31" s="251"/>
      <c r="W31" s="251"/>
      <c r="X31" s="251"/>
      <c r="Y31" s="251"/>
      <c r="Z31" s="251"/>
      <c r="AA31" s="251"/>
      <c r="AB31" s="5"/>
      <c r="AC31" s="5"/>
      <c r="AD31" s="5"/>
      <c r="AE31" s="254"/>
      <c r="AF31" s="5"/>
      <c r="AG31" s="5"/>
      <c r="AH31" s="5"/>
      <c r="AI31" s="254"/>
      <c r="AJ31" s="5"/>
      <c r="AK31" s="5"/>
      <c r="AL31" s="5"/>
    </row>
    <row r="32" spans="2:38" ht="12.75" customHeight="1">
      <c r="B32" s="184" t="s">
        <v>116</v>
      </c>
      <c r="C32" s="84"/>
      <c r="D32" s="84"/>
      <c r="E32" s="84"/>
      <c r="F32" s="185">
        <f>$D$15</f>
        <v>8.4834400000000004E-2</v>
      </c>
      <c r="G32" s="185">
        <f>F32</f>
        <v>8.4834400000000004E-2</v>
      </c>
      <c r="H32" s="185">
        <f t="shared" ref="H32:K32" si="4">$D$15</f>
        <v>8.4834400000000004E-2</v>
      </c>
      <c r="I32" s="185">
        <f t="shared" si="4"/>
        <v>8.4834400000000004E-2</v>
      </c>
      <c r="J32" s="185">
        <f t="shared" si="4"/>
        <v>8.4834400000000004E-2</v>
      </c>
      <c r="K32" s="185">
        <f t="shared" si="4"/>
        <v>8.4834400000000004E-2</v>
      </c>
      <c r="L32" s="247"/>
      <c r="R32" s="24"/>
      <c r="S32" s="24"/>
      <c r="T32" s="5"/>
      <c r="U32" s="5"/>
      <c r="V32" s="250"/>
      <c r="W32" s="250"/>
      <c r="X32" s="250"/>
      <c r="Y32" s="250"/>
      <c r="Z32" s="250"/>
      <c r="AA32" s="250"/>
      <c r="AB32" s="5"/>
      <c r="AC32" s="5"/>
      <c r="AD32" s="5"/>
      <c r="AE32" s="254"/>
      <c r="AF32" s="5"/>
      <c r="AG32" s="5"/>
      <c r="AH32" s="5"/>
      <c r="AI32" s="254"/>
      <c r="AJ32" s="5"/>
      <c r="AK32" s="5"/>
      <c r="AL32" s="5"/>
    </row>
    <row r="33" spans="2:38" ht="12.75" customHeight="1">
      <c r="B33" s="79" t="s">
        <v>117</v>
      </c>
      <c r="C33" s="72"/>
      <c r="D33" s="72"/>
      <c r="E33" s="72"/>
      <c r="F33" s="186">
        <f>F29/(1+F32)^F31</f>
        <v>3431.7832414444429</v>
      </c>
      <c r="G33" s="186">
        <f t="shared" ref="G33:K33" si="5">G29/(1+G32)^G31</f>
        <v>3348.0493044134209</v>
      </c>
      <c r="H33" s="186">
        <f t="shared" si="5"/>
        <v>3670.7498708744356</v>
      </c>
      <c r="I33" s="186">
        <f t="shared" si="5"/>
        <v>3860.2237894360019</v>
      </c>
      <c r="J33" s="186">
        <f t="shared" si="5"/>
        <v>4169.4328624848249</v>
      </c>
      <c r="K33" s="186">
        <f t="shared" si="5"/>
        <v>4415.0940804130887</v>
      </c>
      <c r="L33" s="246"/>
      <c r="R33" s="24"/>
      <c r="S33" s="24"/>
      <c r="T33" s="5"/>
      <c r="U33" s="5"/>
      <c r="V33" s="250"/>
      <c r="W33" s="250"/>
      <c r="X33" s="250"/>
      <c r="Y33" s="250"/>
      <c r="Z33" s="250"/>
      <c r="AA33" s="250"/>
      <c r="AB33" s="5"/>
      <c r="AC33" s="253"/>
      <c r="AD33" s="253"/>
      <c r="AE33" s="267"/>
      <c r="AF33" s="5"/>
      <c r="AG33" s="253"/>
      <c r="AH33" s="253"/>
      <c r="AI33" s="267"/>
      <c r="AJ33" s="5"/>
      <c r="AK33" s="5"/>
      <c r="AL33" s="5"/>
    </row>
    <row r="34" spans="2:38" ht="12.75" customHeight="1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R34" s="24"/>
      <c r="S34" s="24"/>
      <c r="T34" s="5"/>
      <c r="U34" s="266"/>
      <c r="V34" s="251"/>
      <c r="W34" s="251"/>
      <c r="X34" s="251"/>
      <c r="Y34" s="251"/>
      <c r="Z34" s="251"/>
      <c r="AA34" s="251"/>
      <c r="AB34" s="5"/>
      <c r="AC34" s="5"/>
      <c r="AD34" s="5"/>
      <c r="AE34" s="256"/>
      <c r="AF34" s="5"/>
      <c r="AG34" s="5"/>
      <c r="AH34" s="5"/>
      <c r="AI34" s="256"/>
      <c r="AJ34" s="5"/>
      <c r="AK34" s="5"/>
      <c r="AL34" s="5"/>
    </row>
    <row r="35" spans="2:38" ht="12.75" customHeight="1">
      <c r="B35" s="180" t="s">
        <v>118</v>
      </c>
      <c r="C35" s="181"/>
      <c r="D35" s="181"/>
      <c r="E35" s="181"/>
      <c r="F35" s="181"/>
      <c r="G35" s="181"/>
      <c r="H35" s="182"/>
      <c r="I35" s="182"/>
      <c r="J35" s="182"/>
      <c r="K35" s="182"/>
      <c r="L35" s="202"/>
      <c r="M35" s="202"/>
      <c r="N35" s="202"/>
      <c r="R35" s="24"/>
      <c r="S35" s="24"/>
      <c r="T35" s="5"/>
      <c r="U35" s="5"/>
      <c r="V35" s="250"/>
      <c r="W35" s="250"/>
      <c r="X35" s="250"/>
      <c r="Y35" s="250"/>
      <c r="Z35" s="250"/>
      <c r="AA35" s="250"/>
      <c r="AB35" s="5"/>
      <c r="AC35" s="253"/>
      <c r="AD35" s="253"/>
      <c r="AE35" s="268"/>
      <c r="AF35" s="5"/>
      <c r="AG35" s="253"/>
      <c r="AH35" s="253"/>
      <c r="AI35" s="268"/>
      <c r="AJ35" s="5"/>
      <c r="AK35" s="5"/>
      <c r="AL35" s="5"/>
    </row>
    <row r="36" spans="2:38" ht="12.75" customHeight="1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R36" s="24"/>
      <c r="S36" s="24"/>
      <c r="T36" s="5"/>
      <c r="U36" s="5"/>
      <c r="V36" s="250"/>
      <c r="W36" s="250"/>
      <c r="X36" s="250"/>
      <c r="Y36" s="250"/>
      <c r="Z36" s="250"/>
      <c r="AA36" s="250"/>
      <c r="AB36" s="5"/>
      <c r="AC36" s="253"/>
      <c r="AD36" s="253"/>
      <c r="AE36" s="268"/>
      <c r="AF36" s="5"/>
      <c r="AG36" s="253"/>
      <c r="AH36" s="253"/>
      <c r="AI36" s="268"/>
      <c r="AJ36" s="5"/>
      <c r="AK36" s="5"/>
      <c r="AL36" s="5"/>
    </row>
    <row r="37" spans="2:38" ht="12.75" customHeight="1">
      <c r="B37" s="180" t="s">
        <v>119</v>
      </c>
      <c r="C37" s="180"/>
      <c r="D37" s="180"/>
      <c r="E37" s="180"/>
      <c r="F37" s="72"/>
      <c r="G37" s="180" t="s">
        <v>120</v>
      </c>
      <c r="H37" s="180"/>
      <c r="I37" s="180"/>
      <c r="J37" s="180"/>
      <c r="K37" s="72"/>
      <c r="L37" s="72"/>
      <c r="M37" s="72"/>
      <c r="N37" s="72"/>
      <c r="R37" s="24"/>
      <c r="S37" s="24"/>
      <c r="T37" s="5"/>
      <c r="U37" s="5"/>
      <c r="V37" s="250"/>
      <c r="W37" s="250"/>
      <c r="X37" s="250"/>
      <c r="Y37" s="250"/>
      <c r="Z37" s="250"/>
      <c r="AA37" s="250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2:38" ht="12.75" customHeight="1">
      <c r="B38" s="187" t="s">
        <v>121</v>
      </c>
      <c r="C38" s="72"/>
      <c r="D38" s="72"/>
      <c r="E38" s="188">
        <f>SUM(F33:L33)</f>
        <v>22895.333149066213</v>
      </c>
      <c r="F38" s="72"/>
      <c r="G38" s="187" t="s">
        <v>121</v>
      </c>
      <c r="J38" s="219">
        <f>SUM(F33:K33)</f>
        <v>22895.333149066213</v>
      </c>
      <c r="K38" s="72"/>
      <c r="L38" s="72"/>
      <c r="M38" s="72"/>
      <c r="N38" s="72"/>
      <c r="R38" s="24"/>
      <c r="S38" s="24"/>
      <c r="T38" s="5"/>
      <c r="U38" s="5"/>
      <c r="V38" s="254"/>
      <c r="W38" s="254"/>
      <c r="X38" s="254"/>
      <c r="Y38" s="254"/>
      <c r="Z38" s="254"/>
      <c r="AA38" s="254"/>
      <c r="AB38" s="5"/>
      <c r="AC38" s="514"/>
      <c r="AD38" s="524"/>
      <c r="AE38" s="524"/>
      <c r="AF38" s="5"/>
      <c r="AG38" s="5"/>
      <c r="AH38" s="5"/>
      <c r="AI38" s="5"/>
      <c r="AJ38" s="5"/>
      <c r="AK38" s="5"/>
      <c r="AL38" s="5"/>
    </row>
    <row r="39" spans="2:38" ht="12.75" customHeight="1">
      <c r="B39" s="187" t="s">
        <v>122</v>
      </c>
      <c r="C39" s="72"/>
      <c r="D39" s="72"/>
      <c r="E39" s="188">
        <f>'Operating Model'!N31</f>
        <v>10647.644318859102</v>
      </c>
      <c r="F39" s="72"/>
      <c r="G39" s="187" t="s">
        <v>123</v>
      </c>
      <c r="J39" s="219">
        <f>K29*(1+D17)/(D15-D17)</f>
        <v>113337.71705139767</v>
      </c>
      <c r="K39" s="72"/>
      <c r="L39" s="72"/>
      <c r="M39" s="72"/>
      <c r="N39" s="72"/>
      <c r="R39" s="24"/>
      <c r="S39" s="24"/>
      <c r="T39" s="5"/>
      <c r="U39" s="5"/>
      <c r="V39" s="254"/>
      <c r="W39" s="254"/>
      <c r="X39" s="254"/>
      <c r="Y39" s="254"/>
      <c r="Z39" s="254"/>
      <c r="AA39" s="254"/>
      <c r="AB39" s="5"/>
      <c r="AC39" s="5"/>
      <c r="AD39" s="5"/>
      <c r="AE39" s="254"/>
      <c r="AF39" s="5"/>
      <c r="AG39" s="5"/>
      <c r="AH39" s="5"/>
      <c r="AI39" s="5"/>
      <c r="AJ39" s="5"/>
      <c r="AK39" s="5"/>
      <c r="AL39" s="5"/>
    </row>
    <row r="40" spans="2:38" ht="12.75" customHeight="1">
      <c r="B40" s="187" t="s">
        <v>124</v>
      </c>
      <c r="C40" s="72"/>
      <c r="D40" s="72"/>
      <c r="E40" s="191">
        <f>D14</f>
        <v>22.253</v>
      </c>
      <c r="F40" s="72"/>
      <c r="G40" s="193" t="s">
        <v>125</v>
      </c>
      <c r="H40" s="70"/>
      <c r="I40" s="70"/>
      <c r="J40" s="194">
        <f>J39/(1+$D$15)^$K$31</f>
        <v>72422.830687748385</v>
      </c>
      <c r="K40" s="72"/>
      <c r="L40" s="72"/>
      <c r="M40" s="72"/>
      <c r="N40" s="72"/>
      <c r="R40" s="24"/>
      <c r="S40" s="24"/>
      <c r="T40" s="5"/>
      <c r="U40" s="5"/>
      <c r="V40" s="250"/>
      <c r="W40" s="250"/>
      <c r="X40" s="250"/>
      <c r="Y40" s="250"/>
      <c r="Z40" s="250"/>
      <c r="AA40" s="250"/>
      <c r="AB40" s="5"/>
      <c r="AC40" s="5"/>
      <c r="AD40" s="5"/>
      <c r="AE40" s="254"/>
      <c r="AF40" s="5"/>
      <c r="AG40" s="514"/>
      <c r="AH40" s="524"/>
      <c r="AI40" s="524"/>
      <c r="AJ40" s="5"/>
      <c r="AK40" s="5"/>
      <c r="AL40" s="5"/>
    </row>
    <row r="41" spans="2:38" ht="12.75" customHeight="1">
      <c r="B41" s="187" t="s">
        <v>126</v>
      </c>
      <c r="C41" s="72"/>
      <c r="D41" s="72"/>
      <c r="E41" s="188">
        <f>E39*E40</f>
        <v>236942.02902757161</v>
      </c>
      <c r="F41" s="72"/>
      <c r="G41" s="196" t="s">
        <v>127</v>
      </c>
      <c r="J41" s="219">
        <f>J38+J40</f>
        <v>95318.163836814594</v>
      </c>
      <c r="K41" s="72"/>
      <c r="L41" s="72"/>
      <c r="M41" s="72"/>
      <c r="N41" s="72"/>
      <c r="R41" s="24"/>
      <c r="S41" s="24"/>
      <c r="T41" s="5"/>
      <c r="U41" s="5"/>
      <c r="V41" s="250"/>
      <c r="W41" s="250"/>
      <c r="X41" s="250"/>
      <c r="Y41" s="250"/>
      <c r="Z41" s="250"/>
      <c r="AA41" s="250"/>
      <c r="AB41" s="5"/>
      <c r="AC41" s="5"/>
      <c r="AD41" s="5"/>
      <c r="AE41" s="254"/>
      <c r="AF41" s="5"/>
      <c r="AG41" s="5"/>
      <c r="AH41" s="5"/>
      <c r="AI41" s="269"/>
      <c r="AJ41" s="5"/>
      <c r="AK41" s="5"/>
      <c r="AL41" s="5"/>
    </row>
    <row r="42" spans="2:38" ht="12.75" customHeight="1">
      <c r="B42" s="193" t="s">
        <v>125</v>
      </c>
      <c r="C42" s="84"/>
      <c r="D42" s="84"/>
      <c r="E42" s="194">
        <f>E41/(1+$D$15)^$K$31</f>
        <v>151406.01820392645</v>
      </c>
      <c r="F42" s="72"/>
      <c r="G42" s="193" t="s">
        <v>70</v>
      </c>
      <c r="H42" s="70"/>
      <c r="I42" s="70"/>
      <c r="J42" s="225">
        <f>D13</f>
        <v>27518</v>
      </c>
      <c r="K42" s="72"/>
      <c r="L42" s="72"/>
      <c r="M42" s="72"/>
      <c r="N42" s="72"/>
      <c r="R42" s="24"/>
      <c r="S42" s="24"/>
      <c r="T42" s="5"/>
      <c r="U42" s="5"/>
      <c r="V42" s="254"/>
      <c r="W42" s="254"/>
      <c r="X42" s="254"/>
      <c r="Y42" s="254"/>
      <c r="Z42" s="254"/>
      <c r="AA42" s="254"/>
      <c r="AB42" s="5"/>
      <c r="AC42" s="5"/>
      <c r="AD42" s="5"/>
      <c r="AE42" s="254"/>
      <c r="AF42" s="5"/>
      <c r="AG42" s="5"/>
      <c r="AH42" s="5"/>
      <c r="AI42" s="270"/>
      <c r="AJ42" s="5"/>
      <c r="AK42" s="5"/>
      <c r="AL42" s="5"/>
    </row>
    <row r="43" spans="2:38" ht="12.75" customHeight="1">
      <c r="B43" s="196" t="s">
        <v>127</v>
      </c>
      <c r="C43" s="72"/>
      <c r="D43" s="72"/>
      <c r="E43" s="197">
        <f>E38+E42</f>
        <v>174301.35135299267</v>
      </c>
      <c r="F43" s="72"/>
      <c r="G43" s="218" t="s">
        <v>73</v>
      </c>
      <c r="H43" s="23"/>
      <c r="I43" s="23"/>
      <c r="J43" s="221">
        <f>J41-J42</f>
        <v>67800.163836814594</v>
      </c>
      <c r="K43" s="72"/>
      <c r="L43" s="72"/>
      <c r="M43" s="72"/>
      <c r="N43" s="72"/>
      <c r="R43" s="24"/>
      <c r="S43" s="24"/>
      <c r="T43" s="5"/>
      <c r="U43" s="5"/>
      <c r="V43" s="254"/>
      <c r="W43" s="254"/>
      <c r="X43" s="254"/>
      <c r="Y43" s="254"/>
      <c r="Z43" s="254"/>
      <c r="AA43" s="254"/>
      <c r="AB43" s="5"/>
      <c r="AC43" s="5"/>
      <c r="AD43" s="5"/>
      <c r="AE43" s="250"/>
      <c r="AF43" s="5"/>
      <c r="AG43" s="5"/>
      <c r="AH43" s="5"/>
      <c r="AI43" s="5"/>
      <c r="AJ43" s="5"/>
      <c r="AK43" s="5"/>
      <c r="AL43" s="5"/>
    </row>
    <row r="44" spans="2:38" ht="12.75" customHeight="1">
      <c r="B44" s="187" t="s">
        <v>70</v>
      </c>
      <c r="C44" s="72"/>
      <c r="D44" s="72"/>
      <c r="E44" s="188">
        <f>D13</f>
        <v>27518</v>
      </c>
      <c r="F44" s="72"/>
      <c r="G44" s="72" t="s">
        <v>128</v>
      </c>
      <c r="H44" s="72"/>
      <c r="I44" s="72"/>
      <c r="J44" s="222">
        <f>D12</f>
        <v>56.5</v>
      </c>
      <c r="K44" s="72"/>
      <c r="L44" s="72"/>
      <c r="M44" s="72"/>
      <c r="N44" s="72"/>
      <c r="R44" s="24"/>
      <c r="S44" s="24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271"/>
      <c r="AF44" s="5"/>
      <c r="AG44" s="5"/>
      <c r="AH44" s="5"/>
      <c r="AI44" s="5"/>
      <c r="AJ44" s="5"/>
      <c r="AK44" s="5"/>
      <c r="AL44" s="5"/>
    </row>
    <row r="45" spans="2:38" ht="12.75" customHeight="1">
      <c r="B45" s="198" t="s">
        <v>73</v>
      </c>
      <c r="C45" s="199"/>
      <c r="D45" s="199"/>
      <c r="E45" s="200">
        <f>E43-E44</f>
        <v>146783.35135299267</v>
      </c>
      <c r="F45" s="72"/>
      <c r="G45" s="72" t="s">
        <v>129</v>
      </c>
      <c r="H45" s="72"/>
      <c r="I45" s="72"/>
      <c r="J45" s="190">
        <f>J43/J44</f>
        <v>1200.00289976663</v>
      </c>
      <c r="K45" s="72"/>
      <c r="L45" s="72"/>
      <c r="M45" s="72"/>
      <c r="N45" s="72"/>
      <c r="R45" s="24"/>
      <c r="S45" s="24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254"/>
      <c r="AF45" s="5"/>
      <c r="AG45" s="5"/>
      <c r="AH45" s="5"/>
      <c r="AI45" s="5"/>
      <c r="AJ45" s="5"/>
      <c r="AK45" s="5"/>
      <c r="AL45" s="5"/>
    </row>
    <row r="46" spans="2:38" ht="12.75" customHeight="1">
      <c r="B46" s="72" t="s">
        <v>128</v>
      </c>
      <c r="C46" s="72"/>
      <c r="D46" s="72"/>
      <c r="E46" s="189">
        <f>D12</f>
        <v>56.5</v>
      </c>
      <c r="F46" s="72"/>
      <c r="G46" s="84" t="s">
        <v>130</v>
      </c>
      <c r="H46" s="84"/>
      <c r="I46" s="84"/>
      <c r="J46" s="224">
        <f>$D$11</f>
        <v>1167</v>
      </c>
      <c r="K46" s="72"/>
      <c r="L46" s="72"/>
      <c r="M46" s="72"/>
      <c r="N46" s="72"/>
      <c r="R46" s="24"/>
      <c r="S46" s="24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254"/>
      <c r="AF46" s="5"/>
      <c r="AG46" s="5"/>
      <c r="AH46" s="5"/>
      <c r="AI46" s="5"/>
      <c r="AJ46" s="5"/>
      <c r="AK46" s="5"/>
      <c r="AL46" s="5"/>
    </row>
    <row r="47" spans="2:38" ht="12.75" customHeight="1">
      <c r="B47" s="72" t="s">
        <v>129</v>
      </c>
      <c r="C47" s="72"/>
      <c r="D47" s="72"/>
      <c r="E47" s="190">
        <f>E45/E46</f>
        <v>2597.9354221768613</v>
      </c>
      <c r="F47" s="72"/>
      <c r="G47" s="106" t="s">
        <v>131</v>
      </c>
      <c r="H47" s="23"/>
      <c r="I47" s="23"/>
      <c r="J47" s="223">
        <f>J45/J46-1</f>
        <v>2.8280119765749845E-2</v>
      </c>
      <c r="K47" s="72"/>
      <c r="L47" s="72"/>
      <c r="M47" s="72"/>
      <c r="N47" s="72"/>
      <c r="R47" s="24"/>
      <c r="S47" s="24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254"/>
      <c r="AF47" s="5"/>
      <c r="AG47" s="5"/>
      <c r="AH47" s="5"/>
      <c r="AI47" s="5"/>
      <c r="AJ47" s="5"/>
      <c r="AK47" s="5"/>
      <c r="AL47" s="5"/>
    </row>
    <row r="48" spans="2:38" ht="12.75" customHeight="1">
      <c r="B48" s="72" t="s">
        <v>130</v>
      </c>
      <c r="C48" s="72"/>
      <c r="D48" s="72"/>
      <c r="E48" s="190">
        <f>$D$11</f>
        <v>1167</v>
      </c>
      <c r="F48" s="72"/>
      <c r="G48" s="79" t="s">
        <v>132</v>
      </c>
      <c r="H48" s="72"/>
      <c r="I48" s="72"/>
      <c r="J48" s="195">
        <f>((1+J47)^(1/5)-1)</f>
        <v>5.5931073373911566E-3</v>
      </c>
      <c r="K48" s="72"/>
      <c r="L48" s="72"/>
      <c r="M48" s="72"/>
      <c r="N48" s="72"/>
      <c r="R48" s="24"/>
      <c r="S48" s="24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254"/>
      <c r="AF48" s="5"/>
      <c r="AG48" s="5"/>
      <c r="AH48" s="5"/>
      <c r="AI48" s="5"/>
      <c r="AJ48" s="5"/>
      <c r="AK48" s="5"/>
      <c r="AL48" s="5"/>
    </row>
    <row r="49" spans="2:38" ht="12.75" customHeight="1">
      <c r="B49" s="108" t="s">
        <v>131</v>
      </c>
      <c r="C49" s="108"/>
      <c r="D49" s="108"/>
      <c r="E49" s="192">
        <f>E47/E48-1</f>
        <v>1.2261657430821433</v>
      </c>
      <c r="F49" s="72"/>
      <c r="G49" s="72"/>
      <c r="H49" s="72"/>
      <c r="I49" s="72"/>
      <c r="J49" s="72"/>
      <c r="K49" s="72"/>
      <c r="L49" s="72"/>
      <c r="M49" s="72"/>
      <c r="N49" s="72"/>
      <c r="R49" s="24"/>
      <c r="S49" s="24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254"/>
      <c r="AF49" s="5"/>
      <c r="AG49" s="5"/>
      <c r="AH49" s="5"/>
      <c r="AI49" s="5"/>
      <c r="AJ49" s="5"/>
      <c r="AK49" s="5"/>
      <c r="AL49" s="5"/>
    </row>
    <row r="50" spans="2:38" ht="12.75" customHeight="1">
      <c r="B50" s="79" t="s">
        <v>132</v>
      </c>
      <c r="C50" s="72"/>
      <c r="D50" s="72"/>
      <c r="E50" s="195">
        <f>((1+E49)^(1/5)-1)</f>
        <v>0.17357675559336982</v>
      </c>
      <c r="F50" s="72"/>
      <c r="G50" s="72"/>
      <c r="H50" s="72"/>
      <c r="I50" s="72"/>
      <c r="J50" s="72"/>
      <c r="K50" s="72"/>
      <c r="L50" s="72"/>
      <c r="M50" s="72"/>
      <c r="N50" s="72"/>
      <c r="R50" s="24"/>
      <c r="S50" s="24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271"/>
      <c r="AF50" s="5"/>
      <c r="AG50" s="5"/>
      <c r="AH50" s="5"/>
      <c r="AI50" s="5"/>
      <c r="AJ50" s="5"/>
      <c r="AK50" s="5"/>
      <c r="AL50" s="5"/>
    </row>
    <row r="51" spans="2:38" ht="12.75" customHeight="1">
      <c r="B51" s="79"/>
      <c r="C51" s="72"/>
      <c r="D51" s="72"/>
      <c r="E51" s="195"/>
      <c r="F51" s="72"/>
      <c r="G51" s="72"/>
      <c r="H51" s="72"/>
      <c r="I51" s="72"/>
      <c r="J51" s="72"/>
      <c r="K51" s="72"/>
      <c r="L51" s="72"/>
      <c r="M51" s="72"/>
      <c r="N51" s="72"/>
      <c r="R51" s="24"/>
      <c r="S51" s="24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271"/>
      <c r="AF51" s="5"/>
      <c r="AG51" s="5"/>
      <c r="AH51" s="5"/>
      <c r="AI51" s="5"/>
      <c r="AJ51" s="5"/>
      <c r="AK51" s="5"/>
      <c r="AL51" s="5"/>
    </row>
    <row r="52" spans="2:38" ht="12.75" customHeight="1">
      <c r="B52" s="180" t="s">
        <v>91</v>
      </c>
      <c r="C52" s="181"/>
      <c r="D52" s="181"/>
      <c r="E52" s="181"/>
      <c r="F52" s="181"/>
      <c r="G52" s="181"/>
      <c r="H52" s="182"/>
      <c r="I52" s="182"/>
      <c r="J52" s="182"/>
      <c r="K52" s="182"/>
      <c r="L52" s="202"/>
      <c r="M52" s="202"/>
      <c r="N52" s="202"/>
      <c r="O52" s="202"/>
      <c r="P52" s="202"/>
      <c r="R52" s="24"/>
      <c r="S52" s="24"/>
      <c r="T52" s="5"/>
      <c r="U52" s="5"/>
      <c r="V52" s="5"/>
      <c r="W52" s="5"/>
      <c r="X52" s="5"/>
      <c r="Y52" s="5"/>
      <c r="Z52" s="5"/>
      <c r="AA52" s="5"/>
      <c r="AB52" s="5"/>
      <c r="AC52" s="253"/>
      <c r="AD52" s="253"/>
      <c r="AE52" s="267"/>
      <c r="AF52" s="5"/>
      <c r="AG52" s="5"/>
      <c r="AH52" s="5"/>
      <c r="AI52" s="5"/>
      <c r="AJ52" s="5"/>
      <c r="AK52" s="5"/>
      <c r="AL52" s="5"/>
    </row>
    <row r="53" spans="2:38" ht="12.75" customHeight="1">
      <c r="B53" s="201"/>
      <c r="C53" s="79"/>
      <c r="D53" s="79"/>
      <c r="E53" s="79"/>
      <c r="F53" s="79"/>
      <c r="G53" s="79"/>
      <c r="H53" s="202"/>
      <c r="I53" s="202"/>
      <c r="J53" s="202"/>
      <c r="K53" s="202"/>
      <c r="L53" s="202"/>
      <c r="M53" s="202"/>
      <c r="N53" s="202"/>
      <c r="R53" s="24"/>
      <c r="S53" s="24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272"/>
      <c r="AF53" s="5"/>
      <c r="AG53" s="5"/>
      <c r="AH53" s="5"/>
      <c r="AI53" s="5"/>
      <c r="AJ53" s="5"/>
      <c r="AK53" s="5"/>
      <c r="AL53" s="5"/>
    </row>
    <row r="54" spans="2:38" ht="12.75" customHeight="1">
      <c r="B54" s="125"/>
      <c r="C54" s="110"/>
      <c r="D54" s="517" t="s">
        <v>124</v>
      </c>
      <c r="E54" s="517"/>
      <c r="F54" s="517"/>
      <c r="G54" s="517"/>
      <c r="H54" s="517"/>
      <c r="I54" s="72"/>
      <c r="J54" s="207"/>
      <c r="K54" s="110"/>
      <c r="L54" s="517" t="s">
        <v>133</v>
      </c>
      <c r="M54" s="517"/>
      <c r="N54" s="517"/>
      <c r="O54" s="517"/>
      <c r="P54" s="517"/>
      <c r="R54" s="24"/>
      <c r="S54" s="24"/>
      <c r="T54" s="5"/>
      <c r="U54" s="5"/>
      <c r="V54" s="5"/>
      <c r="W54" s="5"/>
      <c r="X54" s="5"/>
      <c r="Y54" s="5"/>
      <c r="Z54" s="5"/>
      <c r="AA54" s="5"/>
      <c r="AB54" s="5"/>
      <c r="AC54" s="253"/>
      <c r="AD54" s="253"/>
      <c r="AE54" s="268"/>
      <c r="AF54" s="5"/>
      <c r="AG54" s="5"/>
      <c r="AH54" s="5"/>
      <c r="AI54" s="5"/>
      <c r="AJ54" s="5"/>
      <c r="AK54" s="5"/>
      <c r="AL54" s="5"/>
    </row>
    <row r="55" spans="2:38" ht="12.75" customHeight="1">
      <c r="B55" s="128"/>
      <c r="C55" s="143">
        <f>E47</f>
        <v>2597.9354221768613</v>
      </c>
      <c r="D55" s="203">
        <f>E55-0.5</f>
        <v>10.199999999999999</v>
      </c>
      <c r="E55" s="203">
        <f>F55-0.5</f>
        <v>10.7</v>
      </c>
      <c r="F55" s="204">
        <v>11.2</v>
      </c>
      <c r="G55" s="203">
        <f>F55+0.5</f>
        <v>11.7</v>
      </c>
      <c r="H55" s="203">
        <f>G55+0.5</f>
        <v>12.2</v>
      </c>
      <c r="I55" s="72"/>
      <c r="J55" s="208"/>
      <c r="K55" s="143">
        <f>E47</f>
        <v>2597.9354221768613</v>
      </c>
      <c r="L55" s="209">
        <f>M55-100</f>
        <v>901</v>
      </c>
      <c r="M55" s="209">
        <f>N55-100</f>
        <v>1001</v>
      </c>
      <c r="N55" s="210">
        <v>1101</v>
      </c>
      <c r="O55" s="209">
        <f>N55+100</f>
        <v>1201</v>
      </c>
      <c r="P55" s="209">
        <f>O55+100</f>
        <v>1301</v>
      </c>
      <c r="R55" s="24"/>
      <c r="S55" s="24"/>
      <c r="T55" s="5"/>
      <c r="U55" s="5"/>
      <c r="V55" s="5"/>
      <c r="W55" s="5"/>
      <c r="X55" s="5"/>
      <c r="Y55" s="5"/>
      <c r="Z55" s="5"/>
      <c r="AA55" s="5"/>
      <c r="AB55" s="5"/>
      <c r="AC55" s="253"/>
      <c r="AD55" s="253"/>
      <c r="AE55" s="273"/>
      <c r="AF55" s="5"/>
      <c r="AG55" s="5"/>
      <c r="AH55" s="5"/>
      <c r="AI55" s="5"/>
      <c r="AJ55" s="5"/>
      <c r="AK55" s="5"/>
      <c r="AL55" s="5"/>
    </row>
    <row r="56" spans="2:38" ht="12.75" customHeight="1">
      <c r="B56" s="518" t="s">
        <v>134</v>
      </c>
      <c r="C56" s="205">
        <f>C57-0.005</f>
        <v>5.8739999999999994E-2</v>
      </c>
      <c r="D56" s="226">
        <f t="dataTable" ref="D56:H60" dt2D="1" dtr="1" r1="D14" r2="D15"/>
        <v>1355.3416816822967</v>
      </c>
      <c r="E56" s="227">
        <v>1424.1805661930177</v>
      </c>
      <c r="F56" s="227">
        <v>1493.0194507037393</v>
      </c>
      <c r="G56" s="227">
        <v>1561.8583352144615</v>
      </c>
      <c r="H56" s="227">
        <v>1630.6972197251832</v>
      </c>
      <c r="I56" s="72"/>
      <c r="J56" s="516" t="s">
        <v>134</v>
      </c>
      <c r="K56" s="205">
        <f>K57-0.005</f>
        <v>5.8739999999999994E-2</v>
      </c>
      <c r="L56" s="226">
        <f t="dataTable" ref="L56:P60" dt2D="1" dtr="1" r1="K29" r2="D15" ca="1"/>
        <v>2937.0814057410739</v>
      </c>
      <c r="M56" s="227">
        <v>2938.3744407533122</v>
      </c>
      <c r="N56" s="227">
        <v>2939.6674757655505</v>
      </c>
      <c r="O56" s="227">
        <v>2940.9605107777884</v>
      </c>
      <c r="P56" s="227">
        <v>2942.2535457900271</v>
      </c>
      <c r="R56" s="24"/>
      <c r="S56" s="24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2:38" ht="12.75" customHeight="1">
      <c r="B57" s="518"/>
      <c r="C57" s="205">
        <f>C58-0.005</f>
        <v>6.3739999999999991E-2</v>
      </c>
      <c r="D57" s="227">
        <v>1312.8034254822139</v>
      </c>
      <c r="E57" s="228">
        <v>1379.8813929505943</v>
      </c>
      <c r="F57" s="226">
        <v>1446.9593604189749</v>
      </c>
      <c r="G57" s="229">
        <v>1514.0373278873553</v>
      </c>
      <c r="H57" s="227">
        <v>1581.115295355736</v>
      </c>
      <c r="I57" s="72"/>
      <c r="J57" s="516"/>
      <c r="K57" s="205">
        <f>K58-0.005</f>
        <v>6.3739999999999991E-2</v>
      </c>
      <c r="L57" s="227">
        <v>2854.0818251537662</v>
      </c>
      <c r="M57" s="236">
        <v>2855.3417839852154</v>
      </c>
      <c r="N57" s="237">
        <v>2856.6017428166647</v>
      </c>
      <c r="O57" s="238">
        <v>2857.8617016481135</v>
      </c>
      <c r="P57" s="227">
        <v>2859.1216604795627</v>
      </c>
      <c r="R57" s="24"/>
      <c r="S57" s="24"/>
      <c r="T57" s="5"/>
      <c r="U57" s="514"/>
      <c r="V57" s="524"/>
      <c r="W57" s="524"/>
      <c r="X57" s="524"/>
      <c r="Y57" s="524"/>
      <c r="Z57" s="524"/>
      <c r="AA57" s="524"/>
      <c r="AB57" s="524"/>
      <c r="AC57" s="524"/>
      <c r="AD57" s="524"/>
      <c r="AE57" s="524"/>
      <c r="AF57" s="524"/>
      <c r="AG57" s="524"/>
      <c r="AH57" s="524"/>
      <c r="AI57" s="524"/>
      <c r="AJ57" s="524"/>
      <c r="AK57" s="5"/>
      <c r="AL57" s="5"/>
    </row>
    <row r="58" spans="2:38" ht="12.75" customHeight="1">
      <c r="B58" s="518"/>
      <c r="C58" s="206">
        <v>6.8739999999999996E-2</v>
      </c>
      <c r="D58" s="227">
        <v>1271.5037069843795</v>
      </c>
      <c r="E58" s="230">
        <v>1336.873745217169</v>
      </c>
      <c r="F58" s="231">
        <v>1402.2437834499585</v>
      </c>
      <c r="G58" s="232">
        <v>1467.613821682748</v>
      </c>
      <c r="H58" s="227">
        <v>1532.9838599155378</v>
      </c>
      <c r="I58" s="72"/>
      <c r="J58" s="516"/>
      <c r="K58" s="206">
        <v>6.8739999999999996E-2</v>
      </c>
      <c r="L58" s="227">
        <v>2773.5383051763351</v>
      </c>
      <c r="M58" s="239">
        <v>2774.7661831233286</v>
      </c>
      <c r="N58" s="231">
        <v>2775.9940610703225</v>
      </c>
      <c r="O58" s="240">
        <v>2777.2219390173159</v>
      </c>
      <c r="P58" s="227">
        <v>2778.4498169643093</v>
      </c>
      <c r="R58" s="24"/>
      <c r="S58" s="24"/>
      <c r="T58" s="5"/>
      <c r="U58" s="248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2:38" ht="12.75" customHeight="1">
      <c r="B59" s="518"/>
      <c r="C59" s="205">
        <f>C58+0.005</f>
        <v>7.374E-2</v>
      </c>
      <c r="D59" s="227">
        <v>1231.4004500746466</v>
      </c>
      <c r="E59" s="233">
        <v>1295.1137156120512</v>
      </c>
      <c r="F59" s="234">
        <v>1358.8269811494556</v>
      </c>
      <c r="G59" s="235">
        <v>1422.5402466868607</v>
      </c>
      <c r="H59" s="227">
        <v>1486.2535122242648</v>
      </c>
      <c r="I59" s="72"/>
      <c r="J59" s="516"/>
      <c r="K59" s="205">
        <f>K58+0.005</f>
        <v>7.374E-2</v>
      </c>
      <c r="L59" s="227">
        <v>2695.3666919204434</v>
      </c>
      <c r="M59" s="241">
        <v>2696.5634498817235</v>
      </c>
      <c r="N59" s="242">
        <v>2697.7602078430045</v>
      </c>
      <c r="O59" s="243">
        <v>2698.9569658042856</v>
      </c>
      <c r="P59" s="227">
        <v>2700.1537237655666</v>
      </c>
      <c r="R59" s="24"/>
      <c r="S59" s="24"/>
      <c r="T59" s="5"/>
      <c r="U59" s="248"/>
      <c r="V59" s="5"/>
      <c r="W59" s="5"/>
      <c r="X59" s="5"/>
      <c r="Y59" s="5"/>
      <c r="Z59" s="5"/>
      <c r="AA59" s="514"/>
      <c r="AB59" s="524"/>
      <c r="AC59" s="524"/>
      <c r="AD59" s="524"/>
      <c r="AE59" s="5"/>
      <c r="AF59" s="5"/>
      <c r="AG59" s="5"/>
      <c r="AH59" s="5"/>
      <c r="AI59" s="5"/>
      <c r="AJ59" s="5"/>
      <c r="AK59" s="5"/>
      <c r="AL59" s="5"/>
    </row>
    <row r="60" spans="2:38" ht="12.75" customHeight="1">
      <c r="B60" s="518"/>
      <c r="C60" s="205">
        <f>C59+0.005</f>
        <v>7.8740000000000004E-2</v>
      </c>
      <c r="D60" s="227">
        <v>1192.4532017809347</v>
      </c>
      <c r="E60" s="227">
        <v>1254.5590912944072</v>
      </c>
      <c r="F60" s="227">
        <v>1316.6649808078794</v>
      </c>
      <c r="G60" s="227">
        <v>1378.770870321352</v>
      </c>
      <c r="H60" s="227">
        <v>1440.8767598348243</v>
      </c>
      <c r="I60" s="72"/>
      <c r="J60" s="516"/>
      <c r="K60" s="205">
        <f>K59+0.005</f>
        <v>7.8740000000000004E-2</v>
      </c>
      <c r="L60" s="227">
        <v>2619.4860951765936</v>
      </c>
      <c r="M60" s="227">
        <v>2620.6526609944144</v>
      </c>
      <c r="N60" s="227">
        <v>2621.8192268122348</v>
      </c>
      <c r="O60" s="227">
        <v>2622.985792630056</v>
      </c>
      <c r="P60" s="227">
        <v>2624.1523584478764</v>
      </c>
      <c r="R60" s="24"/>
      <c r="S60" s="24"/>
      <c r="T60" s="5"/>
      <c r="U60" s="248"/>
      <c r="V60" s="5"/>
      <c r="W60" s="5"/>
      <c r="X60" s="5"/>
      <c r="Y60" s="5"/>
      <c r="Z60" s="5"/>
      <c r="AA60" s="5"/>
      <c r="AB60" s="5"/>
      <c r="AC60" s="5"/>
      <c r="AD60" s="274"/>
      <c r="AE60" s="5"/>
      <c r="AF60" s="5"/>
      <c r="AG60" s="5"/>
      <c r="AH60" s="5"/>
      <c r="AI60" s="5"/>
      <c r="AJ60" s="5"/>
      <c r="AK60" s="5"/>
      <c r="AL60" s="5"/>
    </row>
    <row r="61" spans="2:38" ht="12.75" customHeight="1">
      <c r="R61" s="24"/>
      <c r="S61" s="24"/>
      <c r="T61" s="5"/>
      <c r="U61" s="248"/>
      <c r="V61" s="5"/>
      <c r="W61" s="5"/>
      <c r="X61" s="5"/>
      <c r="Y61" s="5"/>
      <c r="Z61" s="5"/>
      <c r="AA61" s="5"/>
      <c r="AB61" s="5"/>
      <c r="AC61" s="5"/>
      <c r="AD61" s="274"/>
      <c r="AE61" s="5"/>
      <c r="AF61" s="5"/>
      <c r="AG61" s="5"/>
      <c r="AH61" s="5"/>
      <c r="AI61" s="5"/>
      <c r="AJ61" s="5"/>
      <c r="AK61" s="5"/>
      <c r="AL61" s="5"/>
    </row>
    <row r="62" spans="2:38" ht="12.75" customHeight="1">
      <c r="B62" s="125"/>
      <c r="C62" s="110"/>
      <c r="D62" s="517" t="s">
        <v>135</v>
      </c>
      <c r="E62" s="517"/>
      <c r="F62" s="517"/>
      <c r="G62" s="517"/>
      <c r="H62" s="517"/>
      <c r="J62" s="207"/>
      <c r="K62" s="110"/>
      <c r="L62" s="517" t="s">
        <v>133</v>
      </c>
      <c r="M62" s="517"/>
      <c r="N62" s="517"/>
      <c r="O62" s="517"/>
      <c r="P62" s="517"/>
      <c r="Q62" s="24"/>
      <c r="R62" s="24"/>
      <c r="S62" s="24"/>
      <c r="T62" s="5"/>
      <c r="U62" s="248"/>
      <c r="V62" s="5"/>
      <c r="W62" s="5"/>
      <c r="X62" s="5"/>
      <c r="Y62" s="5"/>
      <c r="Z62" s="5"/>
      <c r="AA62" s="5"/>
      <c r="AB62" s="5"/>
      <c r="AC62" s="5"/>
      <c r="AD62" s="249"/>
      <c r="AE62" s="5"/>
      <c r="AF62" s="5"/>
      <c r="AG62" s="5"/>
      <c r="AH62" s="5"/>
      <c r="AI62" s="5"/>
      <c r="AJ62" s="5"/>
      <c r="AK62" s="5"/>
      <c r="AL62" s="5"/>
    </row>
    <row r="63" spans="2:38" ht="12.75" customHeight="1">
      <c r="B63" s="128"/>
      <c r="C63" s="143">
        <f>J45</f>
        <v>1200.00289976663</v>
      </c>
      <c r="D63" s="245">
        <f>E63-0.0025</f>
        <v>1.7500000000000002E-2</v>
      </c>
      <c r="E63" s="245">
        <f>F63-0.0025</f>
        <v>0.02</v>
      </c>
      <c r="F63" s="244">
        <v>2.2499999999999999E-2</v>
      </c>
      <c r="G63" s="245">
        <f>F63+0.0025</f>
        <v>2.4999999999999998E-2</v>
      </c>
      <c r="H63" s="245">
        <f>G63+0.0025</f>
        <v>2.7499999999999997E-2</v>
      </c>
      <c r="J63" s="208"/>
      <c r="K63" s="143">
        <f>J45</f>
        <v>1200.00289976663</v>
      </c>
      <c r="L63" s="209">
        <f>M63-100</f>
        <v>901</v>
      </c>
      <c r="M63" s="209">
        <f>N63-100</f>
        <v>1001</v>
      </c>
      <c r="N63" s="210">
        <v>1101</v>
      </c>
      <c r="O63" s="209">
        <f>N63+100</f>
        <v>1201</v>
      </c>
      <c r="P63" s="209">
        <f>O63+100</f>
        <v>1301</v>
      </c>
      <c r="Q63" s="24"/>
      <c r="R63" s="24"/>
      <c r="S63" s="24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2:38" ht="12.75" customHeight="1">
      <c r="B64" s="518" t="s">
        <v>134</v>
      </c>
      <c r="C64" s="205">
        <f>C65-0.005</f>
        <v>5.8739999999999994E-2</v>
      </c>
      <c r="D64" s="226">
        <f t="dataTable" ref="D64:H68" dt2D="1" dtr="1" r1="D17" r2="D15" ca="1"/>
        <v>2155.2993679919373</v>
      </c>
      <c r="E64" s="227">
        <v>2303.3125069791149</v>
      </c>
      <c r="F64" s="227">
        <v>2471.7468847890277</v>
      </c>
      <c r="G64" s="227">
        <v>2665.1418995002309</v>
      </c>
      <c r="H64" s="227">
        <v>2889.4900215595776</v>
      </c>
      <c r="J64" s="516" t="s">
        <v>134</v>
      </c>
      <c r="K64" s="205">
        <f>K65-0.005</f>
        <v>5.8739999999999994E-2</v>
      </c>
      <c r="L64" s="226">
        <f t="dataTable" ref="L64:P68" dt2D="1" dtr="1" r1="K29" r2="D15" ca="1"/>
        <v>202.04595826104833</v>
      </c>
      <c r="M64" s="227">
        <v>239.82156225820913</v>
      </c>
      <c r="N64" s="227">
        <v>277.59716625536987</v>
      </c>
      <c r="O64" s="227">
        <v>315.3727702525307</v>
      </c>
      <c r="P64" s="227">
        <v>353.14837424969147</v>
      </c>
      <c r="Q64" s="24"/>
      <c r="R64" s="24"/>
      <c r="S64" s="24"/>
      <c r="T64" s="5"/>
      <c r="U64" s="5"/>
      <c r="V64" s="5"/>
      <c r="W64" s="515"/>
      <c r="X64" s="525"/>
      <c r="Y64" s="525"/>
      <c r="Z64" s="525"/>
      <c r="AA64" s="525"/>
      <c r="AB64" s="525"/>
      <c r="AC64" s="525"/>
      <c r="AD64" s="525"/>
      <c r="AE64" s="525"/>
      <c r="AF64" s="525"/>
      <c r="AG64" s="525"/>
      <c r="AH64" s="5"/>
      <c r="AI64" s="5"/>
      <c r="AJ64" s="5"/>
      <c r="AK64" s="5"/>
      <c r="AL64" s="5"/>
    </row>
    <row r="65" spans="2:38" ht="12.75" customHeight="1">
      <c r="B65" s="518"/>
      <c r="C65" s="205">
        <f>C66-0.005</f>
        <v>6.3739999999999991E-2</v>
      </c>
      <c r="D65" s="227">
        <v>1860.0439698680839</v>
      </c>
      <c r="E65" s="228">
        <v>1974.5093558953711</v>
      </c>
      <c r="F65" s="226">
        <v>2102.8526985215053</v>
      </c>
      <c r="G65" s="229">
        <v>2247.760747217093</v>
      </c>
      <c r="H65" s="227">
        <v>2412.6616282382324</v>
      </c>
      <c r="J65" s="516"/>
      <c r="K65" s="205">
        <f>K66-0.005</f>
        <v>6.3739999999999991E-2</v>
      </c>
      <c r="L65" s="227">
        <v>150.17571735962483</v>
      </c>
      <c r="M65" s="236">
        <v>182.67495614152935</v>
      </c>
      <c r="N65" s="237">
        <v>215.17419492343387</v>
      </c>
      <c r="O65" s="238">
        <v>247.67343370533825</v>
      </c>
      <c r="P65" s="227">
        <v>280.17267248724266</v>
      </c>
      <c r="Q65" s="24"/>
      <c r="R65" s="24"/>
      <c r="S65" s="24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2:38" ht="12.75" customHeight="1">
      <c r="B66" s="518"/>
      <c r="C66" s="206">
        <v>6.8739999999999996E-2</v>
      </c>
      <c r="D66" s="227">
        <v>1622.6426986144472</v>
      </c>
      <c r="E66" s="230">
        <v>1713.406265260377</v>
      </c>
      <c r="F66" s="231">
        <v>1813.9842314138687</v>
      </c>
      <c r="G66" s="232">
        <v>1926.0594502140787</v>
      </c>
      <c r="H66" s="227">
        <v>2051.7228381219775</v>
      </c>
      <c r="J66" s="516"/>
      <c r="K66" s="206">
        <v>6.8739999999999996E-2</v>
      </c>
      <c r="L66" s="227">
        <v>108.81826462621019</v>
      </c>
      <c r="M66" s="239">
        <v>137.19807165626753</v>
      </c>
      <c r="N66" s="231">
        <v>165.57787868632488</v>
      </c>
      <c r="O66" s="240">
        <v>193.95768571638223</v>
      </c>
      <c r="P66" s="227">
        <v>222.33749274643955</v>
      </c>
      <c r="Q66" s="24"/>
      <c r="R66" s="24"/>
      <c r="S66" s="24"/>
      <c r="T66" s="5"/>
      <c r="U66" s="5"/>
      <c r="V66" s="263"/>
      <c r="W66" s="257"/>
      <c r="X66" s="257"/>
      <c r="Y66" s="257"/>
      <c r="Z66" s="257"/>
      <c r="AA66" s="257"/>
      <c r="AB66" s="255"/>
      <c r="AC66" s="257"/>
      <c r="AD66" s="257"/>
      <c r="AE66" s="257"/>
      <c r="AF66" s="257"/>
      <c r="AG66" s="257"/>
      <c r="AH66" s="5"/>
      <c r="AI66" s="5"/>
      <c r="AJ66" s="5"/>
      <c r="AK66" s="5"/>
      <c r="AL66" s="5"/>
    </row>
    <row r="67" spans="2:38" ht="12.75" customHeight="1">
      <c r="B67" s="518"/>
      <c r="C67" s="205">
        <f>C66+0.005</f>
        <v>7.374E-2</v>
      </c>
      <c r="D67" s="227">
        <v>1427.6593573389121</v>
      </c>
      <c r="E67" s="233">
        <v>1501.1008371796886</v>
      </c>
      <c r="F67" s="234">
        <v>1581.7087377699554</v>
      </c>
      <c r="G67" s="235">
        <v>1670.585811584501</v>
      </c>
      <c r="H67" s="227">
        <v>1769.0732956298584</v>
      </c>
      <c r="J67" s="516"/>
      <c r="K67" s="205">
        <f>K66+0.005</f>
        <v>7.374E-2</v>
      </c>
      <c r="L67" s="227">
        <v>74.915875554412779</v>
      </c>
      <c r="M67" s="241">
        <v>99.99407409745811</v>
      </c>
      <c r="N67" s="242">
        <v>125.07227264050357</v>
      </c>
      <c r="O67" s="243">
        <v>150.15047118354903</v>
      </c>
      <c r="P67" s="227">
        <v>175.22866972659449</v>
      </c>
      <c r="Q67" s="24"/>
      <c r="R67" s="24"/>
      <c r="S67" s="24"/>
      <c r="T67" s="5"/>
      <c r="U67" s="5"/>
      <c r="V67" s="257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5"/>
      <c r="AI67" s="5"/>
      <c r="AJ67" s="5"/>
      <c r="AK67" s="5"/>
      <c r="AL67" s="5"/>
    </row>
    <row r="68" spans="2:38" ht="12.75" customHeight="1">
      <c r="B68" s="518"/>
      <c r="C68" s="205">
        <f>C67+0.005</f>
        <v>7.8740000000000004E-2</v>
      </c>
      <c r="D68" s="227">
        <v>1264.6991283102482</v>
      </c>
      <c r="E68" s="227">
        <v>1325.1267972683183</v>
      </c>
      <c r="F68" s="227">
        <v>1390.9267696543818</v>
      </c>
      <c r="G68" s="227">
        <v>1462.8488086934101</v>
      </c>
      <c r="H68" s="227">
        <v>1541.7890014247716</v>
      </c>
      <c r="J68" s="516"/>
      <c r="K68" s="205">
        <f>K67+0.005</f>
        <v>7.8740000000000004E-2</v>
      </c>
      <c r="L68" s="227">
        <v>46.497572684565384</v>
      </c>
      <c r="M68" s="227">
        <v>68.873483252061263</v>
      </c>
      <c r="N68" s="227">
        <v>91.249393819557142</v>
      </c>
      <c r="O68" s="227">
        <v>113.62530438705315</v>
      </c>
      <c r="P68" s="227">
        <v>136.00121495454903</v>
      </c>
      <c r="Q68" s="24"/>
      <c r="R68" s="24"/>
      <c r="S68" s="24"/>
      <c r="T68" s="5"/>
      <c r="U68" s="5"/>
      <c r="V68" s="257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5"/>
      <c r="AI68" s="5"/>
      <c r="AJ68" s="5"/>
      <c r="AK68" s="5"/>
      <c r="AL68" s="5"/>
    </row>
    <row r="69" spans="2:38" ht="12.75" customHeight="1">
      <c r="J69" s="24"/>
      <c r="K69" s="24"/>
      <c r="L69" s="24"/>
      <c r="R69" s="24"/>
      <c r="S69" s="24"/>
      <c r="T69" s="5"/>
      <c r="U69" s="5"/>
      <c r="V69" s="257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5"/>
      <c r="AI69" s="5"/>
      <c r="AJ69" s="5"/>
      <c r="AK69" s="5"/>
      <c r="AL69" s="5"/>
    </row>
    <row r="70" spans="2:38" ht="12.75" customHeight="1">
      <c r="R70" s="24"/>
      <c r="S70" s="24"/>
      <c r="T70" s="5"/>
      <c r="U70" s="5"/>
      <c r="V70" s="257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5"/>
      <c r="AI70" s="5"/>
      <c r="AJ70" s="256"/>
      <c r="AK70" s="5"/>
      <c r="AL70" s="5"/>
    </row>
    <row r="71" spans="2:38" ht="12.75" customHeight="1">
      <c r="R71" s="24"/>
      <c r="S71" s="24"/>
      <c r="T71" s="5"/>
      <c r="U71" s="5"/>
      <c r="V71" s="257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5"/>
      <c r="AI71" s="5"/>
      <c r="AJ71" s="5"/>
      <c r="AK71" s="5"/>
      <c r="AL71" s="5"/>
    </row>
    <row r="72" spans="2:38" ht="12.75" customHeight="1">
      <c r="R72" s="24"/>
      <c r="S72" s="24"/>
      <c r="T72" s="5"/>
      <c r="U72" s="275"/>
      <c r="V72" s="257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5"/>
      <c r="AI72" s="5"/>
      <c r="AJ72" s="256"/>
      <c r="AK72" s="5"/>
      <c r="AL72" s="5"/>
    </row>
    <row r="73" spans="2:38" ht="12.75" customHeight="1">
      <c r="R73" s="24"/>
      <c r="S73" s="24"/>
      <c r="T73" s="5"/>
      <c r="U73" s="5"/>
      <c r="V73" s="257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5"/>
      <c r="AI73" s="5"/>
      <c r="AJ73" s="5"/>
      <c r="AK73" s="5"/>
      <c r="AL73" s="5"/>
    </row>
    <row r="74" spans="2:38" ht="12.75" customHeight="1">
      <c r="R74" s="24"/>
      <c r="S74" s="24"/>
      <c r="T74" s="5"/>
      <c r="U74" s="5"/>
      <c r="V74" s="255"/>
      <c r="W74" s="256"/>
      <c r="X74" s="256"/>
      <c r="Y74" s="256"/>
      <c r="Z74" s="256"/>
      <c r="AA74" s="256"/>
      <c r="AB74" s="267"/>
      <c r="AC74" s="256"/>
      <c r="AD74" s="256"/>
      <c r="AE74" s="256"/>
      <c r="AF74" s="256"/>
      <c r="AG74" s="256"/>
      <c r="AH74" s="5"/>
      <c r="AI74" s="5"/>
      <c r="AJ74" s="256"/>
      <c r="AK74" s="5"/>
      <c r="AL74" s="5"/>
    </row>
    <row r="75" spans="2:38" ht="12.75" customHeight="1">
      <c r="R75" s="24"/>
      <c r="S75" s="24"/>
      <c r="T75" s="5"/>
      <c r="U75" s="5"/>
      <c r="V75" s="257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5"/>
      <c r="AI75" s="5"/>
      <c r="AJ75" s="5"/>
      <c r="AK75" s="5"/>
      <c r="AL75" s="5"/>
    </row>
    <row r="76" spans="2:38" ht="12.75" customHeight="1">
      <c r="R76" s="24"/>
      <c r="S76" s="24"/>
      <c r="T76" s="5"/>
      <c r="U76" s="5"/>
      <c r="V76" s="257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5"/>
      <c r="AI76" s="5"/>
      <c r="AJ76" s="5"/>
      <c r="AK76" s="5"/>
      <c r="AL76" s="5"/>
    </row>
    <row r="77" spans="2:38" ht="12.75" customHeight="1">
      <c r="R77" s="24"/>
      <c r="S77" s="24"/>
      <c r="T77" s="5"/>
      <c r="U77" s="5"/>
      <c r="V77" s="257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5"/>
      <c r="AI77" s="5"/>
      <c r="AJ77" s="5"/>
      <c r="AK77" s="5"/>
      <c r="AL77" s="5"/>
    </row>
    <row r="78" spans="2:38" ht="12.75" customHeight="1">
      <c r="R78" s="24"/>
      <c r="S78" s="24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spans="2:38" ht="12.75" customHeight="1">
      <c r="R79" s="24"/>
      <c r="S79" s="24"/>
      <c r="T79" s="5"/>
      <c r="U79" s="5"/>
      <c r="V79" s="5"/>
      <c r="W79" s="515"/>
      <c r="X79" s="525"/>
      <c r="Y79" s="525"/>
      <c r="Z79" s="525"/>
      <c r="AA79" s="525"/>
      <c r="AB79" s="525"/>
      <c r="AC79" s="525"/>
      <c r="AD79" s="525"/>
      <c r="AE79" s="525"/>
      <c r="AF79" s="525"/>
      <c r="AG79" s="525"/>
      <c r="AH79" s="5"/>
      <c r="AI79" s="5"/>
      <c r="AJ79" s="5"/>
      <c r="AK79" s="5"/>
      <c r="AL79" s="5"/>
    </row>
    <row r="80" spans="2:38" ht="12.75" customHeight="1">
      <c r="R80" s="24"/>
      <c r="S80" s="24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8:38" ht="12.75" customHeight="1">
      <c r="R81" s="24"/>
      <c r="S81" s="24"/>
      <c r="T81" s="5"/>
      <c r="U81" s="5"/>
      <c r="V81" s="263"/>
      <c r="W81" s="276"/>
      <c r="X81" s="276"/>
      <c r="Y81" s="276"/>
      <c r="Z81" s="276"/>
      <c r="AA81" s="276"/>
      <c r="AB81" s="277"/>
      <c r="AC81" s="276"/>
      <c r="AD81" s="276"/>
      <c r="AE81" s="276"/>
      <c r="AF81" s="276"/>
      <c r="AG81" s="276"/>
      <c r="AH81" s="5"/>
      <c r="AI81" s="5"/>
      <c r="AJ81" s="5"/>
      <c r="AK81" s="5"/>
      <c r="AL81" s="5"/>
    </row>
    <row r="82" spans="18:38" ht="12.75" customHeight="1">
      <c r="R82" s="24"/>
      <c r="S82" s="24"/>
      <c r="T82" s="5"/>
      <c r="U82" s="5"/>
      <c r="V82" s="257"/>
      <c r="W82" s="256"/>
      <c r="X82" s="256"/>
      <c r="Y82" s="256"/>
      <c r="Z82" s="256"/>
      <c r="AA82" s="256"/>
      <c r="AB82" s="256"/>
      <c r="AC82" s="256"/>
      <c r="AD82" s="256"/>
      <c r="AE82" s="256"/>
      <c r="AF82" s="256"/>
      <c r="AG82" s="256"/>
      <c r="AH82" s="5"/>
      <c r="AI82" s="5"/>
      <c r="AJ82" s="5"/>
      <c r="AK82" s="5"/>
      <c r="AL82" s="5"/>
    </row>
    <row r="83" spans="18:38" ht="12.75" customHeight="1">
      <c r="R83" s="24"/>
      <c r="S83" s="24"/>
      <c r="T83" s="5"/>
      <c r="U83" s="5"/>
      <c r="V83" s="257"/>
      <c r="W83" s="256"/>
      <c r="X83" s="256"/>
      <c r="Y83" s="256"/>
      <c r="Z83" s="256"/>
      <c r="AA83" s="256"/>
      <c r="AB83" s="256"/>
      <c r="AC83" s="256"/>
      <c r="AD83" s="256"/>
      <c r="AE83" s="256"/>
      <c r="AF83" s="256"/>
      <c r="AG83" s="256"/>
      <c r="AH83" s="5"/>
      <c r="AI83" s="5"/>
      <c r="AJ83" s="5"/>
      <c r="AK83" s="5"/>
      <c r="AL83" s="5"/>
    </row>
    <row r="84" spans="18:38" ht="12.75" customHeight="1">
      <c r="R84" s="24"/>
      <c r="S84" s="24"/>
      <c r="T84" s="5"/>
      <c r="U84" s="5"/>
      <c r="V84" s="257"/>
      <c r="W84" s="256"/>
      <c r="X84" s="256"/>
      <c r="Y84" s="256"/>
      <c r="Z84" s="256"/>
      <c r="AA84" s="256"/>
      <c r="AB84" s="256"/>
      <c r="AC84" s="256"/>
      <c r="AD84" s="256"/>
      <c r="AE84" s="256"/>
      <c r="AF84" s="256"/>
      <c r="AG84" s="256"/>
      <c r="AH84" s="5"/>
      <c r="AI84" s="5"/>
      <c r="AJ84" s="5"/>
      <c r="AK84" s="5"/>
      <c r="AL84" s="5"/>
    </row>
    <row r="85" spans="18:38" ht="12.75" customHeight="1">
      <c r="R85" s="24"/>
      <c r="S85" s="24"/>
      <c r="T85" s="5"/>
      <c r="U85" s="5"/>
      <c r="V85" s="257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5"/>
      <c r="AI85" s="5"/>
      <c r="AJ85" s="256"/>
      <c r="AK85" s="5"/>
      <c r="AL85" s="5"/>
    </row>
    <row r="86" spans="18:38" ht="12.75" customHeight="1">
      <c r="R86" s="24"/>
      <c r="S86" s="24"/>
      <c r="T86" s="5"/>
      <c r="U86" s="5"/>
      <c r="V86" s="257"/>
      <c r="W86" s="256"/>
      <c r="X86" s="256"/>
      <c r="Y86" s="256"/>
      <c r="Z86" s="256"/>
      <c r="AA86" s="256"/>
      <c r="AB86" s="256"/>
      <c r="AC86" s="256"/>
      <c r="AD86" s="256"/>
      <c r="AE86" s="256"/>
      <c r="AF86" s="256"/>
      <c r="AG86" s="256"/>
      <c r="AH86" s="5"/>
      <c r="AI86" s="5"/>
      <c r="AJ86" s="5"/>
      <c r="AK86" s="5"/>
      <c r="AL86" s="5"/>
    </row>
    <row r="87" spans="18:38" ht="12.75" customHeight="1">
      <c r="R87" s="24"/>
      <c r="S87" s="24"/>
      <c r="T87" s="5"/>
      <c r="U87" s="275"/>
      <c r="V87" s="257"/>
      <c r="W87" s="256"/>
      <c r="X87" s="256"/>
      <c r="Y87" s="256"/>
      <c r="Z87" s="256"/>
      <c r="AA87" s="256"/>
      <c r="AB87" s="256"/>
      <c r="AC87" s="256"/>
      <c r="AD87" s="256"/>
      <c r="AE87" s="256"/>
      <c r="AF87" s="256"/>
      <c r="AG87" s="256"/>
      <c r="AH87" s="5"/>
      <c r="AI87" s="5"/>
      <c r="AJ87" s="256"/>
      <c r="AK87" s="5"/>
      <c r="AL87" s="5"/>
    </row>
    <row r="88" spans="18:38" ht="12.75" customHeight="1">
      <c r="R88" s="24"/>
      <c r="S88" s="24"/>
      <c r="T88" s="5"/>
      <c r="U88" s="5"/>
      <c r="V88" s="257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5"/>
      <c r="AI88" s="5"/>
      <c r="AJ88" s="5"/>
      <c r="AK88" s="5"/>
      <c r="AL88" s="5"/>
    </row>
    <row r="89" spans="18:38" ht="12.75" customHeight="1">
      <c r="R89" s="24"/>
      <c r="S89" s="24"/>
      <c r="T89" s="5"/>
      <c r="U89" s="5"/>
      <c r="V89" s="255"/>
      <c r="W89" s="256"/>
      <c r="X89" s="256"/>
      <c r="Y89" s="256"/>
      <c r="Z89" s="256"/>
      <c r="AA89" s="256"/>
      <c r="AB89" s="267"/>
      <c r="AC89" s="256"/>
      <c r="AD89" s="256"/>
      <c r="AE89" s="256"/>
      <c r="AF89" s="256"/>
      <c r="AG89" s="256"/>
      <c r="AH89" s="5"/>
      <c r="AI89" s="5"/>
      <c r="AJ89" s="256"/>
      <c r="AK89" s="5"/>
      <c r="AL89" s="5"/>
    </row>
    <row r="90" spans="18:38" ht="12.75" customHeight="1">
      <c r="R90" s="24"/>
      <c r="S90" s="24"/>
      <c r="T90" s="5"/>
      <c r="U90" s="5"/>
      <c r="V90" s="257"/>
      <c r="W90" s="256"/>
      <c r="X90" s="256"/>
      <c r="Y90" s="256"/>
      <c r="Z90" s="256"/>
      <c r="AA90" s="256"/>
      <c r="AB90" s="256"/>
      <c r="AC90" s="256"/>
      <c r="AD90" s="256"/>
      <c r="AE90" s="256"/>
      <c r="AF90" s="256"/>
      <c r="AG90" s="256"/>
      <c r="AH90" s="5"/>
      <c r="AI90" s="5"/>
      <c r="AJ90" s="5"/>
      <c r="AK90" s="5"/>
      <c r="AL90" s="5"/>
    </row>
    <row r="91" spans="18:38" ht="12.75" customHeight="1">
      <c r="R91" s="24"/>
      <c r="S91" s="24"/>
      <c r="T91" s="5"/>
      <c r="U91" s="5"/>
      <c r="V91" s="257"/>
      <c r="W91" s="256"/>
      <c r="X91" s="256"/>
      <c r="Y91" s="256"/>
      <c r="Z91" s="256"/>
      <c r="AA91" s="256"/>
      <c r="AB91" s="256"/>
      <c r="AC91" s="256"/>
      <c r="AD91" s="256"/>
      <c r="AE91" s="256"/>
      <c r="AF91" s="256"/>
      <c r="AG91" s="256"/>
      <c r="AH91" s="5"/>
      <c r="AI91" s="5"/>
      <c r="AJ91" s="5"/>
      <c r="AK91" s="5"/>
      <c r="AL91" s="5"/>
    </row>
    <row r="92" spans="18:38" ht="12.75" customHeight="1">
      <c r="R92" s="24"/>
      <c r="S92" s="24"/>
      <c r="T92" s="5"/>
      <c r="U92" s="5"/>
      <c r="V92" s="257"/>
      <c r="W92" s="256"/>
      <c r="X92" s="256"/>
      <c r="Y92" s="256"/>
      <c r="Z92" s="256"/>
      <c r="AA92" s="256"/>
      <c r="AB92" s="256"/>
      <c r="AC92" s="256"/>
      <c r="AD92" s="256"/>
      <c r="AE92" s="256"/>
      <c r="AF92" s="256"/>
      <c r="AG92" s="256"/>
      <c r="AH92" s="5"/>
      <c r="AI92" s="5"/>
      <c r="AJ92" s="5"/>
      <c r="AK92" s="5"/>
      <c r="AL92" s="5"/>
    </row>
    <row r="93" spans="18:38" ht="12.75" customHeight="1">
      <c r="R93" s="24"/>
      <c r="S93" s="24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8:38" ht="12.75" customHeight="1">
      <c r="R94" s="24"/>
      <c r="S94" s="24"/>
      <c r="T94" s="5"/>
      <c r="U94" s="5"/>
      <c r="V94" s="5"/>
      <c r="W94" s="515"/>
      <c r="X94" s="525"/>
      <c r="Y94" s="525"/>
      <c r="Z94" s="525"/>
      <c r="AA94" s="525"/>
      <c r="AB94" s="525"/>
      <c r="AC94" s="525"/>
      <c r="AD94" s="525"/>
      <c r="AE94" s="525"/>
      <c r="AF94" s="525"/>
      <c r="AG94" s="525"/>
      <c r="AH94" s="5"/>
      <c r="AI94" s="5"/>
      <c r="AJ94" s="5"/>
      <c r="AK94" s="5"/>
      <c r="AL94" s="5"/>
    </row>
    <row r="95" spans="18:38" ht="12.75" customHeight="1">
      <c r="R95" s="24"/>
      <c r="S95" s="24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8:38" ht="12.75" customHeight="1">
      <c r="R96" s="24"/>
      <c r="S96" s="24"/>
      <c r="T96" s="5"/>
      <c r="U96" s="5"/>
      <c r="V96" s="263"/>
      <c r="W96" s="276"/>
      <c r="X96" s="276"/>
      <c r="Y96" s="276"/>
      <c r="Z96" s="276"/>
      <c r="AA96" s="276"/>
      <c r="AB96" s="277"/>
      <c r="AC96" s="276"/>
      <c r="AD96" s="276"/>
      <c r="AE96" s="276"/>
      <c r="AF96" s="276"/>
      <c r="AG96" s="276"/>
      <c r="AH96" s="5"/>
      <c r="AI96" s="5"/>
      <c r="AJ96" s="5"/>
      <c r="AK96" s="5"/>
      <c r="AL96" s="5"/>
    </row>
    <row r="97" spans="18:38" ht="12.75" customHeight="1">
      <c r="R97" s="24"/>
      <c r="S97" s="24"/>
      <c r="T97" s="5"/>
      <c r="U97" s="5"/>
      <c r="V97" s="257"/>
      <c r="W97" s="256"/>
      <c r="X97" s="256"/>
      <c r="Y97" s="256"/>
      <c r="Z97" s="256"/>
      <c r="AA97" s="256"/>
      <c r="AB97" s="256"/>
      <c r="AC97" s="256"/>
      <c r="AD97" s="256"/>
      <c r="AE97" s="256"/>
      <c r="AF97" s="256"/>
      <c r="AG97" s="256"/>
      <c r="AH97" s="5"/>
      <c r="AI97" s="5"/>
      <c r="AJ97" s="5"/>
      <c r="AK97" s="5"/>
      <c r="AL97" s="5"/>
    </row>
    <row r="98" spans="18:38" ht="12.75" customHeight="1">
      <c r="R98" s="24"/>
      <c r="S98" s="24"/>
      <c r="T98" s="5"/>
      <c r="U98" s="5"/>
      <c r="V98" s="257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5"/>
      <c r="AI98" s="5"/>
      <c r="AJ98" s="5"/>
      <c r="AK98" s="5"/>
      <c r="AL98" s="5"/>
    </row>
    <row r="99" spans="18:38" ht="12.75" customHeight="1">
      <c r="R99" s="24"/>
      <c r="S99" s="24"/>
      <c r="T99" s="5"/>
      <c r="U99" s="5"/>
      <c r="V99" s="257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5"/>
      <c r="AI99" s="5"/>
      <c r="AJ99" s="5"/>
      <c r="AK99" s="5"/>
      <c r="AL99" s="5"/>
    </row>
    <row r="100" spans="18:38" ht="12.75" customHeight="1">
      <c r="R100" s="24"/>
      <c r="S100" s="24"/>
      <c r="T100" s="5"/>
      <c r="U100" s="5"/>
      <c r="V100" s="257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5"/>
      <c r="AI100" s="5"/>
      <c r="AJ100" s="256"/>
      <c r="AK100" s="5"/>
      <c r="AL100" s="5"/>
    </row>
    <row r="101" spans="18:38" ht="12.75" customHeight="1">
      <c r="R101" s="24"/>
      <c r="S101" s="24"/>
      <c r="T101" s="5"/>
      <c r="U101" s="5"/>
      <c r="V101" s="257"/>
      <c r="W101" s="256"/>
      <c r="X101" s="256"/>
      <c r="Y101" s="256"/>
      <c r="Z101" s="256"/>
      <c r="AA101" s="256"/>
      <c r="AB101" s="256"/>
      <c r="AC101" s="256"/>
      <c r="AD101" s="256"/>
      <c r="AE101" s="256"/>
      <c r="AF101" s="256"/>
      <c r="AG101" s="256"/>
      <c r="AH101" s="5"/>
      <c r="AI101" s="5"/>
      <c r="AJ101" s="5"/>
      <c r="AK101" s="5"/>
      <c r="AL101" s="5"/>
    </row>
    <row r="102" spans="18:38" ht="12.75" customHeight="1">
      <c r="R102" s="24"/>
      <c r="S102" s="24"/>
      <c r="T102" s="5"/>
      <c r="U102" s="275"/>
      <c r="V102" s="257"/>
      <c r="W102" s="256"/>
      <c r="X102" s="256"/>
      <c r="Y102" s="256"/>
      <c r="Z102" s="256"/>
      <c r="AA102" s="256"/>
      <c r="AB102" s="256"/>
      <c r="AC102" s="256"/>
      <c r="AD102" s="256"/>
      <c r="AE102" s="256"/>
      <c r="AF102" s="256"/>
      <c r="AG102" s="256"/>
      <c r="AH102" s="5"/>
      <c r="AI102" s="5"/>
      <c r="AJ102" s="256"/>
      <c r="AK102" s="5"/>
      <c r="AL102" s="5"/>
    </row>
    <row r="103" spans="18:38" ht="12.75" customHeight="1">
      <c r="R103" s="24"/>
      <c r="S103" s="24"/>
      <c r="T103" s="5"/>
      <c r="U103" s="5"/>
      <c r="V103" s="257"/>
      <c r="W103" s="256"/>
      <c r="X103" s="256"/>
      <c r="Y103" s="256"/>
      <c r="Z103" s="256"/>
      <c r="AA103" s="256"/>
      <c r="AB103" s="256"/>
      <c r="AC103" s="256"/>
      <c r="AD103" s="256"/>
      <c r="AE103" s="256"/>
      <c r="AF103" s="256"/>
      <c r="AG103" s="256"/>
      <c r="AH103" s="5"/>
      <c r="AI103" s="5"/>
      <c r="AJ103" s="5"/>
      <c r="AK103" s="5"/>
      <c r="AL103" s="5"/>
    </row>
    <row r="104" spans="18:38" ht="12.75" customHeight="1">
      <c r="R104" s="24"/>
      <c r="S104" s="24"/>
      <c r="T104" s="5"/>
      <c r="U104" s="5"/>
      <c r="V104" s="255"/>
      <c r="W104" s="256"/>
      <c r="X104" s="256"/>
      <c r="Y104" s="256"/>
      <c r="Z104" s="256"/>
      <c r="AA104" s="256"/>
      <c r="AB104" s="267"/>
      <c r="AC104" s="256"/>
      <c r="AD104" s="256"/>
      <c r="AE104" s="256"/>
      <c r="AF104" s="256"/>
      <c r="AG104" s="256"/>
      <c r="AH104" s="5"/>
      <c r="AI104" s="5"/>
      <c r="AJ104" s="256"/>
      <c r="AK104" s="5"/>
      <c r="AL104" s="5"/>
    </row>
    <row r="105" spans="18:38" ht="12.75" customHeight="1">
      <c r="R105" s="24"/>
      <c r="S105" s="24"/>
      <c r="T105" s="5"/>
      <c r="U105" s="5"/>
      <c r="V105" s="257"/>
      <c r="W105" s="256"/>
      <c r="X105" s="256"/>
      <c r="Y105" s="256"/>
      <c r="Z105" s="256"/>
      <c r="AA105" s="256"/>
      <c r="AB105" s="256"/>
      <c r="AC105" s="256"/>
      <c r="AD105" s="256"/>
      <c r="AE105" s="256"/>
      <c r="AF105" s="256"/>
      <c r="AG105" s="256"/>
      <c r="AH105" s="5"/>
      <c r="AI105" s="5"/>
      <c r="AJ105" s="5"/>
      <c r="AK105" s="5"/>
      <c r="AL105" s="5"/>
    </row>
    <row r="106" spans="18:38" ht="12.75" customHeight="1">
      <c r="R106" s="24"/>
      <c r="S106" s="24"/>
      <c r="T106" s="5"/>
      <c r="U106" s="5"/>
      <c r="V106" s="257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5"/>
      <c r="AI106" s="5"/>
      <c r="AJ106" s="5"/>
      <c r="AK106" s="5"/>
      <c r="AL106" s="5"/>
    </row>
    <row r="107" spans="18:38" ht="12.75" customHeight="1">
      <c r="R107" s="24"/>
      <c r="S107" s="24"/>
      <c r="T107" s="5"/>
      <c r="U107" s="5"/>
      <c r="V107" s="257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5"/>
      <c r="AI107" s="5"/>
      <c r="AJ107" s="5"/>
      <c r="AK107" s="5"/>
      <c r="AL107" s="5"/>
    </row>
    <row r="108" spans="18:38" ht="12.75" customHeight="1">
      <c r="R108" s="24"/>
      <c r="S108" s="24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spans="18:38" ht="12.75" customHeight="1">
      <c r="R109" s="24"/>
      <c r="S109" s="24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8:38" ht="12.75" customHeight="1">
      <c r="R110" s="24"/>
      <c r="S110" s="24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8:38" ht="12.75" customHeight="1">
      <c r="R111" s="24"/>
      <c r="S111" s="24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8:38" ht="12.75" customHeight="1">
      <c r="R112" s="24"/>
      <c r="S112" s="24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8:38" ht="12.75" customHeight="1">
      <c r="R113" s="24"/>
      <c r="S113" s="24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8:38" ht="12.75" customHeight="1">
      <c r="R114" s="24"/>
      <c r="S114" s="24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8:38" ht="12.75" customHeight="1">
      <c r="R115" s="24"/>
      <c r="S115" s="24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8:38" ht="12.75" customHeight="1">
      <c r="R116" s="24"/>
      <c r="S116" s="24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8:38" ht="12.75" customHeight="1">
      <c r="R117" s="24"/>
      <c r="S117" s="24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8:38" ht="12.75" customHeight="1">
      <c r="R118" s="24"/>
      <c r="S118" s="24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8:38" ht="12.75" customHeight="1">
      <c r="R119" s="24"/>
      <c r="S119" s="24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8:38" ht="12.75" customHeight="1">
      <c r="R120" s="24"/>
      <c r="S120" s="24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8:38" ht="12.75" customHeight="1">
      <c r="R121" s="24"/>
      <c r="S121" s="24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8:38" ht="12.75" customHeight="1">
      <c r="R122" s="24"/>
      <c r="S122" s="24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8:38" ht="12.75" customHeight="1">
      <c r="R123" s="24"/>
      <c r="S123" s="24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8:38" ht="12.75" customHeight="1">
      <c r="R124" s="24"/>
      <c r="S124" s="24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8:38" ht="12.75" customHeight="1">
      <c r="R125" s="24"/>
      <c r="S125" s="24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8:38" ht="12.75" customHeight="1">
      <c r="R126" s="24"/>
      <c r="S126" s="24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8:38" ht="12.75" customHeight="1">
      <c r="R127" s="24"/>
      <c r="S127" s="24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8:38" ht="12.75" customHeight="1">
      <c r="R128" s="24"/>
      <c r="S128" s="24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2.75" customHeight="1">
      <c r="R129" s="24"/>
      <c r="S129" s="24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2.75" customHeight="1">
      <c r="R130" s="24"/>
      <c r="S130" s="24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2.75" customHeight="1">
      <c r="R131" s="24"/>
      <c r="S131" s="24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2.75" customHeight="1">
      <c r="R132" s="24"/>
      <c r="S132" s="24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2.75" customHeight="1">
      <c r="R133" s="24"/>
      <c r="S133" s="24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 spans="1:38" ht="12.75" customHeight="1">
      <c r="R134" s="24"/>
      <c r="S134" s="24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2.75" customHeight="1">
      <c r="R135" s="24"/>
      <c r="S135" s="24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8" ht="12.75" customHeight="1">
      <c r="R136" s="24"/>
      <c r="S136" s="24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 spans="1:38" ht="12.75" customHeight="1">
      <c r="R137" s="24"/>
      <c r="S137" s="24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 spans="1:38" ht="12.75" customHeight="1">
      <c r="R138" s="24"/>
      <c r="S138" s="24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 spans="1:38" ht="12.75" customHeight="1">
      <c r="R139" s="24"/>
      <c r="S139" s="24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2.75" customHeight="1">
      <c r="R140" s="24"/>
      <c r="S140" s="24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</row>
    <row r="143" spans="1:38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</row>
    <row r="144" spans="1:38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</row>
    <row r="145" spans="1:38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</row>
    <row r="146" spans="1:38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</row>
    <row r="147" spans="1:38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</row>
    <row r="148" spans="1:3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</row>
    <row r="149" spans="1:38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</row>
    <row r="150" spans="1:38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</row>
    <row r="151" spans="1:38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5"/>
      <c r="T151" s="5"/>
      <c r="U151" s="5"/>
      <c r="V151" s="5"/>
      <c r="W151" s="5"/>
      <c r="X151" s="5"/>
      <c r="Y151" s="5"/>
      <c r="Z151" s="5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</row>
    <row r="152" spans="1:38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</row>
    <row r="153" spans="1:38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</row>
    <row r="154" spans="1:38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</row>
    <row r="155" spans="1:38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</row>
    <row r="156" spans="1:38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</row>
    <row r="157" spans="1:38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</row>
    <row r="158" spans="1:3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</row>
    <row r="159" spans="1:38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</row>
    <row r="160" spans="1:38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</row>
    <row r="161" spans="1:38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</row>
    <row r="162" spans="1:38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</row>
    <row r="163" spans="1:38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</row>
    <row r="164" spans="1:38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</row>
    <row r="165" spans="1:38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</row>
    <row r="166" spans="1:38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</row>
    <row r="167" spans="1:38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</row>
    <row r="168" spans="1:3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</row>
    <row r="169" spans="1:38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</row>
    <row r="170" spans="1:38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</row>
    <row r="171" spans="1:38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</row>
    <row r="172" spans="1:38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</row>
    <row r="173" spans="1:38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</row>
    <row r="174" spans="1:38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</row>
    <row r="175" spans="1:38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</row>
    <row r="176" spans="1:38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</row>
    <row r="177" spans="1:38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</row>
    <row r="178" spans="1:3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</row>
    <row r="179" spans="1:38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</row>
    <row r="180" spans="1:38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</row>
    <row r="181" spans="1:38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</row>
    <row r="182" spans="1:38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</row>
    <row r="183" spans="1:38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38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38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38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38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3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38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38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38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38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mergeCells count="19">
    <mergeCell ref="D54:H54"/>
    <mergeCell ref="B56:B60"/>
    <mergeCell ref="L54:P54"/>
    <mergeCell ref="D62:H62"/>
    <mergeCell ref="B64:B68"/>
    <mergeCell ref="L62:P62"/>
    <mergeCell ref="J64:J68"/>
    <mergeCell ref="AA59:AD59"/>
    <mergeCell ref="W64:AG64"/>
    <mergeCell ref="J56:J60"/>
    <mergeCell ref="W79:AG79"/>
    <mergeCell ref="W94:AG94"/>
    <mergeCell ref="AG40:AI40"/>
    <mergeCell ref="U57:AJ57"/>
    <mergeCell ref="U6:V6"/>
    <mergeCell ref="U14:AI14"/>
    <mergeCell ref="AC18:AE18"/>
    <mergeCell ref="AG18:AI18"/>
    <mergeCell ref="AC38:AE38"/>
  </mergeCells>
  <conditionalFormatting sqref="D56:H60">
    <cfRule type="colorScale" priority="17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0070C0"/>
        <color theme="0"/>
      </colorScale>
    </cfRule>
    <cfRule type="colorScale" priority="19">
      <colorScale>
        <cfvo type="min"/>
        <cfvo type="max"/>
        <color rgb="FF0C2D49"/>
        <color theme="0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H68">
    <cfRule type="colorScale" priority="9">
      <colorScale>
        <cfvo type="min"/>
        <cfvo type="max"/>
        <color rgb="FFF8696B"/>
        <color rgb="FFFCFCFF"/>
      </colorScale>
    </cfRule>
    <cfRule type="colorScale" priority="10">
      <colorScale>
        <cfvo type="min"/>
        <cfvo type="max"/>
        <color rgb="FF0070C0"/>
        <color theme="0"/>
      </colorScale>
    </cfRule>
    <cfRule type="colorScale" priority="11">
      <colorScale>
        <cfvo type="min"/>
        <cfvo type="max"/>
        <color rgb="FF0C2D49"/>
        <color theme="0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:P60">
    <cfRule type="colorScale" priority="13">
      <colorScale>
        <cfvo type="min"/>
        <cfvo type="max"/>
        <color rgb="FFF8696B"/>
        <color rgb="FFFCFCFF"/>
      </colorScale>
    </cfRule>
    <cfRule type="colorScale" priority="14">
      <colorScale>
        <cfvo type="min"/>
        <cfvo type="max"/>
        <color rgb="FF0070C0"/>
        <color theme="0"/>
      </colorScale>
    </cfRule>
    <cfRule type="colorScale" priority="15">
      <colorScale>
        <cfvo type="min"/>
        <cfvo type="max"/>
        <color rgb="FF0C2D49"/>
        <color theme="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4:P68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0070C0"/>
        <color theme="0"/>
      </colorScale>
    </cfRule>
    <cfRule type="colorScale" priority="3">
      <colorScale>
        <cfvo type="min"/>
        <cfvo type="max"/>
        <color rgb="FF0C2D49"/>
        <color theme="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7:AG7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zoomScale="76" workbookViewId="0">
      <selection activeCell="E20" sqref="E20"/>
    </sheetView>
  </sheetViews>
  <sheetFormatPr defaultColWidth="14.42578125" defaultRowHeight="15" customHeight="1"/>
  <cols>
    <col min="1" max="1" width="8.5703125" customWidth="1"/>
    <col min="2" max="2" width="21.42578125" customWidth="1"/>
    <col min="3" max="3" width="8" customWidth="1"/>
    <col min="4" max="4" width="8.5703125" customWidth="1"/>
    <col min="5" max="5" width="20.140625" customWidth="1"/>
    <col min="6" max="6" width="8.140625" customWidth="1"/>
    <col min="7" max="7" width="7.85546875" customWidth="1"/>
    <col min="8" max="8" width="12.42578125" customWidth="1"/>
    <col min="9" max="9" width="10.85546875" customWidth="1"/>
    <col min="10" max="26" width="8.5703125" customWidth="1"/>
  </cols>
  <sheetData>
    <row r="1" spans="2:26" ht="12.75" customHeight="1"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2:26" ht="24" customHeight="1">
      <c r="B2" s="27" t="s">
        <v>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ht="12.75" customHeight="1">
      <c r="B3" s="33" t="s">
        <v>136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6" ht="12.75" customHeight="1">
      <c r="B4" s="29" t="s">
        <v>10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2:26" ht="12.75" customHeight="1"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Z5" s="4"/>
    </row>
    <row r="6" spans="2:26" ht="12.75" customHeight="1">
      <c r="B6" s="30" t="s">
        <v>100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"/>
      <c r="Z6" s="4"/>
    </row>
    <row r="7" spans="2:26" ht="12.75" customHeight="1"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4"/>
      <c r="Z7" s="4"/>
    </row>
    <row r="8" spans="2:26" ht="12.75" customHeight="1">
      <c r="B8" s="159" t="s">
        <v>136</v>
      </c>
      <c r="C8" s="160"/>
      <c r="D8" s="160"/>
      <c r="K8" s="172" t="s">
        <v>137</v>
      </c>
      <c r="L8" s="160"/>
      <c r="M8" s="160"/>
      <c r="N8" s="160"/>
      <c r="O8" s="160"/>
      <c r="P8" s="160"/>
      <c r="Q8" s="160"/>
      <c r="R8" s="2"/>
      <c r="S8" s="2"/>
      <c r="T8" s="2"/>
      <c r="U8" s="2"/>
      <c r="V8" s="2"/>
      <c r="W8" s="2"/>
      <c r="X8" s="2"/>
      <c r="Y8" s="4"/>
      <c r="Z8" s="4"/>
    </row>
    <row r="9" spans="2:26" ht="12.75" customHeight="1">
      <c r="B9" s="109" t="s">
        <v>138</v>
      </c>
      <c r="C9" s="110"/>
      <c r="D9" s="110"/>
      <c r="K9" s="111"/>
      <c r="L9" s="111"/>
      <c r="M9" s="111"/>
      <c r="N9" s="112"/>
      <c r="O9" s="112" t="s">
        <v>139</v>
      </c>
      <c r="P9" s="112" t="s">
        <v>139</v>
      </c>
      <c r="Q9" s="111"/>
      <c r="R9" s="2"/>
      <c r="S9" s="2"/>
      <c r="T9" s="2"/>
      <c r="U9" s="2"/>
      <c r="V9" s="2"/>
      <c r="W9" s="2"/>
      <c r="X9" s="2"/>
      <c r="Y9" s="4"/>
      <c r="Z9" s="4"/>
    </row>
    <row r="10" spans="2:26" ht="12.75" customHeight="1">
      <c r="B10" s="111" t="s">
        <v>140</v>
      </c>
      <c r="C10" s="111"/>
      <c r="D10" s="113">
        <v>0.4</v>
      </c>
      <c r="K10" s="111"/>
      <c r="L10" s="111"/>
      <c r="M10" s="111"/>
      <c r="N10" s="112" t="s">
        <v>141</v>
      </c>
      <c r="O10" s="112" t="s">
        <v>142</v>
      </c>
      <c r="P10" s="112" t="s">
        <v>143</v>
      </c>
      <c r="Q10" s="112" t="s">
        <v>144</v>
      </c>
      <c r="R10" s="2"/>
      <c r="S10" s="2"/>
      <c r="T10" s="2"/>
      <c r="U10" s="2"/>
      <c r="V10" s="2"/>
      <c r="W10" s="2"/>
      <c r="X10" s="2"/>
      <c r="Y10" s="4"/>
      <c r="Z10" s="4"/>
    </row>
    <row r="11" spans="2:26" ht="12.75" customHeight="1">
      <c r="B11" s="114" t="s">
        <v>145</v>
      </c>
      <c r="C11" s="110"/>
      <c r="D11" s="113">
        <f>1-D10</f>
        <v>0.6</v>
      </c>
      <c r="K11" s="111"/>
      <c r="L11" s="111"/>
      <c r="M11" s="111"/>
      <c r="N11" s="115" t="s">
        <v>146</v>
      </c>
      <c r="O11" s="115" t="s">
        <v>147</v>
      </c>
      <c r="P11" s="115" t="s">
        <v>148</v>
      </c>
      <c r="Q11" s="115" t="s">
        <v>146</v>
      </c>
      <c r="R11" s="2"/>
      <c r="S11" s="2"/>
      <c r="T11" s="2"/>
      <c r="U11" s="2"/>
      <c r="V11" s="2"/>
      <c r="W11" s="2"/>
      <c r="X11" s="2"/>
      <c r="Y11" s="4"/>
      <c r="Z11" s="4"/>
    </row>
    <row r="12" spans="2:26" ht="12.75" customHeight="1">
      <c r="K12" s="116" t="s">
        <v>149</v>
      </c>
      <c r="L12" s="111"/>
      <c r="M12" s="111"/>
      <c r="N12" s="117">
        <v>0.83</v>
      </c>
      <c r="O12" s="118">
        <v>0.5</v>
      </c>
      <c r="P12" s="119">
        <v>0.28000000000000003</v>
      </c>
      <c r="Q12" s="120">
        <f>N12*(1+(1-P12)*(O12))</f>
        <v>1.1287999999999998</v>
      </c>
      <c r="R12" s="2" t="s">
        <v>150</v>
      </c>
      <c r="S12" s="2"/>
      <c r="T12" s="2"/>
      <c r="U12" s="2"/>
      <c r="V12" s="2"/>
      <c r="W12" s="2"/>
      <c r="X12" s="2"/>
      <c r="Y12" s="4"/>
      <c r="Z12" s="4"/>
    </row>
    <row r="13" spans="2:26" ht="12.75" customHeight="1">
      <c r="B13" s="109" t="s">
        <v>151</v>
      </c>
      <c r="C13" s="111"/>
      <c r="D13" s="121"/>
      <c r="K13" s="116"/>
      <c r="L13" s="111"/>
      <c r="M13" s="111"/>
      <c r="N13" s="122"/>
      <c r="O13" s="123"/>
      <c r="P13" s="123"/>
      <c r="Q13" s="124"/>
      <c r="R13" s="2"/>
      <c r="S13" s="2"/>
      <c r="T13" s="2"/>
      <c r="U13" s="2"/>
      <c r="V13" s="2"/>
      <c r="W13" s="2"/>
      <c r="X13" s="2"/>
      <c r="Y13" s="4"/>
      <c r="Z13" s="4"/>
    </row>
    <row r="14" spans="2:26" ht="12.75" customHeight="1">
      <c r="B14" s="111" t="s">
        <v>152</v>
      </c>
      <c r="C14" s="111"/>
      <c r="D14" s="136">
        <v>5.96E-2</v>
      </c>
      <c r="E14" s="327" t="s">
        <v>153</v>
      </c>
      <c r="K14" s="172" t="s">
        <v>154</v>
      </c>
      <c r="L14" s="160"/>
      <c r="M14" s="160"/>
      <c r="N14" s="160"/>
      <c r="O14" s="160"/>
      <c r="P14" s="160"/>
      <c r="Q14" s="160"/>
      <c r="R14" s="2"/>
      <c r="S14" s="2"/>
      <c r="T14" s="2"/>
      <c r="U14" s="2"/>
      <c r="V14" s="2"/>
      <c r="W14" s="2"/>
      <c r="X14" s="2"/>
      <c r="Y14" s="4"/>
      <c r="Z14" s="4"/>
    </row>
    <row r="15" spans="2:26" ht="12.75" customHeight="1">
      <c r="B15" s="111" t="s">
        <v>148</v>
      </c>
      <c r="C15" s="111"/>
      <c r="D15" s="136">
        <v>0.215</v>
      </c>
      <c r="K15" s="125"/>
      <c r="L15" s="126"/>
      <c r="M15" s="171" t="s">
        <v>155</v>
      </c>
      <c r="N15" s="171"/>
      <c r="O15" s="171"/>
      <c r="P15" s="171"/>
      <c r="Q15" s="171"/>
      <c r="R15" s="2"/>
      <c r="S15" s="2"/>
      <c r="T15" s="2"/>
      <c r="U15" s="2"/>
      <c r="V15" s="2"/>
      <c r="W15" s="2"/>
      <c r="X15" s="2"/>
      <c r="Y15" s="4"/>
      <c r="Z15" s="4"/>
    </row>
    <row r="16" spans="2:26" ht="12.75" customHeight="1">
      <c r="B16" s="116" t="s">
        <v>156</v>
      </c>
      <c r="C16" s="116"/>
      <c r="D16" s="127">
        <f>+D14*(1-D15)</f>
        <v>4.6786000000000001E-2</v>
      </c>
      <c r="K16" s="128"/>
      <c r="L16" s="129" t="s">
        <v>157</v>
      </c>
      <c r="M16" s="130">
        <f>D14-0.01</f>
        <v>4.9599999999999998E-2</v>
      </c>
      <c r="N16" s="130">
        <f>D14-0.005</f>
        <v>5.4600000000000003E-2</v>
      </c>
      <c r="O16" s="130">
        <f>$D$14</f>
        <v>5.96E-2</v>
      </c>
      <c r="P16" s="130">
        <f>$D$14+0.005</f>
        <v>6.4600000000000005E-2</v>
      </c>
      <c r="Q16" s="130">
        <f>$D$14+0.01</f>
        <v>6.9599999999999995E-2</v>
      </c>
      <c r="R16" s="2"/>
      <c r="S16" s="2"/>
      <c r="T16" s="2"/>
      <c r="U16" s="2"/>
      <c r="V16" s="2"/>
      <c r="W16" s="2"/>
      <c r="X16" s="2"/>
      <c r="Y16" s="4"/>
      <c r="Z16" s="4"/>
    </row>
    <row r="17" spans="1:26" ht="12.75" customHeight="1">
      <c r="K17" s="519" t="s">
        <v>140</v>
      </c>
      <c r="L17" s="130">
        <f>L18-0.01</f>
        <v>0.38</v>
      </c>
      <c r="M17" s="131">
        <f>($D$24*$D$11)+($L$17*((1-$D$15)*(M16)))</f>
        <v>8.0915680000000004E-2</v>
      </c>
      <c r="N17" s="132">
        <f>($D$24*$D$11)+($L$17*((1-$D$15)*(N16)))</f>
        <v>8.2407179999999997E-2</v>
      </c>
      <c r="O17" s="132">
        <f>($D$24*$D$11)+($L$17*((1-$D$15)*(O16)))</f>
        <v>8.3898680000000003E-2</v>
      </c>
      <c r="P17" s="132">
        <f>($D$24*$D$11)+($L$17*((1-$D$15)*(P16)))</f>
        <v>8.5390179999999996E-2</v>
      </c>
      <c r="Q17" s="133">
        <f>($D$24*$D$11)+($L$17*((1-$D$15)*(Q16)))</f>
        <v>8.6881679999999989E-2</v>
      </c>
      <c r="R17" s="2"/>
      <c r="S17" s="2"/>
      <c r="T17" s="2"/>
      <c r="U17" s="2"/>
      <c r="V17" s="2"/>
      <c r="W17" s="2"/>
      <c r="X17" s="2"/>
      <c r="Y17" s="4"/>
      <c r="Z17" s="4"/>
    </row>
    <row r="18" spans="1:26" ht="12.75" customHeight="1">
      <c r="B18" s="109" t="s">
        <v>158</v>
      </c>
      <c r="C18" s="111"/>
      <c r="D18" s="121"/>
      <c r="K18" s="519"/>
      <c r="L18" s="130">
        <f>L19-0.01</f>
        <v>0.39</v>
      </c>
      <c r="M18" s="134">
        <f>($D$24*$D$11)+($L$18*((1-$D$15)*(M16)))</f>
        <v>8.1305039999999995E-2</v>
      </c>
      <c r="N18" s="131">
        <f>($D$24*$D$11)+($L$18*((1-$D$15)*(N16)))</f>
        <v>8.2835789999999992E-2</v>
      </c>
      <c r="O18" s="132">
        <f>($D$24*$D$11)+($L$18*((1-$D$15)*(O16)))</f>
        <v>8.4366540000000004E-2</v>
      </c>
      <c r="P18" s="133">
        <f>($D$24*$D$11)+($L$18*((1-$D$15)*(P16)))</f>
        <v>8.5897290000000001E-2</v>
      </c>
      <c r="Q18" s="135">
        <f>($D$24*$D$11)+($L$18*((1-$D$15)*(Q16)))</f>
        <v>8.7428039999999999E-2</v>
      </c>
      <c r="R18" s="2"/>
      <c r="S18" s="2"/>
      <c r="T18" s="2"/>
      <c r="U18" s="2"/>
      <c r="V18" s="2"/>
      <c r="W18" s="2"/>
      <c r="X18" s="2"/>
      <c r="Y18" s="4"/>
      <c r="Z18" s="4"/>
    </row>
    <row r="19" spans="1:26" ht="12.75" customHeight="1">
      <c r="B19" s="111" t="s">
        <v>159</v>
      </c>
      <c r="C19" s="111"/>
      <c r="D19" s="136">
        <v>4.3099999999999999E-2</v>
      </c>
      <c r="E19" s="327"/>
      <c r="K19" s="519"/>
      <c r="L19" s="130">
        <f>D10</f>
        <v>0.4</v>
      </c>
      <c r="M19" s="134">
        <f>($D$24*$D$11)+($L$19*((1-$D$15)*(M16)))</f>
        <v>8.16944E-2</v>
      </c>
      <c r="N19" s="134">
        <f>($D$24*$D$11)+($L$19*((1-$D$15)*(N16)))</f>
        <v>8.3264400000000002E-2</v>
      </c>
      <c r="O19" s="137">
        <f>($D$24*$D$11)+($L$19*((1-$D$15)*(O16)))</f>
        <v>8.4834400000000004E-2</v>
      </c>
      <c r="P19" s="135">
        <f>($D$24*$D$11)+($L$19*((1-$D$15)*(P16)))</f>
        <v>8.6404400000000006E-2</v>
      </c>
      <c r="Q19" s="135">
        <f>($D$24*$D$11)+($L$19*((1-$D$15)*(Q16)))</f>
        <v>8.7974399999999994E-2</v>
      </c>
      <c r="R19" s="2"/>
      <c r="S19" s="2"/>
      <c r="T19" s="2"/>
      <c r="U19" s="2"/>
      <c r="V19" s="2"/>
      <c r="W19" s="2"/>
      <c r="X19" s="2"/>
      <c r="Y19" s="4"/>
      <c r="Z19" s="4"/>
    </row>
    <row r="20" spans="1:26" ht="12.75" customHeight="1">
      <c r="B20" s="111" t="s">
        <v>160</v>
      </c>
      <c r="C20" s="111"/>
      <c r="D20" s="136">
        <v>5.5E-2</v>
      </c>
      <c r="K20" s="519"/>
      <c r="L20" s="130">
        <f>L19+0.01</f>
        <v>0.41000000000000003</v>
      </c>
      <c r="M20" s="134">
        <f>($D$24*$D$11)+($L$20*((1-$D$15)*(M16)))</f>
        <v>8.2083760000000006E-2</v>
      </c>
      <c r="N20" s="138">
        <f>($D$24*$D$11)+($L$20*((1-$D$15)*(N16)))</f>
        <v>8.3693009999999998E-2</v>
      </c>
      <c r="O20" s="139">
        <f>($D$24*$D$11)+($L$20*((1-$D$15)*(O16)))</f>
        <v>8.5302260000000005E-2</v>
      </c>
      <c r="P20" s="140">
        <f>($D$24*$D$11)+($L$20*((1-$D$15)*(P16)))</f>
        <v>8.6911509999999997E-2</v>
      </c>
      <c r="Q20" s="135">
        <f>($D$24*$D$11)+($L$20*((1-$D$15)*(Q16)))</f>
        <v>8.8520760000000004E-2</v>
      </c>
      <c r="R20" s="2"/>
      <c r="S20" s="2"/>
      <c r="T20" s="2"/>
      <c r="U20" s="2"/>
      <c r="V20" s="2"/>
      <c r="W20" s="2"/>
      <c r="X20" s="2"/>
      <c r="Y20" s="4"/>
      <c r="Z20" s="4"/>
    </row>
    <row r="21" spans="1:26" ht="12.75" customHeight="1">
      <c r="B21" s="111" t="s">
        <v>161</v>
      </c>
      <c r="D21" s="136">
        <v>0</v>
      </c>
      <c r="E21" s="327"/>
      <c r="K21" s="519"/>
      <c r="L21" s="130">
        <f>L20+0.01</f>
        <v>0.42000000000000004</v>
      </c>
      <c r="M21" s="138">
        <f>($D$24*$D$11)+($L$21*((1-$D$15)*(M16)))</f>
        <v>8.2473119999999997E-2</v>
      </c>
      <c r="N21" s="139">
        <f>($D$24*$D$11)+($L$21*((1-$D$15)*(N16)))</f>
        <v>8.4121620000000008E-2</v>
      </c>
      <c r="O21" s="139">
        <f>($D$24*$D$11)+($L$21*((1-$D$15)*(O16)))</f>
        <v>8.5770120000000005E-2</v>
      </c>
      <c r="P21" s="139">
        <f>($D$24*$D$11)+($L$21*((1-$D$15)*(P16)))</f>
        <v>8.7418620000000002E-2</v>
      </c>
      <c r="Q21" s="140">
        <f>($D$24*$D$11)+($L$21*((1-$D$15)*(Q16)))</f>
        <v>8.906712E-2</v>
      </c>
      <c r="R21" s="2"/>
      <c r="S21" s="2"/>
      <c r="T21" s="2"/>
      <c r="U21" s="2"/>
      <c r="V21" s="2"/>
      <c r="W21" s="2"/>
      <c r="X21" s="2"/>
      <c r="Y21" s="4"/>
      <c r="Z21" s="4"/>
    </row>
    <row r="22" spans="1:26" ht="12.75" customHeight="1">
      <c r="B22" s="111" t="s">
        <v>162</v>
      </c>
      <c r="C22" s="111"/>
      <c r="D22" s="141">
        <v>1.22</v>
      </c>
      <c r="K22" s="126"/>
      <c r="L22" s="126"/>
      <c r="M22" s="126"/>
      <c r="N22" s="126"/>
      <c r="O22" s="126"/>
      <c r="P22" s="126"/>
      <c r="Q22" s="126"/>
      <c r="R22" s="2"/>
      <c r="S22" s="2"/>
      <c r="T22" s="2"/>
      <c r="U22" s="2"/>
      <c r="V22" s="2"/>
      <c r="W22" s="2"/>
      <c r="X22" s="2"/>
      <c r="Y22" s="4"/>
      <c r="Z22" s="4"/>
    </row>
    <row r="23" spans="1:26" ht="12.75" customHeight="1">
      <c r="B23" s="110"/>
      <c r="C23" s="110"/>
      <c r="D23" s="142"/>
      <c r="K23" s="125"/>
      <c r="L23" s="57"/>
      <c r="M23" s="53" t="s">
        <v>162</v>
      </c>
      <c r="N23" s="53"/>
      <c r="O23" s="53"/>
      <c r="P23" s="53"/>
      <c r="Q23" s="53"/>
      <c r="R23" s="2"/>
      <c r="S23" s="2"/>
      <c r="T23" s="2"/>
      <c r="U23" s="2"/>
      <c r="V23" s="2"/>
      <c r="W23" s="2"/>
      <c r="X23" s="2"/>
      <c r="Y23" s="4"/>
      <c r="Z23" s="4"/>
    </row>
    <row r="24" spans="1:26" ht="12.75" customHeight="1">
      <c r="B24" s="116" t="s">
        <v>163</v>
      </c>
      <c r="C24" s="111"/>
      <c r="D24" s="127">
        <f>D19+(D22*(D21+D20))</f>
        <v>0.11019999999999999</v>
      </c>
      <c r="K24" s="128"/>
      <c r="L24" s="143">
        <f>D28</f>
        <v>0</v>
      </c>
      <c r="M24" s="144">
        <f>N24-0.25</f>
        <v>0.6287999999999998</v>
      </c>
      <c r="N24" s="144">
        <f>O24-0.25</f>
        <v>0.8787999999999998</v>
      </c>
      <c r="O24" s="145">
        <f>Q12</f>
        <v>1.1287999999999998</v>
      </c>
      <c r="P24" s="144">
        <f>O24+0.25</f>
        <v>1.3787999999999998</v>
      </c>
      <c r="Q24" s="144">
        <f>P24+0.25</f>
        <v>1.6287999999999998</v>
      </c>
      <c r="R24" s="2"/>
      <c r="S24" s="2"/>
      <c r="T24" s="2"/>
      <c r="U24" s="2"/>
      <c r="V24" s="2"/>
      <c r="W24" s="2"/>
      <c r="X24" s="2"/>
      <c r="Y24" s="4"/>
      <c r="Z24" s="4"/>
    </row>
    <row r="25" spans="1:26" ht="12.75" customHeight="1">
      <c r="B25" s="116"/>
      <c r="C25" s="111"/>
      <c r="D25" s="121"/>
      <c r="K25" s="520" t="s">
        <v>164</v>
      </c>
      <c r="L25" s="146">
        <f>L26-0.0025</f>
        <v>4.9999999999999996E-2</v>
      </c>
      <c r="M25" s="147">
        <f>($D$10*$D$16)+($D$11*($D$19+($L$25*M24)))</f>
        <v>6.3438399999999992E-2</v>
      </c>
      <c r="N25" s="148">
        <f>($D$10*$D$16)+($D$11*($D$19+($L$25*N24)))</f>
        <v>7.0938399999999985E-2</v>
      </c>
      <c r="O25" s="148">
        <f>($D$10*$D$16)+($D$11*($D$19+($L$25*O24)))</f>
        <v>7.8438399999999991E-2</v>
      </c>
      <c r="P25" s="148">
        <f>($D$10*$D$16)+($D$11*($D$19+($L$25*P24)))</f>
        <v>8.5938399999999998E-2</v>
      </c>
      <c r="Q25" s="148">
        <f>($D$10*$D$16)+($D$11*($D$19+($L$25*Q24)))</f>
        <v>9.3438399999999991E-2</v>
      </c>
      <c r="R25" s="2"/>
      <c r="S25" s="2"/>
      <c r="T25" s="2"/>
      <c r="U25" s="2"/>
      <c r="V25" s="2"/>
      <c r="W25" s="2"/>
      <c r="X25" s="2"/>
      <c r="Y25" s="4"/>
      <c r="Z25" s="4"/>
    </row>
    <row r="26" spans="1:26" ht="12.75" customHeight="1">
      <c r="B26" s="109"/>
      <c r="C26" s="111"/>
      <c r="D26" s="121"/>
      <c r="K26" s="520"/>
      <c r="L26" s="146">
        <f>L27-0.0025</f>
        <v>5.2499999999999998E-2</v>
      </c>
      <c r="M26" s="149">
        <f>($D$10*$D$16)+($D$11*($D$19+($L$26*M24)))</f>
        <v>6.4381599999999997E-2</v>
      </c>
      <c r="N26" s="147">
        <f>($D$10*$D$16)+($D$11*($D$19+($L$26*N24)))</f>
        <v>7.225659999999999E-2</v>
      </c>
      <c r="O26" s="148">
        <f>($D$10*$D$16)+($D$11*($D$19+($L$26*O24)))</f>
        <v>8.0131599999999983E-2</v>
      </c>
      <c r="P26" s="150">
        <f>($D$10*$D$16)+($D$11*($D$19+($L$26*P24)))</f>
        <v>8.8006600000000004E-2</v>
      </c>
      <c r="Q26" s="151">
        <f>($D$10*$D$16)+($D$11*($D$19+($L$26*Q24)))</f>
        <v>9.5881600000000011E-2</v>
      </c>
      <c r="R26" s="2"/>
      <c r="S26" s="2"/>
      <c r="T26" s="2"/>
      <c r="U26" s="2"/>
      <c r="V26" s="2"/>
      <c r="W26" s="2"/>
      <c r="X26" s="2"/>
      <c r="Y26" s="4"/>
      <c r="Z26" s="4"/>
    </row>
    <row r="27" spans="1:26" ht="12.75" customHeight="1">
      <c r="B27" s="116" t="s">
        <v>165</v>
      </c>
      <c r="C27" s="111"/>
      <c r="D27" s="127">
        <f>(D10*D16)+(D11*D24)</f>
        <v>8.4834400000000004E-2</v>
      </c>
      <c r="K27" s="520"/>
      <c r="L27" s="152">
        <f>D20</f>
        <v>5.5E-2</v>
      </c>
      <c r="M27" s="149">
        <f>($D$10*$D$16)+($D$11*($D$19+($L$27*M24)))</f>
        <v>6.5324799999999988E-2</v>
      </c>
      <c r="N27" s="149">
        <f>($D$10*$D$16)+($D$11*($D$19+($L$27*N24)))</f>
        <v>7.3574799999999996E-2</v>
      </c>
      <c r="O27" s="153">
        <f>($D$10*$D$16)+($D$11*($D$19+($L$27*O24)))</f>
        <v>8.1824799999999989E-2</v>
      </c>
      <c r="P27" s="154">
        <f>($D$10*$D$16)+($D$11*($D$19+($L$27*P24)))</f>
        <v>9.0074799999999997E-2</v>
      </c>
      <c r="Q27" s="151">
        <f>($D$10*$D$16)+($D$11*($D$19+($L$27*Q24)))</f>
        <v>9.832479999999999E-2</v>
      </c>
      <c r="R27" s="2"/>
      <c r="S27" s="2"/>
      <c r="T27" s="2"/>
      <c r="U27" s="2"/>
      <c r="V27" s="2"/>
      <c r="W27" s="2"/>
      <c r="X27" s="2"/>
      <c r="Y27" s="4"/>
      <c r="Z27" s="4"/>
    </row>
    <row r="28" spans="1:26" ht="12.75" customHeight="1">
      <c r="B28" s="155"/>
      <c r="C28" s="155"/>
      <c r="D28" s="155"/>
      <c r="K28" s="520"/>
      <c r="L28" s="146">
        <f>L27+0.0025</f>
        <v>5.7500000000000002E-2</v>
      </c>
      <c r="M28" s="149">
        <f>($D$10*$D$16)+($D$11*($D$19+($L$28*M24)))</f>
        <v>6.6267999999999994E-2</v>
      </c>
      <c r="N28" s="156">
        <f>($D$10*$D$16)+($D$11*($D$19+($L$28*N24)))</f>
        <v>7.4893000000000001E-2</v>
      </c>
      <c r="O28" s="157">
        <f>($D$10*$D$16)+($D$11*($D$19+($L$28*O24)))</f>
        <v>8.3517999999999995E-2</v>
      </c>
      <c r="P28" s="158">
        <f>($D$10*$D$16)+($D$11*($D$19+($L$28*P24)))</f>
        <v>9.2143000000000003E-2</v>
      </c>
      <c r="Q28" s="151">
        <f>($D$10*$D$16)+($D$11*($D$19+($L$28*Q24)))</f>
        <v>0.100768</v>
      </c>
      <c r="R28" s="2"/>
      <c r="S28" s="2"/>
      <c r="T28" s="2"/>
      <c r="U28" s="2"/>
      <c r="V28" s="2"/>
      <c r="W28" s="2"/>
      <c r="X28" s="2"/>
      <c r="Y28" s="4"/>
      <c r="Z28" s="4"/>
    </row>
    <row r="29" spans="1:26" ht="12.75" customHeight="1">
      <c r="K29" s="520"/>
      <c r="L29" s="146">
        <f>L28+0.0025</f>
        <v>6.0000000000000005E-2</v>
      </c>
      <c r="M29" s="149">
        <f>($D$10*$D$16)+($D$11*($D$19+($L$29*M24)))</f>
        <v>6.7211199999999985E-2</v>
      </c>
      <c r="N29" s="151">
        <f>($D$10*$D$16)+($D$11*($D$19+($L$29*N24)))</f>
        <v>7.6211199999999993E-2</v>
      </c>
      <c r="O29" s="151">
        <f>($D$10*$D$16)+($D$11*($D$19+($L$29*O24)))</f>
        <v>8.5211200000000001E-2</v>
      </c>
      <c r="P29" s="151">
        <f>($D$10*$D$16)+($D$11*($D$19+($L$29*P24)))</f>
        <v>9.4211199999999995E-2</v>
      </c>
      <c r="Q29" s="151">
        <f>($D$10*$D$16)+($D$11*($D$19+($L$29*Q24)))</f>
        <v>0.1032112</v>
      </c>
      <c r="R29" s="2"/>
      <c r="S29" s="2"/>
      <c r="T29" s="2"/>
      <c r="U29" s="2"/>
      <c r="V29" s="2"/>
      <c r="W29" s="2"/>
      <c r="X29" s="2"/>
      <c r="Y29" s="4"/>
      <c r="Z29" s="4"/>
    </row>
    <row r="30" spans="1:26" ht="12.75" customHeight="1"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"/>
      <c r="Z30" s="4"/>
    </row>
    <row r="31" spans="1:26" ht="12.75" customHeight="1"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K17:K21"/>
    <mergeCell ref="K25:K29"/>
  </mergeCells>
  <conditionalFormatting sqref="M17:Q17">
    <cfRule type="colorScale" priority="19">
      <colorScale>
        <cfvo type="min"/>
        <cfvo type="max"/>
        <color rgb="FFFCFCFF"/>
        <color rgb="FFF8696B"/>
      </colorScale>
    </cfRule>
    <cfRule type="colorScale" priority="20">
      <colorScale>
        <cfvo type="min"/>
        <cfvo type="max"/>
        <color rgb="FF0070C0"/>
        <color theme="0"/>
      </colorScale>
    </cfRule>
    <cfRule type="colorScale" priority="21">
      <colorScale>
        <cfvo type="min"/>
        <cfvo type="max"/>
        <color rgb="FF0C2D49"/>
        <color theme="0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:Q18">
    <cfRule type="colorScale" priority="15">
      <colorScale>
        <cfvo type="min"/>
        <cfvo type="max"/>
        <color rgb="FFFCFCFF"/>
        <color rgb="FFF8696B"/>
      </colorScale>
    </cfRule>
    <cfRule type="colorScale" priority="16">
      <colorScale>
        <cfvo type="min"/>
        <cfvo type="max"/>
        <color rgb="FF0070C0"/>
        <color theme="0"/>
      </colorScale>
    </cfRule>
    <cfRule type="colorScale" priority="17">
      <colorScale>
        <cfvo type="min"/>
        <cfvo type="max"/>
        <color rgb="FF0C2D49"/>
        <color theme="0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9:Q19">
    <cfRule type="colorScale" priority="23">
      <colorScale>
        <cfvo type="min"/>
        <cfvo type="max"/>
        <color rgb="FFFCFCFF"/>
        <color rgb="FFF8696B"/>
      </colorScale>
    </cfRule>
    <cfRule type="colorScale" priority="24">
      <colorScale>
        <cfvo type="min"/>
        <cfvo type="max"/>
        <color rgb="FF0070C0"/>
        <color theme="0"/>
      </colorScale>
    </cfRule>
    <cfRule type="colorScale" priority="25">
      <colorScale>
        <cfvo type="min"/>
        <cfvo type="max"/>
        <color rgb="FF0C2D49"/>
        <color theme="0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:Q20">
    <cfRule type="colorScale" priority="11">
      <colorScale>
        <cfvo type="min"/>
        <cfvo type="max"/>
        <color rgb="FFFCFCFF"/>
        <color rgb="FFF8696B"/>
      </colorScale>
    </cfRule>
    <cfRule type="colorScale" priority="12">
      <colorScale>
        <cfvo type="min"/>
        <cfvo type="max"/>
        <color rgb="FF0070C0"/>
        <color theme="0"/>
      </colorScale>
    </cfRule>
    <cfRule type="colorScale" priority="13">
      <colorScale>
        <cfvo type="min"/>
        <cfvo type="max"/>
        <color rgb="FF0C2D49"/>
        <color theme="0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Q21"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max"/>
        <color rgb="FF0070C0"/>
        <color theme="0"/>
      </colorScale>
    </cfRule>
    <cfRule type="colorScale" priority="9">
      <colorScale>
        <cfvo type="min"/>
        <cfvo type="max"/>
        <color rgb="FF0C2D49"/>
        <color theme="0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:Q29">
    <cfRule type="colorScale" priority="1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0070C0"/>
        <color theme="0"/>
      </colorScale>
    </cfRule>
    <cfRule type="colorScale" priority="5">
      <colorScale>
        <cfvo type="min"/>
        <cfvo type="max"/>
        <color rgb="FF0C2D49"/>
        <color theme="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Q21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0B6B-4D4E-4D2E-B770-F53F0C148A25}">
  <dimension ref="A1:X62"/>
  <sheetViews>
    <sheetView showGridLines="0" topLeftCell="A7" zoomScale="59" zoomScaleNormal="59" workbookViewId="0">
      <selection activeCell="F63" sqref="F63:F64"/>
    </sheetView>
  </sheetViews>
  <sheetFormatPr defaultColWidth="8.85546875" defaultRowHeight="15" customHeight="1"/>
  <cols>
    <col min="2" max="2" width="31.7109375" customWidth="1"/>
    <col min="4" max="4" width="9.28515625" bestFit="1" customWidth="1"/>
    <col min="10" max="13" width="9.28515625" bestFit="1" customWidth="1"/>
  </cols>
  <sheetData>
    <row r="1" spans="1:15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26.25">
      <c r="A2" s="1"/>
      <c r="B2" s="27" t="s">
        <v>166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5" ht="15.75">
      <c r="A3" s="1"/>
      <c r="B3" s="33" t="s">
        <v>9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5" ht="15.75">
      <c r="A4" s="1"/>
      <c r="B4" s="29" t="s">
        <v>10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5" ht="15.75">
      <c r="A5" s="1"/>
    </row>
    <row r="6" spans="1:15" ht="15.75">
      <c r="A6" s="1"/>
      <c r="B6" s="30" t="s">
        <v>167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5" ht="15.75">
      <c r="A7" s="1"/>
    </row>
    <row r="8" spans="1:15" ht="15.75">
      <c r="A8" s="1"/>
      <c r="B8" s="87" t="s">
        <v>108</v>
      </c>
      <c r="C8" s="32" t="s">
        <v>168</v>
      </c>
      <c r="D8" s="32" t="s">
        <v>169</v>
      </c>
      <c r="E8" s="32" t="s">
        <v>170</v>
      </c>
      <c r="F8" s="32" t="s">
        <v>171</v>
      </c>
      <c r="G8" s="32" t="s">
        <v>172</v>
      </c>
      <c r="H8" s="32" t="s">
        <v>173</v>
      </c>
      <c r="I8" s="32" t="s">
        <v>43</v>
      </c>
      <c r="J8" s="32" t="s">
        <v>44</v>
      </c>
      <c r="K8" s="32" t="s">
        <v>45</v>
      </c>
      <c r="L8" s="32" t="s">
        <v>46</v>
      </c>
      <c r="M8" s="32" t="s">
        <v>47</v>
      </c>
      <c r="N8" s="32" t="s">
        <v>48</v>
      </c>
    </row>
    <row r="9" spans="1:15" ht="15.75">
      <c r="A9" s="1"/>
    </row>
    <row r="10" spans="1:15" ht="15.75">
      <c r="A10" s="1"/>
      <c r="B10" s="34" t="s">
        <v>174</v>
      </c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5" ht="15.75">
      <c r="A11" s="1"/>
    </row>
    <row r="12" spans="1:15" ht="15.75">
      <c r="A12" s="1"/>
      <c r="B12" s="435" t="s">
        <v>175</v>
      </c>
      <c r="C12" s="474">
        <f>SUM(C15,C19,C23,C27,)</f>
        <v>5103</v>
      </c>
      <c r="D12" s="474">
        <f>SUM(D15,D19,D23,D27,)</f>
        <v>4799</v>
      </c>
      <c r="E12" s="474">
        <f>SUM(E15,E19,E23,E27,)</f>
        <v>5436.9999999999991</v>
      </c>
      <c r="F12" s="474">
        <f>SUM(F15,F19,F23,F27,)</f>
        <v>6585</v>
      </c>
      <c r="G12" s="474">
        <f>SUM(G15,G19,G23,G27,)</f>
        <v>7904</v>
      </c>
      <c r="H12" s="475">
        <f>SUM(H15,H19,H23,H27,)</f>
        <v>8831</v>
      </c>
      <c r="I12" s="474">
        <f>SUM(I15,I19,I23,I27,)</f>
        <v>10185.355</v>
      </c>
      <c r="J12" s="474">
        <f t="shared" ref="J12:M12" si="0">SUM(J15,J19,J23,J27,)</f>
        <v>11700.132024999999</v>
      </c>
      <c r="K12" s="474">
        <f t="shared" si="0"/>
        <v>12941.8809065</v>
      </c>
      <c r="L12" s="474">
        <f t="shared" si="0"/>
        <v>14680.709278345003</v>
      </c>
      <c r="M12" s="475">
        <f t="shared" si="0"/>
        <v>16567.707737838129</v>
      </c>
      <c r="N12" s="65">
        <f t="shared" ref="N12" si="1">SUM(N15,N19,N23,N27,)</f>
        <v>18729.365556480392</v>
      </c>
    </row>
    <row r="13" spans="1:15" ht="15.75">
      <c r="A13" s="1"/>
      <c r="B13" s="66" t="s">
        <v>176</v>
      </c>
      <c r="C13" s="39"/>
      <c r="D13" s="472">
        <f>(D12-C12)/C12</f>
        <v>-5.9572800313541056E-2</v>
      </c>
      <c r="E13" s="472">
        <f t="shared" ref="E13:M13" si="2">(E12-D12)/D12</f>
        <v>0.13294436340904336</v>
      </c>
      <c r="F13" s="472">
        <f>(F12-E12)/E12</f>
        <v>0.2111458524921834</v>
      </c>
      <c r="G13" s="472">
        <f t="shared" si="2"/>
        <v>0.20030372057706911</v>
      </c>
      <c r="H13" s="42">
        <f t="shared" si="2"/>
        <v>0.1172823886639676</v>
      </c>
      <c r="I13" s="472">
        <f>(I12-H12)/H12</f>
        <v>0.15336371871815191</v>
      </c>
      <c r="J13" s="472">
        <f t="shared" si="2"/>
        <v>0.14872108286849103</v>
      </c>
      <c r="K13" s="472">
        <f t="shared" si="2"/>
        <v>0.10613118542993549</v>
      </c>
      <c r="L13" s="472">
        <f t="shared" si="2"/>
        <v>0.13435669702165806</v>
      </c>
      <c r="M13" s="42">
        <f t="shared" si="2"/>
        <v>0.12853591905648398</v>
      </c>
      <c r="N13" s="42">
        <f t="shared" ref="N13" si="3">(N12-M12)/M12</f>
        <v>0.13047416412986118</v>
      </c>
    </row>
    <row r="14" spans="1:15" ht="15.75">
      <c r="A14" s="1"/>
      <c r="B14" s="68"/>
      <c r="H14" s="40"/>
      <c r="M14" s="40"/>
      <c r="N14" s="40"/>
    </row>
    <row r="15" spans="1:15" ht="15.75">
      <c r="A15" s="1"/>
      <c r="B15" s="436" t="s">
        <v>177</v>
      </c>
      <c r="C15" s="478">
        <v>1406</v>
      </c>
      <c r="D15" s="478">
        <v>1151.76</v>
      </c>
      <c r="E15" s="478">
        <v>1304.8800000000001</v>
      </c>
      <c r="F15" s="478">
        <v>1685</v>
      </c>
      <c r="G15" s="478">
        <v>2107</v>
      </c>
      <c r="H15" s="479">
        <v>2106</v>
      </c>
      <c r="I15" s="476">
        <f>H15*(1+I16)</f>
        <v>2316.6000000000004</v>
      </c>
      <c r="J15" s="476">
        <f t="shared" ref="J15:M15" si="4">I15*(1+J16)</f>
        <v>2501.9280000000003</v>
      </c>
      <c r="K15" s="476">
        <f t="shared" si="4"/>
        <v>2677.0629600000007</v>
      </c>
      <c r="L15" s="476">
        <f t="shared" si="4"/>
        <v>2837.6867376000009</v>
      </c>
      <c r="M15" s="477">
        <f t="shared" si="4"/>
        <v>2979.5710744800012</v>
      </c>
      <c r="N15" s="41">
        <f t="shared" ref="J15:N15" si="5">M15*(1+N16)</f>
        <v>3128.5496282040012</v>
      </c>
    </row>
    <row r="16" spans="1:15" ht="15.75">
      <c r="A16" s="1"/>
      <c r="B16" s="66" t="s">
        <v>176</v>
      </c>
      <c r="C16" s="373"/>
      <c r="D16" s="473">
        <f>(D15-C15)/C15</f>
        <v>-0.18082503556187768</v>
      </c>
      <c r="E16" s="473">
        <f>(E15-D15)/D15</f>
        <v>0.13294436340904364</v>
      </c>
      <c r="F16" s="473">
        <f>(F15-E15)/E15</f>
        <v>0.29130648028937517</v>
      </c>
      <c r="G16" s="473">
        <f>(G15-F15)/F15</f>
        <v>0.25044510385756674</v>
      </c>
      <c r="H16" s="374">
        <f>(H15-G15)/G15</f>
        <v>-4.7460844803037496E-4</v>
      </c>
      <c r="I16" s="382">
        <f>'Revenue Assumptions'!G9</f>
        <v>0.1</v>
      </c>
      <c r="J16" s="382">
        <f>'Revenue Assumptions'!H9</f>
        <v>0.08</v>
      </c>
      <c r="K16" s="382">
        <f>'Revenue Assumptions'!I9</f>
        <v>7.0000000000000007E-2</v>
      </c>
      <c r="L16" s="382">
        <f>'Revenue Assumptions'!J9</f>
        <v>0.06</v>
      </c>
      <c r="M16" s="367">
        <f>'Revenue Assumptions'!K9</f>
        <v>0.05</v>
      </c>
      <c r="N16" s="367">
        <f>'Revenue Assumptions'!K9</f>
        <v>0.05</v>
      </c>
      <c r="O16" s="327"/>
    </row>
    <row r="17" spans="1:15" ht="15.75">
      <c r="A17" s="1"/>
      <c r="B17" s="66" t="s">
        <v>178</v>
      </c>
      <c r="C17" s="473">
        <f>C15/C$12</f>
        <v>0.27552420145012735</v>
      </c>
      <c r="D17" s="473">
        <f>D15/D$12</f>
        <v>0.24</v>
      </c>
      <c r="E17" s="473">
        <f>E15/E$12</f>
        <v>0.24000000000000005</v>
      </c>
      <c r="F17" s="473">
        <f>F15/F$12</f>
        <v>0.25588458618071375</v>
      </c>
      <c r="G17" s="473">
        <f>G15/G$12</f>
        <v>0.26657388663967613</v>
      </c>
      <c r="H17" s="374">
        <f>H15/H$12</f>
        <v>0.23847808855169289</v>
      </c>
      <c r="I17" s="472">
        <f t="shared" ref="I17:M17" si="6">I15/I$12</f>
        <v>0.22744420788475223</v>
      </c>
      <c r="J17" s="472">
        <f t="shared" si="6"/>
        <v>0.21383758701645939</v>
      </c>
      <c r="K17" s="472">
        <f t="shared" si="6"/>
        <v>0.20685269624567926</v>
      </c>
      <c r="L17" s="472">
        <f t="shared" si="6"/>
        <v>0.19329357211546808</v>
      </c>
      <c r="M17" s="42">
        <f t="shared" si="6"/>
        <v>0.17984208326388529</v>
      </c>
      <c r="N17" s="42">
        <f t="shared" ref="I17:N17" si="7">N15/N$12</f>
        <v>0.16703980809011001</v>
      </c>
    </row>
    <row r="18" spans="1:15" ht="15.75">
      <c r="A18" s="1"/>
      <c r="B18" s="66"/>
      <c r="C18" s="327"/>
      <c r="D18" s="327"/>
      <c r="E18" s="327"/>
      <c r="F18" s="327"/>
      <c r="G18" s="327"/>
      <c r="H18" s="375"/>
      <c r="M18" s="40"/>
      <c r="N18" s="40"/>
    </row>
    <row r="19" spans="1:15" ht="15.75">
      <c r="A19" s="1"/>
      <c r="B19" s="436" t="s">
        <v>179</v>
      </c>
      <c r="C19" s="478">
        <v>1362</v>
      </c>
      <c r="D19" s="478">
        <v>1343.72</v>
      </c>
      <c r="E19" s="478">
        <v>1848.58</v>
      </c>
      <c r="F19" s="478">
        <v>2186</v>
      </c>
      <c r="G19" s="478">
        <v>2461</v>
      </c>
      <c r="H19" s="479">
        <v>2804</v>
      </c>
      <c r="I19" s="476">
        <f>H19*(1+I20)</f>
        <v>3364.7999999999997</v>
      </c>
      <c r="J19" s="476">
        <f t="shared" ref="J19:M19" si="8">I19*(1+J20)</f>
        <v>4020.9359999999997</v>
      </c>
      <c r="K19" s="476">
        <f t="shared" si="8"/>
        <v>4784.9138399999993</v>
      </c>
      <c r="L19" s="476">
        <f t="shared" si="8"/>
        <v>5670.1229003999997</v>
      </c>
      <c r="M19" s="477">
        <f t="shared" si="8"/>
        <v>6662.3944079699995</v>
      </c>
      <c r="N19" s="41">
        <f t="shared" ref="N19" si="9">M19*(1+N20)</f>
        <v>7828.3134293647499</v>
      </c>
    </row>
    <row r="20" spans="1:15" ht="15.75">
      <c r="A20" s="1"/>
      <c r="B20" s="66" t="s">
        <v>176</v>
      </c>
      <c r="C20" s="373"/>
      <c r="D20" s="473">
        <f>(D19-C19)/C19</f>
        <v>-1.342143906020556E-2</v>
      </c>
      <c r="E20" s="473">
        <f t="shared" ref="E20:H20" si="10">(E19-D19)/D19</f>
        <v>0.37571815556812421</v>
      </c>
      <c r="F20" s="473">
        <f t="shared" si="10"/>
        <v>0.18252929275443858</v>
      </c>
      <c r="G20" s="473">
        <f t="shared" si="10"/>
        <v>0.12580054894784995</v>
      </c>
      <c r="H20" s="374">
        <f>(H19-G19)/G19</f>
        <v>0.13937423811458757</v>
      </c>
      <c r="I20" s="382">
        <f>'Revenue Assumptions'!G14</f>
        <v>0.2</v>
      </c>
      <c r="J20" s="382">
        <f>'Revenue Assumptions'!H14</f>
        <v>0.19500000000000001</v>
      </c>
      <c r="K20" s="382">
        <f>'Revenue Assumptions'!I14</f>
        <v>0.19</v>
      </c>
      <c r="L20" s="382">
        <f>'Revenue Assumptions'!J14</f>
        <v>0.185</v>
      </c>
      <c r="M20" s="367">
        <f>'Revenue Assumptions'!K14</f>
        <v>0.17499999999999999</v>
      </c>
      <c r="N20" s="367">
        <f>'Revenue Assumptions'!K14</f>
        <v>0.17499999999999999</v>
      </c>
      <c r="O20" s="327"/>
    </row>
    <row r="21" spans="1:15" ht="15.75">
      <c r="A21" s="1"/>
      <c r="B21" s="66" t="s">
        <v>178</v>
      </c>
      <c r="C21" s="473">
        <f>C19/C$12</f>
        <v>0.26690182245737804</v>
      </c>
      <c r="D21" s="473">
        <f t="shared" ref="D21:M21" si="11">D19/D$12</f>
        <v>0.28000000000000003</v>
      </c>
      <c r="E21" s="473">
        <f t="shared" si="11"/>
        <v>0.34</v>
      </c>
      <c r="F21" s="473">
        <f t="shared" si="11"/>
        <v>0.3319665907365224</v>
      </c>
      <c r="G21" s="473">
        <f t="shared" si="11"/>
        <v>0.31136133603238869</v>
      </c>
      <c r="H21" s="374">
        <f t="shared" si="11"/>
        <v>0.31751783489978486</v>
      </c>
      <c r="I21" s="472">
        <f>I19/I$12</f>
        <v>0.33035667387145562</v>
      </c>
      <c r="J21" s="472">
        <f t="shared" si="11"/>
        <v>0.34366586559949525</v>
      </c>
      <c r="K21" s="472">
        <f t="shared" si="11"/>
        <v>0.36972321678503456</v>
      </c>
      <c r="L21" s="472">
        <f t="shared" si="11"/>
        <v>0.38622949292809705</v>
      </c>
      <c r="M21" s="42">
        <f t="shared" si="11"/>
        <v>0.40213133363972264</v>
      </c>
      <c r="N21" s="42">
        <f t="shared" ref="I21:N21" si="12">N19/N$12</f>
        <v>0.41797002710837367</v>
      </c>
    </row>
    <row r="22" spans="1:15" ht="15.75">
      <c r="A22" s="1"/>
      <c r="B22" s="68"/>
      <c r="C22" s="327"/>
      <c r="D22" s="327"/>
      <c r="E22" s="327"/>
      <c r="F22" s="327"/>
      <c r="G22" s="327"/>
      <c r="H22" s="375"/>
      <c r="M22" s="40"/>
      <c r="N22" s="40"/>
    </row>
    <row r="23" spans="1:15" ht="15.75">
      <c r="A23" s="1"/>
      <c r="B23" s="436" t="s">
        <v>180</v>
      </c>
      <c r="C23" s="478">
        <v>2180</v>
      </c>
      <c r="D23" s="478">
        <v>2111.56</v>
      </c>
      <c r="E23" s="478">
        <v>2120.4299999999998</v>
      </c>
      <c r="F23" s="478">
        <v>2562</v>
      </c>
      <c r="G23" s="478">
        <v>3176</v>
      </c>
      <c r="H23" s="479">
        <v>3761</v>
      </c>
      <c r="I23" s="476">
        <f>H23*(1+I24)</f>
        <v>4343.9549999999999</v>
      </c>
      <c r="J23" s="476">
        <f t="shared" ref="J23:M23" si="13">I23*(1+J24)</f>
        <v>5017.2680250000003</v>
      </c>
      <c r="K23" s="476">
        <f t="shared" si="13"/>
        <v>5318.3041065000007</v>
      </c>
      <c r="L23" s="476">
        <f t="shared" si="13"/>
        <v>6009.6836403450006</v>
      </c>
      <c r="M23" s="477">
        <f>L23*(1+M24)</f>
        <v>6760.8940953881256</v>
      </c>
      <c r="N23" s="41">
        <f>M23*(1+N24)</f>
        <v>7606.0058573116412</v>
      </c>
    </row>
    <row r="24" spans="1:15" ht="15.75">
      <c r="A24" s="1"/>
      <c r="B24" s="66" t="s">
        <v>176</v>
      </c>
      <c r="C24" s="373"/>
      <c r="D24" s="473">
        <f>(D23-C23)/C23</f>
        <v>-3.1394495412844059E-2</v>
      </c>
      <c r="E24" s="473">
        <f t="shared" ref="E24:H24" si="14">(E23-D23)/D23</f>
        <v>4.2006857489249143E-3</v>
      </c>
      <c r="F24" s="473">
        <f t="shared" si="14"/>
        <v>0.20824549737553241</v>
      </c>
      <c r="G24" s="473">
        <f t="shared" si="14"/>
        <v>0.23965651834504292</v>
      </c>
      <c r="H24" s="374">
        <f t="shared" si="14"/>
        <v>0.18419395465994962</v>
      </c>
      <c r="I24" s="382">
        <f>'Revenue Assumptions'!G19</f>
        <v>0.155</v>
      </c>
      <c r="J24" s="382">
        <f>'Revenue Assumptions'!H19</f>
        <v>0.155</v>
      </c>
      <c r="K24" s="382">
        <f>'Revenue Assumptions'!I19</f>
        <v>0.06</v>
      </c>
      <c r="L24" s="382">
        <f>'Revenue Assumptions'!J19</f>
        <v>0.13</v>
      </c>
      <c r="M24" s="367">
        <f>'Revenue Assumptions'!K19</f>
        <v>0.125</v>
      </c>
      <c r="N24" s="367">
        <f>'Revenue Assumptions'!K19</f>
        <v>0.125</v>
      </c>
      <c r="O24" s="327"/>
    </row>
    <row r="25" spans="1:15" ht="15.75">
      <c r="A25" s="1"/>
      <c r="B25" s="66" t="s">
        <v>178</v>
      </c>
      <c r="C25" s="473">
        <f>C23/C$12</f>
        <v>0.42719968645894574</v>
      </c>
      <c r="D25" s="473">
        <f t="shared" ref="D25:M25" si="15">D23/D$12</f>
        <v>0.44</v>
      </c>
      <c r="E25" s="473">
        <f t="shared" si="15"/>
        <v>0.39</v>
      </c>
      <c r="F25" s="473">
        <f t="shared" si="15"/>
        <v>0.38906605922551252</v>
      </c>
      <c r="G25" s="473">
        <f t="shared" si="15"/>
        <v>0.40182186234817813</v>
      </c>
      <c r="H25" s="374">
        <f t="shared" si="15"/>
        <v>0.42588608311629489</v>
      </c>
      <c r="I25" s="472">
        <f t="shared" si="15"/>
        <v>0.42649028924372301</v>
      </c>
      <c r="J25" s="472">
        <f t="shared" si="15"/>
        <v>0.42882148802077308</v>
      </c>
      <c r="K25" s="472">
        <f t="shared" si="15"/>
        <v>0.41093749393327417</v>
      </c>
      <c r="L25" s="472">
        <f t="shared" si="15"/>
        <v>0.40935921598894909</v>
      </c>
      <c r="M25" s="42">
        <f t="shared" si="15"/>
        <v>0.40807661520653637</v>
      </c>
      <c r="N25" s="42">
        <f t="shared" ref="I25:N25" si="16">N23/N$12</f>
        <v>0.40610056087457541</v>
      </c>
    </row>
    <row r="26" spans="1:15" ht="15.75">
      <c r="A26" s="1"/>
      <c r="B26" s="68"/>
      <c r="C26" s="327"/>
      <c r="D26" s="327"/>
      <c r="E26" s="327"/>
      <c r="F26" s="327"/>
      <c r="G26" s="327"/>
      <c r="H26" s="375"/>
      <c r="M26" s="40"/>
      <c r="N26" s="40"/>
    </row>
    <row r="27" spans="1:15" ht="15.75">
      <c r="A27" s="26"/>
      <c r="B27" s="436" t="s">
        <v>181</v>
      </c>
      <c r="C27" s="478">
        <v>155</v>
      </c>
      <c r="D27" s="478">
        <v>191.96</v>
      </c>
      <c r="E27" s="478">
        <v>163.11000000000001</v>
      </c>
      <c r="F27" s="478">
        <v>152</v>
      </c>
      <c r="G27" s="478">
        <v>160</v>
      </c>
      <c r="H27" s="479">
        <v>160</v>
      </c>
      <c r="I27" s="476">
        <f>H27*(1+I28)</f>
        <v>160</v>
      </c>
      <c r="J27" s="476">
        <f t="shared" ref="J27:M27" si="17">I27*(1+J28)</f>
        <v>160</v>
      </c>
      <c r="K27" s="476">
        <f t="shared" si="17"/>
        <v>161.6</v>
      </c>
      <c r="L27" s="476">
        <f t="shared" si="17"/>
        <v>163.21600000000001</v>
      </c>
      <c r="M27" s="477">
        <f t="shared" si="17"/>
        <v>164.84816000000001</v>
      </c>
      <c r="N27" s="41">
        <f t="shared" ref="N27" si="18">M27*(1+N28)</f>
        <v>166.4966416</v>
      </c>
    </row>
    <row r="28" spans="1:15" ht="15.75">
      <c r="A28" s="26"/>
      <c r="B28" s="66" t="s">
        <v>176</v>
      </c>
      <c r="C28" s="39"/>
      <c r="D28" s="472">
        <f>(D27-C27)/C27</f>
        <v>0.23845161290322586</v>
      </c>
      <c r="E28" s="472">
        <f t="shared" ref="E28:H28" si="19">(E27-D27)/D27</f>
        <v>-0.15029172744321731</v>
      </c>
      <c r="F28" s="472">
        <f t="shared" si="19"/>
        <v>-6.8113543007786229E-2</v>
      </c>
      <c r="G28" s="472">
        <f t="shared" si="19"/>
        <v>5.2631578947368418E-2</v>
      </c>
      <c r="H28" s="42">
        <f t="shared" si="19"/>
        <v>0</v>
      </c>
      <c r="I28" s="382">
        <f>'Revenue Assumptions'!G24</f>
        <v>0</v>
      </c>
      <c r="J28" s="382">
        <f>'Revenue Assumptions'!H24</f>
        <v>0</v>
      </c>
      <c r="K28" s="382">
        <f>'Revenue Assumptions'!I24</f>
        <v>0.01</v>
      </c>
      <c r="L28" s="382">
        <f>'Revenue Assumptions'!J24</f>
        <v>0.01</v>
      </c>
      <c r="M28" s="367">
        <f>'Revenue Assumptions'!K24</f>
        <v>0.01</v>
      </c>
      <c r="N28" s="367">
        <f>'Revenue Assumptions'!K24</f>
        <v>0.01</v>
      </c>
      <c r="O28" s="327"/>
    </row>
    <row r="29" spans="1:15" ht="15.75">
      <c r="A29" s="26"/>
      <c r="B29" s="469" t="s">
        <v>178</v>
      </c>
      <c r="C29" s="470">
        <f>C27/C$12</f>
        <v>3.0374289633548893E-2</v>
      </c>
      <c r="D29" s="470">
        <f t="shared" ref="D29:M29" si="20">D27/D$12</f>
        <v>0.04</v>
      </c>
      <c r="E29" s="470">
        <f t="shared" si="20"/>
        <v>3.0000000000000006E-2</v>
      </c>
      <c r="F29" s="470">
        <f t="shared" si="20"/>
        <v>2.3082763857251328E-2</v>
      </c>
      <c r="G29" s="470">
        <f t="shared" si="20"/>
        <v>2.0242914979757085E-2</v>
      </c>
      <c r="H29" s="471">
        <f t="shared" si="20"/>
        <v>1.8117993432227381E-2</v>
      </c>
      <c r="I29" s="470">
        <f t="shared" si="20"/>
        <v>1.5708829000069216E-2</v>
      </c>
      <c r="J29" s="470">
        <f t="shared" si="20"/>
        <v>1.3675059363272443E-2</v>
      </c>
      <c r="K29" s="470">
        <f t="shared" si="20"/>
        <v>1.2486593036012033E-2</v>
      </c>
      <c r="L29" s="470">
        <f t="shared" si="20"/>
        <v>1.1117718967485733E-2</v>
      </c>
      <c r="M29" s="471">
        <f t="shared" si="20"/>
        <v>9.9499678898555075E-3</v>
      </c>
      <c r="N29" s="471">
        <f t="shared" ref="J29:N29" si="21">N27/N$12</f>
        <v>8.889603926940914E-3</v>
      </c>
    </row>
    <row r="30" spans="1:15" ht="15.75">
      <c r="A30" s="2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5" ht="15.75">
      <c r="A31" s="26"/>
    </row>
    <row r="32" spans="1:15" ht="15.75">
      <c r="A32" s="26"/>
      <c r="B32" s="327"/>
      <c r="C32" s="372"/>
      <c r="D32" s="372"/>
      <c r="E32" s="372"/>
      <c r="F32" s="372"/>
      <c r="G32" s="372"/>
      <c r="H32" s="372"/>
      <c r="I32" s="17"/>
      <c r="J32" s="17"/>
      <c r="K32" s="327"/>
      <c r="L32" s="372"/>
      <c r="M32" s="372"/>
      <c r="N32" s="372"/>
    </row>
    <row r="33" spans="1:24" ht="15.75">
      <c r="A33" s="26"/>
    </row>
    <row r="34" spans="1:24" ht="15.75">
      <c r="A34" s="2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9"/>
    </row>
    <row r="35" spans="1:24" ht="15.75">
      <c r="A35" s="26"/>
      <c r="B35" s="327"/>
      <c r="C35" s="372"/>
      <c r="D35" s="372"/>
      <c r="E35" s="372"/>
      <c r="F35" s="372"/>
      <c r="G35" s="372"/>
      <c r="H35" s="372"/>
      <c r="I35" s="17"/>
      <c r="J35" s="17"/>
      <c r="K35" s="17"/>
      <c r="L35" s="17"/>
    </row>
    <row r="36" spans="1:24" ht="15.75">
      <c r="A36" s="1"/>
      <c r="B36" s="327"/>
      <c r="C36" s="372"/>
      <c r="D36" s="372"/>
      <c r="E36" s="372"/>
      <c r="F36" s="372"/>
      <c r="G36" s="372"/>
      <c r="H36" s="372"/>
      <c r="I36" s="17"/>
      <c r="J36" s="17"/>
      <c r="K36" s="17"/>
      <c r="L36" s="19"/>
      <c r="M36" s="17"/>
      <c r="N36" s="17"/>
      <c r="O36" s="17"/>
    </row>
    <row r="37" spans="1:24" ht="15.75">
      <c r="A37" s="1"/>
      <c r="B37" s="327"/>
      <c r="C37" s="372"/>
      <c r="D37" s="372"/>
      <c r="E37" s="372"/>
      <c r="F37" s="372"/>
      <c r="G37" s="372"/>
      <c r="H37" s="372"/>
      <c r="I37" s="17"/>
      <c r="J37" s="17"/>
      <c r="K37" s="17"/>
      <c r="L37" s="17"/>
      <c r="M37" s="17"/>
      <c r="N37" s="17"/>
      <c r="O37" s="17"/>
    </row>
    <row r="38" spans="1:24" ht="15.75">
      <c r="A38" s="1"/>
      <c r="B38" s="327"/>
      <c r="C38" s="372"/>
      <c r="D38" s="372"/>
      <c r="E38" s="372"/>
      <c r="F38" s="372"/>
      <c r="G38" s="372"/>
      <c r="H38" s="372"/>
      <c r="I38" s="17"/>
      <c r="J38" s="17"/>
      <c r="K38" s="17"/>
      <c r="L38" s="19"/>
      <c r="M38" s="17"/>
      <c r="N38" s="17"/>
      <c r="O38" s="17"/>
    </row>
    <row r="39" spans="1:24" ht="15.75">
      <c r="A39" s="1"/>
      <c r="C39" s="38"/>
      <c r="D39" s="38"/>
      <c r="E39" s="38"/>
      <c r="F39" s="38"/>
      <c r="G39" s="38"/>
      <c r="H39" s="38"/>
      <c r="I39" s="17"/>
      <c r="J39" s="17"/>
      <c r="K39" s="17"/>
      <c r="L39" s="17"/>
      <c r="M39" s="17"/>
      <c r="N39" s="17"/>
      <c r="O39" s="17"/>
    </row>
    <row r="40" spans="1:24" ht="15.75">
      <c r="A40" s="1"/>
      <c r="B40" s="1"/>
      <c r="C40" s="1"/>
      <c r="D40" s="1"/>
      <c r="E40" s="1"/>
      <c r="F40" s="1"/>
      <c r="G40" s="1"/>
      <c r="H40" s="1"/>
      <c r="I40" s="1"/>
      <c r="J40" s="17"/>
      <c r="K40" s="17"/>
      <c r="L40" s="19"/>
      <c r="M40" s="17"/>
      <c r="N40" s="17"/>
      <c r="O40" s="17"/>
    </row>
    <row r="41" spans="1:24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24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>
      <c r="A52" s="1"/>
      <c r="B52" s="1"/>
      <c r="C52" s="1"/>
      <c r="D52" s="1"/>
      <c r="E52" s="1"/>
      <c r="F52" s="1"/>
      <c r="G52" s="1"/>
      <c r="H52" s="1"/>
      <c r="I52" s="1"/>
    </row>
    <row r="53" spans="1:24" ht="15.75">
      <c r="A53" s="1"/>
      <c r="B53" s="1"/>
      <c r="C53" s="1"/>
      <c r="D53" s="1"/>
      <c r="E53" s="1"/>
      <c r="F53" s="1"/>
      <c r="G53" s="1"/>
      <c r="H53" s="1"/>
      <c r="I53" s="1"/>
    </row>
    <row r="54" spans="1:24" ht="15.75">
      <c r="A54" s="1"/>
      <c r="B54" s="1"/>
      <c r="C54" s="1"/>
      <c r="D54" s="1"/>
      <c r="E54" s="1"/>
      <c r="F54" s="1"/>
      <c r="G54" s="1"/>
      <c r="H54" s="1"/>
      <c r="I54" s="1"/>
    </row>
    <row r="55" spans="1:24" ht="15.75">
      <c r="A55" s="1"/>
      <c r="B55" s="1"/>
      <c r="C55" s="1"/>
      <c r="D55" s="1"/>
      <c r="E55" s="1"/>
      <c r="F55" s="1"/>
      <c r="G55" s="1"/>
      <c r="H55" s="1"/>
      <c r="I55" s="1"/>
    </row>
    <row r="56" spans="1:24" ht="15.75">
      <c r="A56" s="1"/>
      <c r="B56" s="1"/>
      <c r="C56" s="1"/>
      <c r="D56" s="1"/>
      <c r="E56" s="1"/>
      <c r="F56" s="1"/>
      <c r="G56" s="1"/>
      <c r="H56" s="1"/>
      <c r="I56" s="1"/>
    </row>
    <row r="57" spans="1:24" ht="15.75">
      <c r="A57" s="1"/>
      <c r="B57" s="1"/>
      <c r="C57" s="1"/>
      <c r="D57" s="1"/>
      <c r="E57" s="1"/>
      <c r="F57" s="1"/>
      <c r="G57" s="1"/>
      <c r="H57" s="1"/>
      <c r="I57" s="1"/>
    </row>
    <row r="58" spans="1:24" ht="15.75">
      <c r="A58" s="1"/>
      <c r="B58" s="1"/>
      <c r="C58" s="1"/>
      <c r="D58" s="1"/>
      <c r="E58" s="1"/>
      <c r="F58" s="1"/>
      <c r="G58" s="1"/>
      <c r="H58" s="1"/>
      <c r="I58" s="1"/>
    </row>
    <row r="59" spans="1:24" ht="15.75">
      <c r="A59" s="1"/>
      <c r="B59" s="1"/>
      <c r="C59" s="1"/>
      <c r="D59" s="1"/>
      <c r="E59" s="1"/>
      <c r="F59" s="1"/>
      <c r="G59" s="1"/>
      <c r="H59" s="1"/>
      <c r="I59" s="1"/>
    </row>
    <row r="60" spans="1:24" ht="15.75">
      <c r="A60" s="1"/>
      <c r="B60" s="1"/>
      <c r="C60" s="1"/>
      <c r="D60" s="1"/>
      <c r="E60" s="1"/>
      <c r="F60" s="1"/>
      <c r="G60" s="1"/>
      <c r="H60" s="1"/>
      <c r="I60" s="1"/>
    </row>
    <row r="61" spans="1:24"/>
    <row r="62" spans="1:24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6A3D-C936-4606-B574-1A025084354E}">
  <dimension ref="A1:X61"/>
  <sheetViews>
    <sheetView showGridLines="0" topLeftCell="B6" zoomScale="70" zoomScaleNormal="59" workbookViewId="0">
      <selection activeCell="AC56" sqref="AC56"/>
    </sheetView>
  </sheetViews>
  <sheetFormatPr defaultColWidth="8.85546875" defaultRowHeight="15" customHeight="1"/>
  <cols>
    <col min="2" max="2" width="31.7109375" customWidth="1"/>
    <col min="3" max="3" width="17.28515625" customWidth="1"/>
    <col min="4" max="4" width="16.7109375" customWidth="1"/>
    <col min="5" max="5" width="15.7109375" customWidth="1"/>
  </cols>
  <sheetData>
    <row r="1" spans="1:17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7" ht="26.25">
      <c r="A2" s="1"/>
      <c r="B2" s="27" t="s">
        <v>166</v>
      </c>
      <c r="C2" s="27"/>
      <c r="D2" s="28"/>
      <c r="E2" s="28"/>
      <c r="F2" s="28"/>
      <c r="G2" s="28"/>
      <c r="H2" s="28"/>
      <c r="I2" s="28"/>
      <c r="J2" s="28"/>
      <c r="K2" s="28"/>
      <c r="L2" s="24"/>
      <c r="M2" s="24"/>
      <c r="N2" s="24"/>
      <c r="O2" s="24"/>
    </row>
    <row r="3" spans="1:17" ht="15.75">
      <c r="A3" s="1"/>
      <c r="B3" s="33" t="s">
        <v>182</v>
      </c>
      <c r="C3" s="33"/>
      <c r="D3" s="28"/>
      <c r="E3" s="28"/>
      <c r="F3" s="28"/>
      <c r="G3" s="28"/>
      <c r="H3" s="28"/>
      <c r="I3" s="28"/>
      <c r="J3" s="28"/>
      <c r="K3" s="28"/>
      <c r="L3" s="24"/>
      <c r="M3" s="24"/>
      <c r="N3" s="24"/>
      <c r="O3" s="24"/>
    </row>
    <row r="4" spans="1:17" ht="15.75">
      <c r="A4" s="1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ht="15.75">
      <c r="A5" s="1"/>
      <c r="B5" s="87"/>
      <c r="C5" s="87" t="s">
        <v>183</v>
      </c>
      <c r="D5" s="480" t="s">
        <v>184</v>
      </c>
      <c r="E5" s="480" t="s">
        <v>184</v>
      </c>
      <c r="F5" s="217" t="s">
        <v>43</v>
      </c>
      <c r="G5" s="217" t="s">
        <v>44</v>
      </c>
      <c r="H5" s="217" t="s">
        <v>45</v>
      </c>
      <c r="I5" s="217" t="s">
        <v>46</v>
      </c>
      <c r="J5" s="217" t="s">
        <v>47</v>
      </c>
      <c r="K5" s="217" t="s">
        <v>48</v>
      </c>
      <c r="O5" s="24"/>
      <c r="P5" s="24"/>
      <c r="Q5" s="24"/>
    </row>
    <row r="6" spans="1:17" ht="15.75">
      <c r="A6" s="1"/>
      <c r="B6" s="24"/>
      <c r="C6" s="24"/>
      <c r="D6" s="24"/>
      <c r="E6" s="24"/>
      <c r="F6" s="24"/>
      <c r="G6" s="24"/>
      <c r="H6" s="24"/>
      <c r="I6" s="24"/>
      <c r="J6" s="24"/>
      <c r="K6" s="24"/>
      <c r="O6" s="24"/>
      <c r="P6" s="24"/>
      <c r="Q6" s="24"/>
    </row>
    <row r="7" spans="1:17" ht="15.75">
      <c r="A7" s="1"/>
      <c r="B7" s="34" t="s">
        <v>185</v>
      </c>
      <c r="C7" s="34"/>
      <c r="D7" s="181"/>
      <c r="E7" s="181"/>
      <c r="F7" s="182"/>
      <c r="G7" s="182"/>
      <c r="H7" s="182"/>
      <c r="I7" s="182"/>
      <c r="J7" s="182"/>
      <c r="K7" s="182"/>
      <c r="O7" s="24"/>
      <c r="P7" s="24"/>
      <c r="Q7" s="24"/>
    </row>
    <row r="8" spans="1:17" ht="15.75">
      <c r="A8" s="1"/>
      <c r="B8" s="24"/>
      <c r="C8" s="24"/>
      <c r="D8" s="24"/>
      <c r="E8" s="24"/>
      <c r="F8" s="24"/>
      <c r="G8" s="24"/>
      <c r="H8" s="24"/>
      <c r="I8" s="24"/>
      <c r="J8" s="24"/>
      <c r="K8" s="24"/>
      <c r="O8" s="24"/>
      <c r="P8" s="24"/>
      <c r="Q8" s="24"/>
    </row>
    <row r="9" spans="1:17" ht="15.75">
      <c r="A9" s="1"/>
      <c r="B9" s="83" t="s">
        <v>177</v>
      </c>
      <c r="C9" s="83"/>
      <c r="D9" s="84"/>
      <c r="E9" s="84"/>
      <c r="F9" s="365">
        <f>CHOOSE(Cover!$F$9, F10,F11,F12)</f>
        <v>0.12</v>
      </c>
      <c r="G9" s="365">
        <f>CHOOSE(Cover!$F$9, G10,G11,G12)</f>
        <v>0.1</v>
      </c>
      <c r="H9" s="365">
        <f>CHOOSE(Cover!$F$9, H10,H11,H12)</f>
        <v>0.08</v>
      </c>
      <c r="I9" s="365">
        <f>CHOOSE(Cover!$F$9, I10,I11,I12)</f>
        <v>7.0000000000000007E-2</v>
      </c>
      <c r="J9" s="365">
        <f>CHOOSE(Cover!$F$9, J10,J11,J12)</f>
        <v>0.06</v>
      </c>
      <c r="K9" s="365">
        <f>CHOOSE(Cover!$F$9, K10,K11,K12)</f>
        <v>0.05</v>
      </c>
      <c r="O9" s="24"/>
      <c r="P9" s="24"/>
      <c r="Q9" s="24"/>
    </row>
    <row r="10" spans="1:17" ht="15.75">
      <c r="A10" s="1"/>
      <c r="B10" s="81" t="s">
        <v>186</v>
      </c>
      <c r="C10" s="81"/>
      <c r="D10" s="72"/>
      <c r="E10" s="72"/>
      <c r="F10" s="366">
        <v>0.15</v>
      </c>
      <c r="G10" s="366">
        <v>0.13</v>
      </c>
      <c r="H10" s="366">
        <v>0.11</v>
      </c>
      <c r="I10" s="366">
        <v>0.09</v>
      </c>
      <c r="J10" s="366">
        <v>0.08</v>
      </c>
      <c r="K10" s="366">
        <v>7.0000000000000007E-2</v>
      </c>
      <c r="L10" s="327"/>
      <c r="O10" s="24"/>
      <c r="P10" s="24"/>
      <c r="Q10" s="24"/>
    </row>
    <row r="11" spans="1:17" ht="15.75">
      <c r="A11" s="1"/>
      <c r="B11" s="81" t="s">
        <v>187</v>
      </c>
      <c r="C11" s="481">
        <f xml:space="preserve"> 'Revenue Build'!F13</f>
        <v>0.2111458524921834</v>
      </c>
      <c r="D11" s="481">
        <f xml:space="preserve"> 'Revenue Build'!G13</f>
        <v>0.20030372057706911</v>
      </c>
      <c r="E11" s="481">
        <f xml:space="preserve"> 'Revenue Build'!H13</f>
        <v>0.1172823886639676</v>
      </c>
      <c r="F11" s="366">
        <v>0.12</v>
      </c>
      <c r="G11" s="366">
        <v>0.1</v>
      </c>
      <c r="H11" s="366">
        <v>0.08</v>
      </c>
      <c r="I11" s="366">
        <v>7.0000000000000007E-2</v>
      </c>
      <c r="J11" s="366">
        <v>0.06</v>
      </c>
      <c r="K11" s="366">
        <v>0.05</v>
      </c>
      <c r="L11" s="327"/>
      <c r="O11" s="24"/>
      <c r="P11" s="24"/>
      <c r="Q11" s="24"/>
    </row>
    <row r="12" spans="1:17" ht="15.75">
      <c r="A12" s="1"/>
      <c r="B12" s="81" t="s">
        <v>188</v>
      </c>
      <c r="C12" s="81"/>
      <c r="D12" s="72"/>
      <c r="E12" s="72"/>
      <c r="F12" s="366">
        <v>0.08</v>
      </c>
      <c r="G12" s="366">
        <v>7.0000000000000007E-2</v>
      </c>
      <c r="H12" s="366">
        <v>0.06</v>
      </c>
      <c r="I12" s="366">
        <v>0.05</v>
      </c>
      <c r="J12" s="366">
        <v>0.04</v>
      </c>
      <c r="K12" s="366">
        <v>0.03</v>
      </c>
      <c r="L12" s="327"/>
      <c r="O12" s="24"/>
      <c r="P12" s="24"/>
      <c r="Q12" s="24"/>
    </row>
    <row r="13" spans="1:17" ht="15.75">
      <c r="A13" s="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17" ht="15.75">
      <c r="A14" s="1"/>
      <c r="B14" s="83" t="s">
        <v>179</v>
      </c>
      <c r="C14" s="83"/>
      <c r="D14" s="84"/>
      <c r="E14" s="84"/>
      <c r="F14" s="365">
        <f>CHOOSE(Cover!$F$9, F15,F16,F17)</f>
        <v>0.2</v>
      </c>
      <c r="G14" s="365">
        <f>CHOOSE(Cover!$F$9, G15,G16,G17)</f>
        <v>0.2</v>
      </c>
      <c r="H14" s="365">
        <f>CHOOSE(Cover!$F$9, H15,H16,H17)</f>
        <v>0.19500000000000001</v>
      </c>
      <c r="I14" s="365">
        <f>CHOOSE(Cover!$F$9, I15,I16,I17)</f>
        <v>0.19</v>
      </c>
      <c r="J14" s="365">
        <f>CHOOSE(Cover!$F$9, J15,J16,J17)</f>
        <v>0.185</v>
      </c>
      <c r="K14" s="365">
        <f>CHOOSE(Cover!$F$9, K15,K16,K17)</f>
        <v>0.17499999999999999</v>
      </c>
      <c r="L14" s="69"/>
      <c r="M14" s="69"/>
      <c r="N14" s="69"/>
      <c r="O14" s="24"/>
      <c r="P14" s="24"/>
      <c r="Q14" s="24"/>
    </row>
    <row r="15" spans="1:17" ht="15.75">
      <c r="A15" s="1"/>
      <c r="B15" s="81" t="s">
        <v>186</v>
      </c>
      <c r="C15" s="81"/>
      <c r="D15" s="72"/>
      <c r="E15" s="72"/>
      <c r="F15" s="366">
        <v>0.24</v>
      </c>
      <c r="G15" s="366">
        <v>0.23499999999999999</v>
      </c>
      <c r="H15" s="366">
        <v>0.23</v>
      </c>
      <c r="I15" s="366">
        <v>0.22500000000000001</v>
      </c>
      <c r="J15" s="366">
        <v>0.22</v>
      </c>
      <c r="K15" s="366">
        <v>0.21</v>
      </c>
      <c r="L15" s="360" t="s">
        <v>189</v>
      </c>
      <c r="M15" s="360"/>
      <c r="N15" s="360"/>
      <c r="O15" s="24"/>
      <c r="P15" s="24"/>
      <c r="Q15" s="24"/>
    </row>
    <row r="16" spans="1:17" ht="15.75">
      <c r="A16" s="1"/>
      <c r="B16" s="81" t="s">
        <v>187</v>
      </c>
      <c r="C16" s="481">
        <f xml:space="preserve"> 'Revenue Build'!F20</f>
        <v>0.18252929275443858</v>
      </c>
      <c r="D16" s="481">
        <f xml:space="preserve"> 'Revenue Build'!G20</f>
        <v>0.12580054894784995</v>
      </c>
      <c r="E16" s="481">
        <f xml:space="preserve"> 'Revenue Build'!H20</f>
        <v>0.13937423811458757</v>
      </c>
      <c r="F16" s="366">
        <v>0.2</v>
      </c>
      <c r="G16" s="366">
        <v>0.2</v>
      </c>
      <c r="H16" s="366">
        <v>0.19500000000000001</v>
      </c>
      <c r="I16" s="366">
        <v>0.19</v>
      </c>
      <c r="J16" s="366">
        <v>0.185</v>
      </c>
      <c r="K16" s="366">
        <v>0.17499999999999999</v>
      </c>
      <c r="L16" s="482" t="s">
        <v>190</v>
      </c>
      <c r="M16" s="67"/>
      <c r="N16" s="67"/>
      <c r="O16" s="24"/>
      <c r="P16" s="24"/>
      <c r="Q16" s="24"/>
    </row>
    <row r="17" spans="1:17" ht="15.75">
      <c r="A17" s="1"/>
      <c r="B17" s="81" t="s">
        <v>188</v>
      </c>
      <c r="C17" s="81"/>
      <c r="D17" s="72"/>
      <c r="E17" s="72"/>
      <c r="F17" s="366">
        <v>0.12</v>
      </c>
      <c r="G17" s="366">
        <v>0.12</v>
      </c>
      <c r="H17" s="366">
        <v>0.12</v>
      </c>
      <c r="I17" s="366">
        <v>0.115</v>
      </c>
      <c r="J17" s="366">
        <v>0.105</v>
      </c>
      <c r="K17" s="366">
        <v>9.5000000000000001E-2</v>
      </c>
      <c r="L17" s="483" t="s">
        <v>191</v>
      </c>
      <c r="M17" s="24"/>
      <c r="N17" s="24"/>
      <c r="O17" s="24"/>
      <c r="P17" s="24"/>
      <c r="Q17" s="24"/>
    </row>
    <row r="18" spans="1:17" ht="15.75">
      <c r="A18" s="1"/>
      <c r="B18" s="328"/>
      <c r="C18" s="328"/>
      <c r="D18" s="359"/>
      <c r="E18" s="359"/>
      <c r="F18" s="359"/>
      <c r="G18" s="359"/>
      <c r="H18" s="359"/>
      <c r="I18" s="69"/>
      <c r="J18" s="69"/>
      <c r="K18" s="69"/>
      <c r="L18" s="69"/>
      <c r="M18" s="69"/>
      <c r="N18" s="69"/>
      <c r="O18" s="24"/>
      <c r="P18" s="24"/>
      <c r="Q18" s="24"/>
    </row>
    <row r="19" spans="1:17" ht="15.75">
      <c r="A19" s="1"/>
      <c r="B19" s="83" t="s">
        <v>180</v>
      </c>
      <c r="C19" s="83"/>
      <c r="D19" s="84"/>
      <c r="E19" s="84"/>
      <c r="F19" s="365">
        <f>CHOOSE(Cover!$F$9, F20,F21,F22)</f>
        <v>0.17</v>
      </c>
      <c r="G19" s="365">
        <f>CHOOSE(Cover!$F$9, G20,G21,G22)</f>
        <v>0.155</v>
      </c>
      <c r="H19" s="365">
        <f>CHOOSE(Cover!$F$9, H20,H21,H22)</f>
        <v>0.155</v>
      </c>
      <c r="I19" s="365">
        <v>0.06</v>
      </c>
      <c r="J19" s="365">
        <f>CHOOSE(Cover!$F$9, J20,J21,J22)</f>
        <v>0.13</v>
      </c>
      <c r="K19" s="365">
        <f>CHOOSE(Cover!$F$9, K20,K21,K22)</f>
        <v>0.125</v>
      </c>
      <c r="L19" s="360"/>
      <c r="M19" s="360"/>
      <c r="N19" s="360"/>
      <c r="O19" s="24"/>
      <c r="P19" s="24"/>
      <c r="Q19" s="24"/>
    </row>
    <row r="20" spans="1:17" ht="15.75">
      <c r="A20" s="1"/>
      <c r="B20" s="81" t="s">
        <v>186</v>
      </c>
      <c r="C20" s="81"/>
      <c r="D20" s="72"/>
      <c r="E20" s="72"/>
      <c r="F20" s="366">
        <v>0.21</v>
      </c>
      <c r="G20" s="366">
        <v>0.19</v>
      </c>
      <c r="H20" s="366">
        <v>0.18</v>
      </c>
      <c r="I20" s="366">
        <v>0.16500000000000001</v>
      </c>
      <c r="J20" s="366">
        <v>0.15</v>
      </c>
      <c r="K20" s="366">
        <v>0.14000000000000001</v>
      </c>
      <c r="L20" s="67" t="s">
        <v>192</v>
      </c>
      <c r="M20" s="67"/>
      <c r="N20" s="67"/>
      <c r="O20" s="24"/>
      <c r="P20" s="24"/>
      <c r="Q20" s="24"/>
    </row>
    <row r="21" spans="1:17" ht="15.75">
      <c r="A21" s="1"/>
      <c r="B21" s="81" t="s">
        <v>187</v>
      </c>
      <c r="C21" s="481">
        <f xml:space="preserve"> 'Revenue Build'!F24</f>
        <v>0.20824549737553241</v>
      </c>
      <c r="D21" s="481">
        <f xml:space="preserve"> 'Revenue Build'!G24</f>
        <v>0.23965651834504292</v>
      </c>
      <c r="E21" s="481">
        <f xml:space="preserve"> 'Revenue Build'!H24</f>
        <v>0.18419395465994962</v>
      </c>
      <c r="F21" s="366">
        <v>0.17</v>
      </c>
      <c r="G21" s="366">
        <v>0.155</v>
      </c>
      <c r="H21" s="366">
        <v>0.155</v>
      </c>
      <c r="I21" s="366">
        <v>0.14000000000000001</v>
      </c>
      <c r="J21" s="366">
        <v>0.13</v>
      </c>
      <c r="K21" s="366">
        <v>0.125</v>
      </c>
      <c r="L21" s="24"/>
      <c r="M21" s="24"/>
      <c r="N21" s="24"/>
      <c r="O21" s="24"/>
      <c r="P21" s="24"/>
      <c r="Q21" s="24"/>
    </row>
    <row r="22" spans="1:17" ht="15.75">
      <c r="A22" s="1"/>
      <c r="B22" s="81" t="s">
        <v>188</v>
      </c>
      <c r="C22" s="81"/>
      <c r="D22" s="72"/>
      <c r="E22" s="72"/>
      <c r="F22" s="366">
        <v>-0.25</v>
      </c>
      <c r="G22" s="366">
        <v>7.0000000000000007E-2</v>
      </c>
      <c r="H22" s="366">
        <v>6.5000000000000002E-2</v>
      </c>
      <c r="I22" s="366">
        <v>5.5E-2</v>
      </c>
      <c r="J22" s="366">
        <v>4.4999999999999998E-2</v>
      </c>
      <c r="K22" s="366">
        <v>0.04</v>
      </c>
      <c r="L22" s="69" t="s">
        <v>193</v>
      </c>
      <c r="M22" s="69"/>
      <c r="N22" s="69"/>
      <c r="O22" s="24"/>
      <c r="P22" s="24"/>
      <c r="Q22" s="24"/>
    </row>
    <row r="23" spans="1:17" ht="15.75">
      <c r="A23" s="1"/>
      <c r="B23" s="363"/>
      <c r="C23" s="363"/>
      <c r="D23" s="67"/>
      <c r="E23" s="67"/>
      <c r="F23" s="67"/>
      <c r="G23" s="67"/>
      <c r="H23" s="67"/>
      <c r="I23" s="360"/>
      <c r="J23" s="360"/>
      <c r="K23" s="360"/>
      <c r="L23" s="360" t="s">
        <v>194</v>
      </c>
      <c r="M23" s="360"/>
      <c r="N23" s="360"/>
      <c r="O23" s="24"/>
      <c r="P23" s="24"/>
      <c r="Q23" s="24"/>
    </row>
    <row r="24" spans="1:17" ht="15.75">
      <c r="A24" s="1"/>
      <c r="B24" s="83" t="s">
        <v>181</v>
      </c>
      <c r="C24" s="83"/>
      <c r="D24" s="84"/>
      <c r="E24" s="84"/>
      <c r="F24" s="365">
        <f>CHOOSE(Cover!$F$9, F25,F26,F27)</f>
        <v>0</v>
      </c>
      <c r="G24" s="365">
        <f>CHOOSE(Cover!$F$9, G25,G26,G27)</f>
        <v>0</v>
      </c>
      <c r="H24" s="365">
        <f>CHOOSE(Cover!$F$9, H25,H26,H27)</f>
        <v>0</v>
      </c>
      <c r="I24" s="365">
        <f>CHOOSE(Cover!$F$9, I25,I26,I27)</f>
        <v>0.01</v>
      </c>
      <c r="J24" s="365">
        <f>CHOOSE(Cover!$F$9, J25,J26,J27)</f>
        <v>0.01</v>
      </c>
      <c r="K24" s="365">
        <f>CHOOSE(Cover!$F$9, K25,K26,K27)</f>
        <v>0.01</v>
      </c>
      <c r="L24" s="67"/>
      <c r="M24" s="67"/>
      <c r="N24" s="67"/>
      <c r="O24" s="24"/>
      <c r="P24" s="24"/>
      <c r="Q24" s="24"/>
    </row>
    <row r="25" spans="1:17" ht="15.75">
      <c r="A25" s="1"/>
      <c r="B25" s="81" t="s">
        <v>186</v>
      </c>
      <c r="C25" s="81"/>
      <c r="D25" s="72"/>
      <c r="E25" s="72"/>
      <c r="F25" s="366">
        <v>0.05</v>
      </c>
      <c r="G25" s="366">
        <v>0.04</v>
      </c>
      <c r="H25" s="366">
        <v>0.03</v>
      </c>
      <c r="I25" s="366">
        <v>0.03</v>
      </c>
      <c r="J25" s="366">
        <v>0.03</v>
      </c>
      <c r="K25" s="366">
        <v>0.02</v>
      </c>
      <c r="L25" s="24"/>
      <c r="M25" s="24"/>
      <c r="N25" s="24"/>
      <c r="O25" s="24"/>
      <c r="P25" s="24"/>
      <c r="Q25" s="24"/>
    </row>
    <row r="26" spans="1:17" ht="15.75">
      <c r="A26" s="26"/>
      <c r="B26" s="81" t="s">
        <v>187</v>
      </c>
      <c r="C26" s="481">
        <f xml:space="preserve"> 'Revenue Build'!F28</f>
        <v>-6.8113543007786229E-2</v>
      </c>
      <c r="D26" s="481">
        <f xml:space="preserve"> 'Revenue Build'!G28</f>
        <v>5.2631578947368418E-2</v>
      </c>
      <c r="E26" s="481">
        <f xml:space="preserve"> 'Revenue Build'!H28</f>
        <v>0</v>
      </c>
      <c r="F26" s="366">
        <v>0</v>
      </c>
      <c r="G26" s="366">
        <v>0</v>
      </c>
      <c r="H26" s="366">
        <v>0</v>
      </c>
      <c r="I26" s="366">
        <v>0.01</v>
      </c>
      <c r="J26" s="366">
        <v>0.01</v>
      </c>
      <c r="K26" s="366">
        <v>0.01</v>
      </c>
      <c r="L26" s="69"/>
      <c r="M26" s="69"/>
      <c r="N26" s="69"/>
      <c r="O26" s="24"/>
      <c r="P26" s="24"/>
      <c r="Q26" s="24"/>
    </row>
    <row r="27" spans="1:17" ht="15.75">
      <c r="A27" s="26"/>
      <c r="B27" s="81" t="s">
        <v>188</v>
      </c>
      <c r="C27" s="81"/>
      <c r="D27" s="72"/>
      <c r="E27" s="72"/>
      <c r="F27" s="366">
        <v>-0.03</v>
      </c>
      <c r="G27" s="366">
        <v>-0.02</v>
      </c>
      <c r="H27" s="366">
        <v>-0.01</v>
      </c>
      <c r="I27" s="366">
        <v>0</v>
      </c>
      <c r="J27" s="366">
        <v>0</v>
      </c>
      <c r="K27" s="366">
        <v>0</v>
      </c>
      <c r="L27" s="360"/>
      <c r="M27" s="360"/>
      <c r="N27" s="360"/>
      <c r="O27" s="24"/>
      <c r="P27" s="24"/>
      <c r="Q27" s="24"/>
    </row>
    <row r="28" spans="1:17" ht="15.75">
      <c r="A28" s="26"/>
      <c r="B28" s="363"/>
      <c r="C28" s="363"/>
      <c r="D28" s="67"/>
      <c r="E28" s="24"/>
      <c r="F28" s="24"/>
      <c r="G28" s="24"/>
      <c r="H28" s="24"/>
      <c r="I28" s="24"/>
      <c r="J28" s="24"/>
      <c r="K28" s="24"/>
      <c r="L28" s="24"/>
      <c r="M28" s="24"/>
      <c r="N28" s="67"/>
      <c r="O28" s="24"/>
      <c r="P28" s="24"/>
      <c r="Q28" s="24"/>
    </row>
    <row r="29" spans="1:17" ht="15.75">
      <c r="A29" s="2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9"/>
      <c r="O29" s="24"/>
      <c r="P29" s="24"/>
      <c r="Q29" s="24"/>
    </row>
    <row r="30" spans="1:17" ht="15.75">
      <c r="A30" s="26"/>
      <c r="B30" s="24"/>
      <c r="C30" s="24"/>
      <c r="D30" s="364"/>
      <c r="E30" s="24"/>
      <c r="F30" s="24"/>
      <c r="G30" s="24"/>
      <c r="H30" s="24"/>
      <c r="I30" s="24"/>
      <c r="J30" s="24"/>
      <c r="K30" s="24"/>
      <c r="L30" s="24"/>
      <c r="M30" s="24"/>
      <c r="N30" s="364"/>
      <c r="O30" s="24"/>
      <c r="P30" s="24"/>
      <c r="Q30" s="24"/>
    </row>
    <row r="31" spans="1:17" ht="15.75">
      <c r="A31" s="26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1:17" ht="15.75">
      <c r="A32" s="26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24" ht="15.75">
      <c r="A33" s="26"/>
      <c r="B33" s="362"/>
      <c r="C33" s="362"/>
      <c r="D33" s="361"/>
      <c r="E33" s="24"/>
      <c r="F33" s="24"/>
      <c r="G33" s="24"/>
      <c r="H33" s="24"/>
      <c r="I33" s="24"/>
      <c r="J33" s="24"/>
      <c r="K33" s="24"/>
      <c r="L33" s="24"/>
      <c r="M33" s="24"/>
      <c r="N33" s="361"/>
      <c r="O33" s="24"/>
      <c r="P33" s="24"/>
      <c r="Q33" s="24"/>
    </row>
    <row r="34" spans="1:24" ht="15.75">
      <c r="A34" s="26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24" ht="15.75">
      <c r="A35" s="2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24"/>
      <c r="N35" s="24"/>
      <c r="O35" s="24"/>
      <c r="P35" s="24"/>
      <c r="Q35" s="24"/>
    </row>
    <row r="36" spans="1:24" ht="15.75">
      <c r="A36" s="26"/>
      <c r="B36" s="328"/>
      <c r="C36" s="328"/>
      <c r="D36" s="69"/>
      <c r="E36" s="69"/>
      <c r="F36" s="69"/>
      <c r="G36" s="69"/>
      <c r="H36" s="69"/>
      <c r="I36" s="17"/>
      <c r="J36" s="17"/>
      <c r="K36" s="17"/>
      <c r="L36" s="17"/>
      <c r="M36" s="24"/>
      <c r="N36" s="24"/>
      <c r="O36" s="24"/>
      <c r="P36" s="24"/>
      <c r="Q36" s="24"/>
    </row>
    <row r="37" spans="1:24" ht="15.75">
      <c r="A37" s="1"/>
      <c r="B37" s="328"/>
      <c r="C37" s="328"/>
      <c r="D37" s="69"/>
      <c r="E37" s="69"/>
      <c r="F37" s="69"/>
      <c r="G37" s="69"/>
      <c r="H37" s="69"/>
      <c r="I37" s="17"/>
      <c r="J37" s="17"/>
      <c r="K37" s="17"/>
      <c r="L37" s="19"/>
      <c r="M37" s="17"/>
      <c r="N37" s="17"/>
      <c r="O37" s="17"/>
      <c r="P37" s="24"/>
      <c r="Q37" s="24"/>
    </row>
    <row r="38" spans="1:24" ht="15.75">
      <c r="A38" s="1"/>
      <c r="B38" s="328"/>
      <c r="C38" s="328"/>
      <c r="D38" s="69"/>
      <c r="E38" s="69"/>
      <c r="F38" s="69"/>
      <c r="G38" s="69"/>
      <c r="H38" s="69"/>
      <c r="I38" s="17"/>
      <c r="J38" s="17"/>
      <c r="K38" s="17"/>
      <c r="L38" s="17"/>
      <c r="M38" s="17"/>
      <c r="N38" s="17"/>
      <c r="O38" s="17"/>
      <c r="P38" s="24"/>
      <c r="Q38" s="24"/>
    </row>
    <row r="39" spans="1:24" ht="15.75">
      <c r="A39" s="1"/>
      <c r="B39" s="328"/>
      <c r="C39" s="328"/>
      <c r="D39" s="69"/>
      <c r="E39" s="69"/>
      <c r="F39" s="69"/>
      <c r="G39" s="69"/>
      <c r="H39" s="69"/>
      <c r="I39" s="17"/>
      <c r="J39" s="17"/>
      <c r="K39" s="17"/>
      <c r="L39" s="19"/>
      <c r="M39" s="17"/>
      <c r="N39" s="17"/>
      <c r="O39" s="17"/>
      <c r="P39" s="24"/>
      <c r="Q39" s="24"/>
    </row>
    <row r="40" spans="1:24" ht="15.75">
      <c r="A40" s="1"/>
      <c r="B40" s="24"/>
      <c r="C40" s="24"/>
      <c r="D40" s="69"/>
      <c r="E40" s="69"/>
      <c r="F40" s="69"/>
      <c r="G40" s="69"/>
      <c r="H40" s="69"/>
      <c r="I40" s="17"/>
      <c r="J40" s="17"/>
      <c r="K40" s="17"/>
      <c r="L40" s="17"/>
      <c r="M40" s="17"/>
      <c r="N40" s="17"/>
      <c r="O40" s="17"/>
      <c r="P40" s="24"/>
      <c r="Q40" s="24"/>
    </row>
    <row r="41" spans="1:24" ht="15.75">
      <c r="A41" s="1"/>
      <c r="B41" s="26"/>
      <c r="C41" s="26"/>
      <c r="D41" s="26"/>
      <c r="E41" s="26"/>
      <c r="F41" s="26"/>
      <c r="G41" s="26"/>
      <c r="H41" s="26"/>
      <c r="I41" s="26"/>
      <c r="J41" s="17"/>
      <c r="K41" s="17"/>
      <c r="L41" s="19"/>
      <c r="M41" s="17"/>
      <c r="N41" s="17"/>
      <c r="O41" s="17"/>
      <c r="P41" s="24"/>
      <c r="Q41" s="24"/>
    </row>
    <row r="42" spans="1:24" ht="15.75">
      <c r="A42" s="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4"/>
      <c r="Q42" s="24"/>
    </row>
    <row r="43" spans="1:24" ht="15.75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1"/>
      <c r="S43" s="1"/>
      <c r="T43" s="1"/>
      <c r="U43" s="1"/>
      <c r="V43" s="1"/>
      <c r="W43" s="1"/>
      <c r="X43" s="1"/>
    </row>
    <row r="44" spans="1:24" ht="15.75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1"/>
      <c r="S44" s="1"/>
      <c r="T44" s="1"/>
      <c r="U44" s="1"/>
      <c r="V44" s="1"/>
      <c r="W44" s="1"/>
      <c r="X44" s="1"/>
    </row>
    <row r="45" spans="1:24" ht="15.75">
      <c r="A45" s="1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1"/>
      <c r="S45" s="1"/>
      <c r="T45" s="1"/>
      <c r="U45" s="1"/>
      <c r="V45" s="1"/>
      <c r="W45" s="1"/>
      <c r="X45" s="1"/>
    </row>
    <row r="46" spans="1:24" ht="15.75">
      <c r="A46" s="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"/>
      <c r="S46" s="1"/>
      <c r="T46" s="1"/>
      <c r="U46" s="1"/>
      <c r="V46" s="1"/>
      <c r="W46" s="1"/>
      <c r="X46" s="1"/>
    </row>
    <row r="47" spans="1:24" ht="15.75">
      <c r="A47" s="1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"/>
      <c r="S47" s="1"/>
      <c r="T47" s="1"/>
      <c r="U47" s="1"/>
      <c r="V47" s="1"/>
      <c r="W47" s="1"/>
      <c r="X47" s="1"/>
    </row>
    <row r="48" spans="1:24" ht="15.75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1"/>
      <c r="S48" s="1"/>
      <c r="T48" s="1"/>
      <c r="U48" s="1"/>
      <c r="V48" s="1"/>
      <c r="W48" s="1"/>
      <c r="X48" s="1"/>
    </row>
    <row r="49" spans="1:24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>
      <c r="A53" s="1"/>
      <c r="B53" s="1"/>
      <c r="C53" s="1"/>
      <c r="D53" s="1"/>
      <c r="E53" s="1"/>
      <c r="F53" s="1"/>
      <c r="G53" s="1"/>
      <c r="H53" s="1"/>
      <c r="I53" s="1"/>
    </row>
    <row r="54" spans="1:24" ht="15.75">
      <c r="A54" s="1"/>
      <c r="B54" s="1"/>
      <c r="C54" s="1"/>
      <c r="D54" s="1"/>
      <c r="E54" s="1"/>
      <c r="F54" s="1"/>
      <c r="G54" s="1"/>
      <c r="H54" s="1"/>
      <c r="I54" s="1"/>
    </row>
    <row r="55" spans="1:24" ht="15.75">
      <c r="A55" s="1"/>
      <c r="B55" s="1"/>
      <c r="C55" s="1"/>
      <c r="D55" s="1"/>
      <c r="E55" s="1"/>
      <c r="F55" s="1"/>
      <c r="G55" s="1"/>
      <c r="H55" s="1"/>
      <c r="I55" s="1"/>
    </row>
    <row r="56" spans="1:24" ht="15.75">
      <c r="A56" s="1"/>
      <c r="B56" s="1"/>
      <c r="C56" s="1"/>
      <c r="D56" s="1"/>
      <c r="E56" s="1"/>
      <c r="F56" s="1"/>
      <c r="G56" s="1"/>
      <c r="H56" s="1"/>
      <c r="I56" s="1"/>
    </row>
    <row r="57" spans="1:24" ht="15.75">
      <c r="A57" s="1"/>
      <c r="B57" s="1"/>
      <c r="C57" s="1"/>
      <c r="D57" s="1"/>
      <c r="E57" s="1"/>
      <c r="F57" s="1"/>
      <c r="G57" s="1"/>
      <c r="H57" s="1"/>
      <c r="I57" s="1"/>
    </row>
    <row r="58" spans="1:24" ht="15.75">
      <c r="A58" s="1"/>
      <c r="B58" s="1"/>
      <c r="C58" s="1"/>
      <c r="D58" s="1"/>
      <c r="E58" s="1"/>
      <c r="F58" s="1"/>
      <c r="G58" s="1"/>
      <c r="H58" s="1"/>
      <c r="I58" s="1"/>
    </row>
    <row r="59" spans="1:24" ht="15.75">
      <c r="A59" s="1"/>
      <c r="B59" s="1"/>
      <c r="C59" s="1"/>
      <c r="D59" s="1"/>
      <c r="E59" s="1"/>
      <c r="F59" s="1"/>
      <c r="G59" s="1"/>
      <c r="H59" s="1"/>
      <c r="I59" s="1"/>
    </row>
    <row r="60" spans="1:24" ht="15.75">
      <c r="A60" s="1"/>
      <c r="B60" s="1"/>
      <c r="C60" s="1"/>
      <c r="D60" s="1"/>
      <c r="E60" s="1"/>
      <c r="F60" s="1"/>
      <c r="G60" s="1"/>
      <c r="H60" s="1"/>
      <c r="I60" s="1"/>
    </row>
    <row r="61" spans="1:24" ht="15.75">
      <c r="A61" s="1"/>
      <c r="B61" s="1"/>
      <c r="C61" s="1"/>
      <c r="D61" s="1"/>
      <c r="E61" s="1"/>
      <c r="F61" s="1"/>
      <c r="G61" s="1"/>
      <c r="H61" s="1"/>
      <c r="I6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3FDA-BEC6-45C4-BBE8-51CFB00493BF}">
  <dimension ref="A1:U81"/>
  <sheetViews>
    <sheetView showGridLines="0" topLeftCell="A3" zoomScale="59" zoomScaleNormal="59" workbookViewId="0">
      <selection activeCell="I16" sqref="I16"/>
    </sheetView>
  </sheetViews>
  <sheetFormatPr defaultColWidth="8.85546875" defaultRowHeight="14.45"/>
  <cols>
    <col min="2" max="2" width="29.140625" customWidth="1"/>
    <col min="4" max="4" width="9" bestFit="1" customWidth="1"/>
    <col min="5" max="6" width="8.85546875" bestFit="1" customWidth="1"/>
    <col min="7" max="7" width="8.85546875" customWidth="1"/>
  </cols>
  <sheetData>
    <row r="1" spans="1:21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1" ht="26.1">
      <c r="A2" s="1"/>
      <c r="B2" s="27" t="s">
        <v>166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21" ht="15.6">
      <c r="A3" s="1"/>
      <c r="B3" s="33" t="s">
        <v>195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21" ht="15.6">
      <c r="A4" s="1"/>
      <c r="B4" s="29" t="s">
        <v>10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21" ht="15.6">
      <c r="A5" s="1"/>
    </row>
    <row r="6" spans="1:21" ht="15.6">
      <c r="A6" s="1"/>
      <c r="B6" s="30" t="s">
        <v>167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21" ht="15.6">
      <c r="A7" s="1"/>
    </row>
    <row r="8" spans="1:21" ht="15.6">
      <c r="A8" s="1"/>
      <c r="B8" s="32" t="s">
        <v>108</v>
      </c>
      <c r="C8" s="32" t="s">
        <v>168</v>
      </c>
      <c r="D8" s="32" t="s">
        <v>169</v>
      </c>
      <c r="E8" s="32" t="s">
        <v>196</v>
      </c>
      <c r="F8" s="32" t="s">
        <v>197</v>
      </c>
      <c r="G8" s="32" t="s">
        <v>198</v>
      </c>
      <c r="H8" s="43" t="s">
        <v>199</v>
      </c>
      <c r="I8" s="32" t="s">
        <v>43</v>
      </c>
      <c r="J8" s="32" t="s">
        <v>44</v>
      </c>
      <c r="K8" s="32" t="s">
        <v>45</v>
      </c>
      <c r="L8" s="32" t="s">
        <v>46</v>
      </c>
      <c r="M8" s="32" t="s">
        <v>47</v>
      </c>
      <c r="N8" s="32" t="s">
        <v>48</v>
      </c>
    </row>
    <row r="10" spans="1:21">
      <c r="B10" s="34" t="s">
        <v>200</v>
      </c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2" spans="1:21">
      <c r="B12" s="72" t="s">
        <v>53</v>
      </c>
      <c r="C12" s="86">
        <f xml:space="preserve"> IS!H6</f>
        <v>5107</v>
      </c>
      <c r="D12" s="86">
        <f xml:space="preserve"> IS!G6</f>
        <v>4799</v>
      </c>
      <c r="E12" s="86">
        <f xml:space="preserve"> IS!F6</f>
        <v>5437</v>
      </c>
      <c r="F12" s="86">
        <f xml:space="preserve"> IS!E6</f>
        <v>6585</v>
      </c>
      <c r="G12" s="86">
        <f xml:space="preserve"> IS!D6</f>
        <v>7936</v>
      </c>
      <c r="H12" s="86">
        <f xml:space="preserve"> IS!C6</f>
        <v>8832</v>
      </c>
      <c r="I12" s="86">
        <f>'Revenue Build'!I12</f>
        <v>10185.355</v>
      </c>
      <c r="J12" s="86">
        <f>'Revenue Build'!J12</f>
        <v>11700.132024999999</v>
      </c>
      <c r="K12" s="86">
        <f>'Revenue Build'!K12</f>
        <v>12941.8809065</v>
      </c>
      <c r="L12" s="86">
        <f>'Revenue Build'!L12</f>
        <v>14680.709278345003</v>
      </c>
      <c r="M12" s="86">
        <f>'Revenue Build'!M12</f>
        <v>16567.707737838129</v>
      </c>
      <c r="N12" s="86">
        <f>'Revenue Build'!N12</f>
        <v>18729.365556480392</v>
      </c>
      <c r="O12" s="72" t="s">
        <v>201</v>
      </c>
      <c r="P12" s="72"/>
      <c r="Q12" s="72"/>
      <c r="R12" s="72"/>
      <c r="S12" s="72"/>
      <c r="T12" s="72"/>
      <c r="U12" s="72"/>
    </row>
    <row r="13" spans="1:21">
      <c r="B13" s="73" t="s">
        <v>202</v>
      </c>
      <c r="C13" s="74"/>
      <c r="D13" s="75">
        <f t="shared" ref="D13:N13" si="0">D12/C12-1</f>
        <v>-6.0309379283336573E-2</v>
      </c>
      <c r="E13" s="75">
        <f t="shared" si="0"/>
        <v>0.13294436340904348</v>
      </c>
      <c r="F13" s="75">
        <f t="shared" si="0"/>
        <v>0.21114585249218321</v>
      </c>
      <c r="G13" s="75">
        <f t="shared" si="0"/>
        <v>0.20516324981017453</v>
      </c>
      <c r="H13" s="76">
        <f t="shared" si="0"/>
        <v>0.11290322580645151</v>
      </c>
      <c r="I13" s="75">
        <f t="shared" si="0"/>
        <v>0.15323312952898549</v>
      </c>
      <c r="J13" s="75">
        <f>J12/I12-1</f>
        <v>0.14872108286849106</v>
      </c>
      <c r="K13" s="75">
        <f t="shared" si="0"/>
        <v>0.10613118542993538</v>
      </c>
      <c r="L13" s="75">
        <f t="shared" si="0"/>
        <v>0.13435669702165809</v>
      </c>
      <c r="M13" s="75">
        <f t="shared" si="0"/>
        <v>0.12853591905648387</v>
      </c>
      <c r="N13" s="75">
        <f t="shared" si="0"/>
        <v>0.13047416412986124</v>
      </c>
      <c r="O13" s="75"/>
      <c r="P13" s="72"/>
      <c r="Q13" s="72"/>
      <c r="R13" s="72"/>
      <c r="S13" s="72"/>
      <c r="T13" s="72"/>
      <c r="U13" s="72"/>
    </row>
    <row r="14" spans="1:21">
      <c r="B14" s="72"/>
      <c r="C14" s="72"/>
      <c r="D14" s="72"/>
      <c r="E14" s="72"/>
      <c r="F14" s="72"/>
      <c r="G14" s="72"/>
      <c r="H14" s="93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r="15" spans="1:21">
      <c r="B15" s="72" t="s">
        <v>203</v>
      </c>
      <c r="C15" s="86">
        <f xml:space="preserve"> IS!H8</f>
        <v>2273</v>
      </c>
      <c r="D15" s="86">
        <f xml:space="preserve"> IS!G8</f>
        <v>2129</v>
      </c>
      <c r="E15" s="86">
        <f xml:space="preserve"> IS!F8</f>
        <v>2250</v>
      </c>
      <c r="F15" s="86">
        <f xml:space="preserve"> IS!E8</f>
        <v>2566</v>
      </c>
      <c r="G15" s="86">
        <f xml:space="preserve"> IS!D8</f>
        <v>3064</v>
      </c>
      <c r="H15" s="92">
        <f xml:space="preserve"> IS!C8</f>
        <v>3347</v>
      </c>
      <c r="I15" s="85">
        <f>I12*I16</f>
        <v>3723.7657879999997</v>
      </c>
      <c r="J15" s="85">
        <f t="shared" ref="J15:N15" si="1">J12*J16</f>
        <v>4215.5575686074999</v>
      </c>
      <c r="K15" s="85">
        <f t="shared" si="1"/>
        <v>4585.3084051729502</v>
      </c>
      <c r="L15" s="85">
        <f t="shared" si="1"/>
        <v>5110.3548997918961</v>
      </c>
      <c r="M15" s="85">
        <f t="shared" si="1"/>
        <v>5661.1857340192892</v>
      </c>
      <c r="N15" s="85">
        <f t="shared" si="1"/>
        <v>6283.7021441991719</v>
      </c>
      <c r="O15" s="72"/>
      <c r="P15" s="72"/>
      <c r="Q15" s="72"/>
      <c r="R15" s="72"/>
      <c r="S15" s="72"/>
      <c r="T15" s="72"/>
      <c r="U15" s="72"/>
    </row>
    <row r="16" spans="1:21" ht="15.6">
      <c r="B16" s="78" t="s">
        <v>204</v>
      </c>
      <c r="C16" s="88">
        <f>C15/C12</f>
        <v>0.44507538672410418</v>
      </c>
      <c r="D16" s="88">
        <f>D15/D12</f>
        <v>0.44363409043550739</v>
      </c>
      <c r="E16" s="88">
        <f>E15/E12</f>
        <v>0.41383115688798972</v>
      </c>
      <c r="F16" s="88">
        <f>F15/F12</f>
        <v>0.38967350037965071</v>
      </c>
      <c r="G16" s="88">
        <f>G15/G12</f>
        <v>0.38608870967741937</v>
      </c>
      <c r="H16" s="94">
        <f>H15/H12</f>
        <v>0.37896286231884058</v>
      </c>
      <c r="I16" s="376">
        <f>'Operating Assumptions'!F9</f>
        <v>0.36559999999999998</v>
      </c>
      <c r="J16" s="376">
        <f>'Operating Assumptions'!G9</f>
        <v>0.36030000000000001</v>
      </c>
      <c r="K16" s="376">
        <f>'Operating Assumptions'!H9</f>
        <v>0.3543</v>
      </c>
      <c r="L16" s="376">
        <f>'Operating Assumptions'!I9</f>
        <v>0.34810000000000002</v>
      </c>
      <c r="M16" s="376">
        <f>'Operating Assumptions'!J9</f>
        <v>0.3417</v>
      </c>
      <c r="N16" s="376">
        <f>'Operating Assumptions'!K9</f>
        <v>0.33550000000000002</v>
      </c>
      <c r="O16" s="1" t="s">
        <v>205</v>
      </c>
      <c r="P16" s="72"/>
      <c r="Q16" s="72"/>
      <c r="R16" s="72"/>
      <c r="S16" s="72"/>
      <c r="T16" s="72"/>
      <c r="U16" s="72"/>
    </row>
    <row r="17" spans="1:21" ht="15.6">
      <c r="B17" s="79" t="s">
        <v>206</v>
      </c>
      <c r="C17" s="85">
        <f>C12-C15</f>
        <v>2834</v>
      </c>
      <c r="D17" s="85">
        <f t="shared" ref="D17:H17" si="2">D12-D15</f>
        <v>2670</v>
      </c>
      <c r="E17" s="85">
        <f t="shared" si="2"/>
        <v>3187</v>
      </c>
      <c r="F17" s="85">
        <f>F12-F15</f>
        <v>4019</v>
      </c>
      <c r="G17" s="85">
        <f t="shared" si="2"/>
        <v>4872</v>
      </c>
      <c r="H17" s="96">
        <f t="shared" si="2"/>
        <v>5485</v>
      </c>
      <c r="I17" s="85">
        <f>I12-I15</f>
        <v>6461.5892119999999</v>
      </c>
      <c r="J17" s="85">
        <f t="shared" ref="J17:N17" si="3">J12-J15</f>
        <v>7484.5744563924991</v>
      </c>
      <c r="K17" s="85">
        <f>K12-K15</f>
        <v>8356.5725013270494</v>
      </c>
      <c r="L17" s="85">
        <f t="shared" si="3"/>
        <v>9570.3543785531074</v>
      </c>
      <c r="M17" s="85">
        <f t="shared" si="3"/>
        <v>10906.52200381884</v>
      </c>
      <c r="N17" s="85">
        <f t="shared" si="3"/>
        <v>12445.663412281221</v>
      </c>
      <c r="O17" s="1"/>
      <c r="P17" s="72"/>
      <c r="Q17" s="72"/>
      <c r="R17" s="72"/>
      <c r="S17" s="72"/>
      <c r="T17" s="72"/>
      <c r="U17" s="72"/>
    </row>
    <row r="18" spans="1:21" ht="15.6">
      <c r="B18" s="73" t="s">
        <v>207</v>
      </c>
      <c r="C18" s="75">
        <f>C17/C12</f>
        <v>0.55492461327589582</v>
      </c>
      <c r="D18" s="75">
        <f t="shared" ref="D18:I18" si="4">D17/D12</f>
        <v>0.55636590956449261</v>
      </c>
      <c r="E18" s="75">
        <f t="shared" si="4"/>
        <v>0.58616884311201034</v>
      </c>
      <c r="F18" s="75">
        <f t="shared" si="4"/>
        <v>0.61032649962034924</v>
      </c>
      <c r="G18" s="75">
        <f t="shared" si="4"/>
        <v>0.61391129032258063</v>
      </c>
      <c r="H18" s="76">
        <f t="shared" si="4"/>
        <v>0.62103713768115942</v>
      </c>
      <c r="I18" s="75">
        <f>I17/I12</f>
        <v>0.63439999999999996</v>
      </c>
      <c r="J18" s="75">
        <f t="shared" ref="J18" si="5">J17/J12</f>
        <v>0.63969999999999994</v>
      </c>
      <c r="K18" s="75">
        <f t="shared" ref="K18" si="6">K17/K12</f>
        <v>0.64569999999999994</v>
      </c>
      <c r="L18" s="75">
        <f t="shared" ref="L18" si="7">L17/L12</f>
        <v>0.65190000000000003</v>
      </c>
      <c r="M18" s="75">
        <f t="shared" ref="M18" si="8">M17/M12</f>
        <v>0.6583</v>
      </c>
      <c r="N18" s="75">
        <f t="shared" ref="N18" si="9">N17/N12</f>
        <v>0.66449999999999998</v>
      </c>
      <c r="O18" s="1"/>
      <c r="P18" s="72"/>
      <c r="Q18" s="72"/>
      <c r="R18" s="72"/>
      <c r="S18" s="72"/>
      <c r="T18" s="72"/>
      <c r="U18" s="72"/>
    </row>
    <row r="19" spans="1:21" ht="15.6">
      <c r="B19" s="72"/>
      <c r="C19" s="72"/>
      <c r="D19" s="72"/>
      <c r="E19" s="72"/>
      <c r="F19" s="72"/>
      <c r="G19" s="72"/>
      <c r="H19" s="93"/>
      <c r="I19" s="72"/>
      <c r="J19" s="72"/>
      <c r="K19" s="72"/>
      <c r="L19" s="72"/>
      <c r="M19" s="72"/>
      <c r="N19" s="72"/>
      <c r="O19" s="1"/>
      <c r="P19" s="72"/>
      <c r="Q19" s="72"/>
      <c r="R19" s="72"/>
      <c r="S19" s="72"/>
      <c r="T19" s="72"/>
      <c r="U19" s="72"/>
    </row>
    <row r="20" spans="1:21" ht="15.6">
      <c r="B20" s="80" t="s">
        <v>208</v>
      </c>
      <c r="C20" s="72"/>
      <c r="D20" s="72"/>
      <c r="E20" s="72"/>
      <c r="F20" s="72"/>
      <c r="G20" s="72"/>
      <c r="H20" s="93"/>
      <c r="I20" s="72"/>
      <c r="J20" s="72"/>
      <c r="K20" s="72"/>
      <c r="L20" s="72"/>
      <c r="M20" s="72"/>
      <c r="N20" s="72"/>
      <c r="O20" s="1"/>
      <c r="P20" s="72"/>
      <c r="Q20" s="72"/>
      <c r="R20" s="72"/>
      <c r="S20" s="72"/>
      <c r="T20" s="72"/>
      <c r="U20" s="72"/>
    </row>
    <row r="21" spans="1:21" ht="15.6">
      <c r="B21" s="81" t="s">
        <v>209</v>
      </c>
      <c r="C21" s="86">
        <f xml:space="preserve"> IS!H15</f>
        <v>565.4</v>
      </c>
      <c r="D21" s="86">
        <f xml:space="preserve"> IS!G15</f>
        <v>544.4</v>
      </c>
      <c r="E21" s="86">
        <f xml:space="preserve"> IS!F15</f>
        <v>642.1</v>
      </c>
      <c r="F21" s="86">
        <f xml:space="preserve"> IS!E15</f>
        <v>661</v>
      </c>
      <c r="G21" s="86">
        <f xml:space="preserve"> IS!D15</f>
        <v>827</v>
      </c>
      <c r="H21" s="92">
        <f xml:space="preserve"> IS!C15</f>
        <v>803</v>
      </c>
      <c r="I21" s="85">
        <f>I22*I12</f>
        <v>926.86730499999999</v>
      </c>
      <c r="J21" s="85">
        <f t="shared" ref="J21:N21" si="10">J22*J12</f>
        <v>1053.0118822499999</v>
      </c>
      <c r="K21" s="85">
        <f t="shared" si="10"/>
        <v>1151.8274006785</v>
      </c>
      <c r="L21" s="85">
        <f t="shared" si="10"/>
        <v>1291.9024164943601</v>
      </c>
      <c r="M21" s="85">
        <f t="shared" si="10"/>
        <v>1441.3905731919172</v>
      </c>
      <c r="N21" s="85">
        <f t="shared" si="10"/>
        <v>1610.7254378573136</v>
      </c>
      <c r="O21" s="1"/>
      <c r="P21" s="72"/>
      <c r="Q21" s="72"/>
      <c r="R21" s="72"/>
      <c r="S21" s="72"/>
      <c r="T21" s="72"/>
      <c r="U21" s="72"/>
    </row>
    <row r="22" spans="1:21" ht="15.6">
      <c r="B22" s="82" t="s">
        <v>204</v>
      </c>
      <c r="C22" s="368">
        <f>C21/C12</f>
        <v>0.11071078911298218</v>
      </c>
      <c r="D22" s="368">
        <f t="shared" ref="D22:H22" si="11">D21/D12</f>
        <v>0.11344030006251302</v>
      </c>
      <c r="E22" s="368">
        <f t="shared" si="11"/>
        <v>0.11809821592790141</v>
      </c>
      <c r="F22" s="368">
        <f>F21/F12</f>
        <v>0.10037965072133637</v>
      </c>
      <c r="G22" s="368">
        <f>G21/G12</f>
        <v>0.1042086693548387</v>
      </c>
      <c r="H22" s="369">
        <f t="shared" si="11"/>
        <v>9.0919384057971009E-2</v>
      </c>
      <c r="I22" s="377">
        <f>'Operating Assumptions'!F14</f>
        <v>9.0999999999999998E-2</v>
      </c>
      <c r="J22" s="377">
        <f>'Operating Assumptions'!G14</f>
        <v>0.09</v>
      </c>
      <c r="K22" s="377">
        <f>'Operating Assumptions'!H14</f>
        <v>8.8999999999999996E-2</v>
      </c>
      <c r="L22" s="377">
        <f>'Operating Assumptions'!I14</f>
        <v>8.7999999999999995E-2</v>
      </c>
      <c r="M22" s="377">
        <f>'Operating Assumptions'!J14</f>
        <v>8.6999999999999994E-2</v>
      </c>
      <c r="N22" s="377">
        <f>'Operating Assumptions'!K14</f>
        <v>8.5999999999999993E-2</v>
      </c>
      <c r="O22" s="1" t="s">
        <v>210</v>
      </c>
      <c r="P22" s="72"/>
      <c r="Q22" s="72"/>
      <c r="R22" s="72"/>
      <c r="S22" s="72"/>
      <c r="T22" s="72"/>
      <c r="U22" s="72"/>
    </row>
    <row r="23" spans="1:21" ht="15.6">
      <c r="B23" s="81" t="s">
        <v>211</v>
      </c>
      <c r="C23" s="86">
        <f xml:space="preserve"> IS!H52</f>
        <v>283</v>
      </c>
      <c r="D23" s="86">
        <f xml:space="preserve"> IS!G52</f>
        <v>252</v>
      </c>
      <c r="E23" s="86">
        <f xml:space="preserve"> IS!F52</f>
        <v>252</v>
      </c>
      <c r="F23" s="86">
        <f xml:space="preserve"> IS!E52</f>
        <v>268</v>
      </c>
      <c r="G23" s="86">
        <f xml:space="preserve"> IS!D52</f>
        <v>310</v>
      </c>
      <c r="H23" s="92">
        <f xml:space="preserve"> IS!C52</f>
        <v>364</v>
      </c>
      <c r="I23" s="98">
        <f>I24*I12</f>
        <v>407.41419999999999</v>
      </c>
      <c r="J23" s="98">
        <f t="shared" ref="J23:N23" si="12">J24*J12</f>
        <v>468.00528099999997</v>
      </c>
      <c r="K23" s="98">
        <f t="shared" si="12"/>
        <v>511.20429580675</v>
      </c>
      <c r="L23" s="98">
        <f t="shared" si="12"/>
        <v>572.54766185545509</v>
      </c>
      <c r="M23" s="98">
        <f t="shared" si="12"/>
        <v>637.85674790676796</v>
      </c>
      <c r="N23" s="98">
        <f t="shared" si="12"/>
        <v>711.71589114625488</v>
      </c>
      <c r="O23" s="1"/>
      <c r="P23" s="72"/>
      <c r="Q23" s="72"/>
      <c r="R23" s="72"/>
      <c r="S23" s="72"/>
      <c r="T23" s="72"/>
      <c r="U23" s="72"/>
    </row>
    <row r="24" spans="1:21" ht="15.6">
      <c r="B24" s="82" t="s">
        <v>204</v>
      </c>
      <c r="C24" s="368">
        <f>C23/C12</f>
        <v>5.5414137458390446E-2</v>
      </c>
      <c r="D24" s="368">
        <f t="shared" ref="D24:H24" si="13">D23/D12</f>
        <v>5.2510939779120649E-2</v>
      </c>
      <c r="E24" s="368">
        <f t="shared" si="13"/>
        <v>4.6349089571454845E-2</v>
      </c>
      <c r="F24" s="368">
        <f t="shared" si="13"/>
        <v>4.0698557327258925E-2</v>
      </c>
      <c r="G24" s="368">
        <f t="shared" si="13"/>
        <v>3.90625E-2</v>
      </c>
      <c r="H24" s="369">
        <f t="shared" si="13"/>
        <v>4.1213768115942032E-2</v>
      </c>
      <c r="I24" s="377">
        <f>'Operating Assumptions'!F19</f>
        <v>0.04</v>
      </c>
      <c r="J24" s="377">
        <f>'Operating Assumptions'!G19</f>
        <v>0.04</v>
      </c>
      <c r="K24" s="377">
        <f>'Operating Assumptions'!H19</f>
        <v>3.95E-2</v>
      </c>
      <c r="L24" s="377">
        <f>'Operating Assumptions'!I19</f>
        <v>3.9E-2</v>
      </c>
      <c r="M24" s="377">
        <f>'Operating Assumptions'!J19</f>
        <v>3.85E-2</v>
      </c>
      <c r="N24" s="377">
        <f>'Operating Assumptions'!K19</f>
        <v>3.7999999999999999E-2</v>
      </c>
      <c r="O24" s="1"/>
      <c r="P24" s="72"/>
      <c r="Q24" s="72"/>
      <c r="R24" s="72"/>
      <c r="S24" s="72"/>
      <c r="T24" s="72"/>
      <c r="U24" s="72"/>
    </row>
    <row r="25" spans="1:21" ht="15.6">
      <c r="B25" s="81" t="s">
        <v>212</v>
      </c>
      <c r="C25" s="86">
        <f xml:space="preserve"> IS!H14</f>
        <v>130.9</v>
      </c>
      <c r="D25" s="86">
        <f xml:space="preserve"> IS!G14</f>
        <v>105.6</v>
      </c>
      <c r="E25" s="86">
        <f xml:space="preserve"> IS!F14</f>
        <v>94.9</v>
      </c>
      <c r="F25" s="86">
        <f xml:space="preserve"> IS!E14</f>
        <v>105</v>
      </c>
      <c r="G25" s="86">
        <f xml:space="preserve"> IS!D14</f>
        <v>107</v>
      </c>
      <c r="H25" s="92">
        <f xml:space="preserve"> IS!C14</f>
        <v>118</v>
      </c>
      <c r="I25" s="98">
        <v>8.5</v>
      </c>
      <c r="J25" s="98">
        <f t="shared" ref="J25:N25" si="14">J26*J12</f>
        <v>134.55151828749999</v>
      </c>
      <c r="K25" s="98">
        <f t="shared" si="14"/>
        <v>142.36068997149999</v>
      </c>
      <c r="L25" s="98">
        <f t="shared" si="14"/>
        <v>154.14744742262255</v>
      </c>
      <c r="M25" s="98">
        <f t="shared" si="14"/>
        <v>165.67707737838128</v>
      </c>
      <c r="N25" s="98">
        <f t="shared" si="14"/>
        <v>187.29365556480391</v>
      </c>
      <c r="O25" s="1"/>
      <c r="P25" s="72"/>
      <c r="Q25" s="72"/>
      <c r="R25" s="72"/>
      <c r="S25" s="72"/>
      <c r="T25" s="72"/>
      <c r="U25" s="72"/>
    </row>
    <row r="26" spans="1:21" ht="15.6">
      <c r="B26" s="82" t="s">
        <v>204</v>
      </c>
      <c r="C26" s="75">
        <f>C25/C12</f>
        <v>2.5631486195418055E-2</v>
      </c>
      <c r="D26" s="75">
        <f t="shared" ref="D26:H26" si="15">D25/D12</f>
        <v>2.2004584288393414E-2</v>
      </c>
      <c r="E26" s="75">
        <f t="shared" si="15"/>
        <v>1.7454478572742321E-2</v>
      </c>
      <c r="F26" s="75">
        <f t="shared" si="15"/>
        <v>1.5945330296127564E-2</v>
      </c>
      <c r="G26" s="75">
        <f t="shared" si="15"/>
        <v>1.3482862903225807E-2</v>
      </c>
      <c r="H26" s="76">
        <f t="shared" si="15"/>
        <v>1.3360507246376812E-2</v>
      </c>
      <c r="I26" s="377">
        <f>'Operating Assumptions'!F24</f>
        <v>1.2E-2</v>
      </c>
      <c r="J26" s="377">
        <f>'Operating Assumptions'!G24</f>
        <v>1.15E-2</v>
      </c>
      <c r="K26" s="377">
        <f>'Operating Assumptions'!H24</f>
        <v>1.0999999999999999E-2</v>
      </c>
      <c r="L26" s="377">
        <f>'Operating Assumptions'!I24</f>
        <v>1.0500000000000001E-2</v>
      </c>
      <c r="M26" s="377">
        <f>'Operating Assumptions'!J24</f>
        <v>0.01</v>
      </c>
      <c r="N26" s="377">
        <f>'Operating Assumptions'!K24</f>
        <v>0.01</v>
      </c>
      <c r="O26" s="1"/>
      <c r="P26" s="72"/>
      <c r="Q26" s="72"/>
      <c r="R26" s="72"/>
      <c r="S26" s="72"/>
      <c r="T26" s="72"/>
      <c r="U26" s="72"/>
    </row>
    <row r="27" spans="1:21" ht="15.6">
      <c r="B27" s="83" t="s">
        <v>213</v>
      </c>
      <c r="C27" s="90">
        <f>C21+C23+C25</f>
        <v>979.3</v>
      </c>
      <c r="D27" s="90">
        <f t="shared" ref="D27:N27" si="16">D21+D23+D25</f>
        <v>902</v>
      </c>
      <c r="E27" s="90">
        <f t="shared" si="16"/>
        <v>989</v>
      </c>
      <c r="F27" s="90">
        <f t="shared" si="16"/>
        <v>1034</v>
      </c>
      <c r="G27" s="90">
        <f t="shared" si="16"/>
        <v>1244</v>
      </c>
      <c r="H27" s="95">
        <f t="shared" si="16"/>
        <v>1285</v>
      </c>
      <c r="I27" s="90">
        <f t="shared" si="16"/>
        <v>1342.7815049999999</v>
      </c>
      <c r="J27" s="90">
        <f>J21+J23+J25</f>
        <v>1655.5686815374997</v>
      </c>
      <c r="K27" s="90">
        <f t="shared" si="16"/>
        <v>1805.39238645675</v>
      </c>
      <c r="L27" s="90">
        <f>L21+L23+L25</f>
        <v>2018.5975257724376</v>
      </c>
      <c r="M27" s="90">
        <f t="shared" si="16"/>
        <v>2244.9243984770665</v>
      </c>
      <c r="N27" s="90">
        <f t="shared" si="16"/>
        <v>2509.7349845683725</v>
      </c>
      <c r="O27" s="1"/>
      <c r="P27" s="72"/>
      <c r="Q27" s="72"/>
      <c r="R27" s="72"/>
      <c r="S27" s="72"/>
      <c r="T27" s="72"/>
      <c r="U27" s="72"/>
    </row>
    <row r="28" spans="1:21" ht="15.6">
      <c r="B28" s="79" t="s">
        <v>214</v>
      </c>
      <c r="C28" s="85">
        <f>C17-C21-C23-C25</f>
        <v>1854.6999999999998</v>
      </c>
      <c r="D28" s="85">
        <f t="shared" ref="D28:N28" si="17">D17-D21-D23-D25</f>
        <v>1768</v>
      </c>
      <c r="E28" s="85">
        <f t="shared" si="17"/>
        <v>2198</v>
      </c>
      <c r="F28" s="85">
        <f t="shared" si="17"/>
        <v>2985</v>
      </c>
      <c r="G28" s="85">
        <f t="shared" si="17"/>
        <v>3628</v>
      </c>
      <c r="H28" s="96">
        <f>H17-H21-H23-H25</f>
        <v>4200</v>
      </c>
      <c r="I28" s="85">
        <f t="shared" si="17"/>
        <v>5118.8077069999999</v>
      </c>
      <c r="J28" s="85">
        <f t="shared" si="17"/>
        <v>5829.0057748549998</v>
      </c>
      <c r="K28" s="85">
        <f t="shared" si="17"/>
        <v>6551.1801148702998</v>
      </c>
      <c r="L28" s="85">
        <f t="shared" si="17"/>
        <v>7551.7568527806698</v>
      </c>
      <c r="M28" s="85">
        <f t="shared" si="17"/>
        <v>8661.5976053417744</v>
      </c>
      <c r="N28" s="85">
        <f t="shared" si="17"/>
        <v>9935.9284277128463</v>
      </c>
      <c r="O28" s="1"/>
      <c r="P28" s="72"/>
      <c r="Q28" s="72"/>
      <c r="R28" s="72"/>
      <c r="S28" s="72"/>
      <c r="T28" s="72"/>
      <c r="U28" s="72"/>
    </row>
    <row r="29" spans="1:21" ht="15.6">
      <c r="B29" s="73" t="s">
        <v>215</v>
      </c>
      <c r="C29" s="75">
        <f>C28/C12</f>
        <v>0.36316820050910509</v>
      </c>
      <c r="D29" s="75">
        <f t="shared" ref="D29:H29" si="18">D28/D12</f>
        <v>0.36841008543446552</v>
      </c>
      <c r="E29" s="75">
        <f t="shared" si="18"/>
        <v>0.40426705903991172</v>
      </c>
      <c r="F29" s="75">
        <f t="shared" si="18"/>
        <v>0.45330296127562641</v>
      </c>
      <c r="G29" s="75">
        <f t="shared" si="18"/>
        <v>0.45715725806451613</v>
      </c>
      <c r="H29" s="76">
        <f t="shared" si="18"/>
        <v>0.47554347826086957</v>
      </c>
      <c r="I29" s="75">
        <f t="shared" ref="I29" si="19">I28/I12</f>
        <v>0.50256546845937133</v>
      </c>
      <c r="J29" s="75">
        <f t="shared" ref="J29" si="20">J28/J12</f>
        <v>0.49820000000000003</v>
      </c>
      <c r="K29" s="75">
        <f t="shared" ref="K29" si="21">K28/K12</f>
        <v>0.50619999999999998</v>
      </c>
      <c r="L29" s="75">
        <f t="shared" ref="L29" si="22">L28/L12</f>
        <v>0.51440000000000008</v>
      </c>
      <c r="M29" s="75">
        <f t="shared" ref="M29" si="23">M28/M12</f>
        <v>0.52280000000000004</v>
      </c>
      <c r="N29" s="75">
        <f t="shared" ref="N29" si="24">N28/N12</f>
        <v>0.53049999999999986</v>
      </c>
      <c r="O29" s="1" t="s">
        <v>216</v>
      </c>
      <c r="P29" s="72"/>
      <c r="Q29" s="72"/>
      <c r="R29" s="72"/>
      <c r="S29" s="72"/>
      <c r="T29" s="72"/>
      <c r="U29" s="72"/>
    </row>
    <row r="30" spans="1:21">
      <c r="B30" s="72"/>
      <c r="C30" s="38"/>
      <c r="D30" s="38"/>
      <c r="E30" s="38"/>
      <c r="F30" s="38"/>
      <c r="G30" s="38"/>
      <c r="H30" s="41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 spans="1:21" ht="15.6">
      <c r="A31" s="26"/>
      <c r="B31" s="79" t="s">
        <v>217</v>
      </c>
      <c r="C31" s="91">
        <f>C28+C23</f>
        <v>2137.6999999999998</v>
      </c>
      <c r="D31" s="91">
        <f>D28+D23</f>
        <v>2020</v>
      </c>
      <c r="E31" s="91">
        <f t="shared" ref="D31:H31" si="25">E28+E23</f>
        <v>2450</v>
      </c>
      <c r="F31" s="91">
        <f t="shared" si="25"/>
        <v>3253</v>
      </c>
      <c r="G31" s="91">
        <f t="shared" si="25"/>
        <v>3938</v>
      </c>
      <c r="H31" s="97">
        <f t="shared" si="25"/>
        <v>4564</v>
      </c>
      <c r="I31" s="91">
        <f>I28+I23</f>
        <v>5526.2219070000001</v>
      </c>
      <c r="J31" s="91">
        <f t="shared" ref="I31:N31" si="26">J28+J23</f>
        <v>6297.0110558549995</v>
      </c>
      <c r="K31" s="91">
        <f t="shared" si="26"/>
        <v>7062.3844106770503</v>
      </c>
      <c r="L31" s="91">
        <f t="shared" si="26"/>
        <v>8124.3045146361246</v>
      </c>
      <c r="M31" s="91">
        <f t="shared" si="26"/>
        <v>9299.4543532485422</v>
      </c>
      <c r="N31" s="91">
        <f t="shared" si="26"/>
        <v>10647.644318859102</v>
      </c>
      <c r="O31" s="72"/>
      <c r="P31" s="72"/>
      <c r="Q31" s="72"/>
      <c r="R31" s="72"/>
      <c r="S31" s="72"/>
      <c r="T31" s="72"/>
      <c r="U31" s="72"/>
    </row>
    <row r="32" spans="1:21" ht="15.6">
      <c r="A32" s="26"/>
      <c r="B32" s="73" t="s">
        <v>218</v>
      </c>
      <c r="C32" s="75">
        <f>C31/C12</f>
        <v>0.41858233796749555</v>
      </c>
      <c r="D32" s="75">
        <f t="shared" ref="D32:H32" si="27">D31/D12</f>
        <v>0.42092102521358615</v>
      </c>
      <c r="E32" s="75">
        <f t="shared" si="27"/>
        <v>0.45061614861136656</v>
      </c>
      <c r="F32" s="75">
        <f t="shared" si="27"/>
        <v>0.49400151860288533</v>
      </c>
      <c r="G32" s="75">
        <f t="shared" si="27"/>
        <v>0.49621975806451613</v>
      </c>
      <c r="H32" s="76">
        <f t="shared" si="27"/>
        <v>0.51675724637681164</v>
      </c>
      <c r="I32" s="75">
        <f t="shared" ref="I32" si="28">I31/I12</f>
        <v>0.54256546845937137</v>
      </c>
      <c r="J32" s="75">
        <f t="shared" ref="J32" si="29">J31/J12</f>
        <v>0.53820000000000001</v>
      </c>
      <c r="K32" s="75">
        <f t="shared" ref="K32" si="30">K31/K12</f>
        <v>0.54569999999999996</v>
      </c>
      <c r="L32" s="75">
        <f t="shared" ref="L32" si="31">L31/L12</f>
        <v>0.5534</v>
      </c>
      <c r="M32" s="75">
        <f t="shared" ref="M32" si="32">M31/M12</f>
        <v>0.56130000000000002</v>
      </c>
      <c r="N32" s="75">
        <f t="shared" ref="N32" si="33">N31/N12</f>
        <v>0.56850000000000001</v>
      </c>
      <c r="O32" s="72"/>
      <c r="P32" s="72"/>
      <c r="Q32" s="72"/>
      <c r="R32" s="72"/>
      <c r="S32" s="72"/>
      <c r="T32" s="72"/>
      <c r="U32" s="72"/>
    </row>
    <row r="33" spans="1:21" ht="15.6">
      <c r="A33" s="26"/>
      <c r="F33" s="72"/>
      <c r="G33" s="72"/>
      <c r="H33" s="93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</row>
    <row r="34" spans="1:21" ht="15.6">
      <c r="A34" s="26"/>
      <c r="B34" s="327" t="s">
        <v>219</v>
      </c>
      <c r="C34" s="86">
        <f xml:space="preserve"> IS!H19</f>
        <v>1061</v>
      </c>
      <c r="D34" s="86">
        <f xml:space="preserve"> IS!G19</f>
        <v>1098</v>
      </c>
      <c r="E34" s="86">
        <f xml:space="preserve"> IS!F19</f>
        <v>1078</v>
      </c>
      <c r="F34" s="86">
        <f xml:space="preserve"> IS!E19</f>
        <v>1220</v>
      </c>
      <c r="G34" s="86">
        <f xml:space="preserve"> IS!D19</f>
        <v>1344</v>
      </c>
      <c r="H34" s="92">
        <f xml:space="preserve"> IS!C19</f>
        <v>1640</v>
      </c>
      <c r="I34" s="98">
        <f xml:space="preserve"> I35 *I12</f>
        <v>1981.1799516916951</v>
      </c>
      <c r="J34" s="98">
        <f t="shared" ref="J34:N34" si="34" xml:space="preserve"> J35 *J12</f>
        <v>2314.7553653201867</v>
      </c>
      <c r="K34" s="98">
        <f t="shared" si="34"/>
        <v>2693.1381555945554</v>
      </c>
      <c r="L34" s="98">
        <f t="shared" si="34"/>
        <v>3173.3983511404317</v>
      </c>
      <c r="M34" s="98">
        <f t="shared" si="34"/>
        <v>3710.4137864755212</v>
      </c>
      <c r="N34" s="98">
        <f t="shared" si="34"/>
        <v>4370.6055332595488</v>
      </c>
      <c r="O34" s="1" t="s">
        <v>220</v>
      </c>
      <c r="P34" s="72"/>
      <c r="Q34" s="72"/>
      <c r="R34" s="72"/>
      <c r="S34" s="72"/>
      <c r="T34" s="72"/>
      <c r="U34" s="72"/>
    </row>
    <row r="35" spans="1:21" ht="15.75">
      <c r="A35" s="26"/>
      <c r="B35" t="s">
        <v>221</v>
      </c>
      <c r="C35" s="75">
        <f xml:space="preserve"> C34 / C12</f>
        <v>0.2077540630507147</v>
      </c>
      <c r="D35" s="75">
        <f t="shared" ref="D35:H35" si="35" xml:space="preserve"> D34 / D12</f>
        <v>0.22879766618045427</v>
      </c>
      <c r="E35" s="75">
        <f t="shared" si="35"/>
        <v>0.19827110538900128</v>
      </c>
      <c r="F35" s="75">
        <f t="shared" si="35"/>
        <v>0.18526955201214881</v>
      </c>
      <c r="G35" s="75">
        <f t="shared" si="35"/>
        <v>0.16935483870967741</v>
      </c>
      <c r="H35" s="76">
        <f t="shared" si="35"/>
        <v>0.18568840579710144</v>
      </c>
      <c r="I35" s="492">
        <f xml:space="preserve"> AVERAGE(F35:H35) * 1.08</f>
        <v>0.19451260674681395</v>
      </c>
      <c r="J35" s="492">
        <f t="shared" ref="J35:N35" si="36" xml:space="preserve"> AVERAGE(G35:I35) * 1.08</f>
        <v>0.19784010645129341</v>
      </c>
      <c r="K35" s="492">
        <f t="shared" si="36"/>
        <v>0.20809480283827517</v>
      </c>
      <c r="L35" s="492">
        <f t="shared" si="36"/>
        <v>0.21616110577309774</v>
      </c>
      <c r="M35" s="492">
        <f t="shared" si="36"/>
        <v>0.2239545654225599</v>
      </c>
      <c r="N35" s="492">
        <f t="shared" si="36"/>
        <v>0.23335577065221583</v>
      </c>
      <c r="O35" s="72"/>
      <c r="P35" s="72"/>
      <c r="Q35" s="72"/>
      <c r="R35" s="72"/>
      <c r="S35" s="72"/>
      <c r="T35" s="72"/>
      <c r="U35" s="72"/>
    </row>
    <row r="36" spans="1:21" ht="15.6">
      <c r="A36" s="26"/>
      <c r="B36" s="34" t="s">
        <v>222</v>
      </c>
      <c r="C36" s="35"/>
      <c r="D36" s="36"/>
      <c r="E36" s="36"/>
      <c r="F36" s="36"/>
      <c r="G36" s="36"/>
      <c r="H36" s="37"/>
      <c r="I36" s="36"/>
      <c r="J36" s="36"/>
      <c r="K36" s="36"/>
      <c r="L36" s="36"/>
      <c r="M36" s="36"/>
      <c r="N36" s="36"/>
      <c r="O36" s="72"/>
      <c r="P36" s="72"/>
      <c r="Q36" s="72"/>
      <c r="R36" s="72"/>
      <c r="S36" s="72"/>
      <c r="T36" s="72"/>
      <c r="U36" s="72"/>
    </row>
    <row r="37" spans="1:21" ht="15.6">
      <c r="A37" s="26"/>
      <c r="F37" s="72"/>
      <c r="G37" s="72"/>
      <c r="H37" s="93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</row>
    <row r="38" spans="1:21" ht="15.6">
      <c r="A38" s="1"/>
      <c r="B38" s="79" t="s">
        <v>217</v>
      </c>
      <c r="C38" s="86">
        <f>C31</f>
        <v>2137.6999999999998</v>
      </c>
      <c r="D38" s="86">
        <f t="shared" ref="D38:N38" si="37">D31</f>
        <v>2020</v>
      </c>
      <c r="E38" s="86">
        <f t="shared" si="37"/>
        <v>2450</v>
      </c>
      <c r="F38" s="86">
        <f t="shared" si="37"/>
        <v>3253</v>
      </c>
      <c r="G38" s="86">
        <f t="shared" si="37"/>
        <v>3938</v>
      </c>
      <c r="H38" s="92">
        <f t="shared" si="37"/>
        <v>4564</v>
      </c>
      <c r="I38" s="85">
        <f t="shared" si="37"/>
        <v>5526.2219070000001</v>
      </c>
      <c r="J38" s="85">
        <f t="shared" si="37"/>
        <v>6297.0110558549995</v>
      </c>
      <c r="K38" s="85">
        <f t="shared" si="37"/>
        <v>7062.3844106770503</v>
      </c>
      <c r="L38" s="85">
        <f t="shared" si="37"/>
        <v>8124.3045146361246</v>
      </c>
      <c r="M38" s="85">
        <f t="shared" si="37"/>
        <v>9299.4543532485422</v>
      </c>
      <c r="N38" s="85">
        <f t="shared" si="37"/>
        <v>10647.644318859102</v>
      </c>
      <c r="O38" s="72"/>
      <c r="P38" s="72"/>
      <c r="Q38" s="72"/>
      <c r="R38" s="72"/>
      <c r="S38" s="72"/>
      <c r="T38" s="72"/>
      <c r="U38" s="72"/>
    </row>
    <row r="39" spans="1:21" ht="15.6">
      <c r="A39" s="1"/>
      <c r="B39" s="72" t="s">
        <v>223</v>
      </c>
      <c r="C39" s="86">
        <f xml:space="preserve"> IS!H21</f>
        <v>77.7</v>
      </c>
      <c r="D39" s="86">
        <f xml:space="preserve"> IS!G21</f>
        <v>65</v>
      </c>
      <c r="E39" s="86">
        <f xml:space="preserve"> IS!F21</f>
        <v>15</v>
      </c>
      <c r="F39" s="86">
        <f xml:space="preserve"> IS!E21</f>
        <v>48</v>
      </c>
      <c r="G39" s="86">
        <f xml:space="preserve"> IS!D21</f>
        <v>81</v>
      </c>
      <c r="H39" s="92">
        <f xml:space="preserve"> IS!C21</f>
        <v>24</v>
      </c>
      <c r="I39" s="85">
        <f>AVERAGE(E39:H39)</f>
        <v>42</v>
      </c>
      <c r="J39" s="85">
        <f>I39*(1+0.02)</f>
        <v>42.84</v>
      </c>
      <c r="K39" s="85">
        <f>J39*(1+0.02)</f>
        <v>43.696800000000003</v>
      </c>
      <c r="L39" s="85">
        <f t="shared" ref="K39:N39" si="38">K39*(1+0.02)</f>
        <v>44.570736000000004</v>
      </c>
      <c r="M39" s="85">
        <f>L39*(1+0.02)</f>
        <v>45.462150720000004</v>
      </c>
      <c r="N39" s="85">
        <f t="shared" si="38"/>
        <v>46.371393734400002</v>
      </c>
      <c r="O39" s="1" t="s">
        <v>224</v>
      </c>
      <c r="P39" s="17"/>
    </row>
    <row r="40" spans="1:21" ht="15.6">
      <c r="A40" s="1"/>
      <c r="B40" s="84" t="s">
        <v>225</v>
      </c>
      <c r="C40" s="370">
        <v>105</v>
      </c>
      <c r="D40" s="370">
        <v>148</v>
      </c>
      <c r="E40" s="370">
        <v>153</v>
      </c>
      <c r="F40" s="370">
        <v>135</v>
      </c>
      <c r="G40" s="370">
        <v>188</v>
      </c>
      <c r="H40" s="371">
        <v>152</v>
      </c>
      <c r="I40" s="89">
        <f>AVERAGE(E40:H40)</f>
        <v>157</v>
      </c>
      <c r="J40" s="89">
        <f>I40*1.02</f>
        <v>160.14000000000001</v>
      </c>
      <c r="K40" s="89">
        <f t="shared" ref="J40:N40" si="39">J40*1.02</f>
        <v>163.34280000000001</v>
      </c>
      <c r="L40" s="89">
        <f>K40*1.02</f>
        <v>166.609656</v>
      </c>
      <c r="M40" s="89">
        <f t="shared" si="39"/>
        <v>169.94184912</v>
      </c>
      <c r="N40" s="89">
        <f>M40*1.02</f>
        <v>173.34068610240001</v>
      </c>
      <c r="O40" s="1" t="s">
        <v>224</v>
      </c>
      <c r="P40" s="17"/>
    </row>
    <row r="41" spans="1:21" ht="15.6">
      <c r="A41" s="1"/>
      <c r="B41" s="79" t="s">
        <v>57</v>
      </c>
      <c r="C41" s="91">
        <f>C38+C39+C40</f>
        <v>2320.3999999999996</v>
      </c>
      <c r="D41" s="91">
        <f t="shared" ref="D41:H41" si="40">D38+D39+D40</f>
        <v>2233</v>
      </c>
      <c r="E41" s="91">
        <f t="shared" si="40"/>
        <v>2618</v>
      </c>
      <c r="F41" s="91">
        <f t="shared" si="40"/>
        <v>3436</v>
      </c>
      <c r="G41" s="91">
        <f>G38+G39+G40</f>
        <v>4207</v>
      </c>
      <c r="H41" s="97">
        <f t="shared" si="40"/>
        <v>4740</v>
      </c>
      <c r="I41" s="91">
        <f t="shared" ref="I41" si="41">I38+I39+I40</f>
        <v>5725.2219070000001</v>
      </c>
      <c r="J41" s="91">
        <f t="shared" ref="J41" si="42">J38+J39+J40</f>
        <v>6499.991055855</v>
      </c>
      <c r="K41" s="91">
        <f t="shared" ref="K41" si="43">K38+K39+K40</f>
        <v>7269.4240106770503</v>
      </c>
      <c r="L41" s="91">
        <f t="shared" ref="L41" si="44">L38+L39+L40</f>
        <v>8335.4849066361239</v>
      </c>
      <c r="M41" s="91">
        <f t="shared" ref="M41" si="45">M38+M39+M40</f>
        <v>9514.8583530885426</v>
      </c>
      <c r="N41" s="91">
        <f t="shared" ref="N41" si="46">N38+N39+N40</f>
        <v>10867.356398695902</v>
      </c>
      <c r="O41" s="17"/>
      <c r="P41" s="17"/>
    </row>
    <row r="42" spans="1:21" ht="15.6">
      <c r="A42" s="1"/>
      <c r="B42" s="1"/>
      <c r="C42" s="1"/>
      <c r="D42" s="1"/>
      <c r="E42" s="1"/>
      <c r="F42" s="1"/>
      <c r="G42" s="1"/>
      <c r="H42" s="25"/>
      <c r="I42" s="1"/>
      <c r="J42" s="18"/>
      <c r="K42" s="18"/>
      <c r="L42" s="99"/>
      <c r="M42" s="18"/>
      <c r="N42" s="18"/>
      <c r="O42" s="18"/>
      <c r="P42" s="18"/>
    </row>
    <row r="43" spans="1:21" ht="15.6">
      <c r="A43" s="1"/>
      <c r="B43" s="1"/>
      <c r="C43" s="1"/>
      <c r="D43" s="1"/>
      <c r="E43" s="1"/>
      <c r="F43" s="1"/>
      <c r="G43" s="1"/>
      <c r="H43" s="2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6">
      <c r="A44" s="1"/>
      <c r="B44" s="34" t="s">
        <v>226</v>
      </c>
      <c r="C44" s="35"/>
      <c r="D44" s="36"/>
      <c r="E44" s="36"/>
      <c r="F44" s="36"/>
      <c r="G44" s="36"/>
      <c r="H44" s="37"/>
      <c r="I44" s="36"/>
      <c r="J44" s="36"/>
      <c r="K44" s="36"/>
      <c r="L44" s="36"/>
      <c r="M44" s="36"/>
      <c r="N44" s="36"/>
      <c r="O44" s="1"/>
      <c r="P44" s="1"/>
      <c r="Q44" s="1"/>
      <c r="R44" s="1"/>
      <c r="S44" s="1"/>
      <c r="T44" s="1"/>
      <c r="U44" s="1"/>
    </row>
    <row r="45" spans="1:21" ht="15.6">
      <c r="A45" s="1"/>
      <c r="C45" s="1"/>
      <c r="D45" s="1"/>
      <c r="E45" s="1"/>
      <c r="F45" s="1"/>
      <c r="G45" s="1"/>
      <c r="H45" s="2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6">
      <c r="A46" s="1"/>
      <c r="B46" s="72" t="s">
        <v>53</v>
      </c>
      <c r="C46" s="86">
        <f>C12</f>
        <v>5107</v>
      </c>
      <c r="D46" s="86">
        <f t="shared" ref="D46:N46" si="47">D12</f>
        <v>4799</v>
      </c>
      <c r="E46" s="86">
        <f t="shared" si="47"/>
        <v>5437</v>
      </c>
      <c r="F46" s="86">
        <f t="shared" si="47"/>
        <v>6585</v>
      </c>
      <c r="G46" s="86">
        <f t="shared" si="47"/>
        <v>7936</v>
      </c>
      <c r="H46" s="92">
        <f t="shared" si="47"/>
        <v>8832</v>
      </c>
      <c r="I46" s="86">
        <f t="shared" si="47"/>
        <v>10185.355</v>
      </c>
      <c r="J46" s="86">
        <f t="shared" si="47"/>
        <v>11700.132024999999</v>
      </c>
      <c r="K46" s="86">
        <f t="shared" si="47"/>
        <v>12941.8809065</v>
      </c>
      <c r="L46" s="86">
        <f t="shared" si="47"/>
        <v>14680.709278345003</v>
      </c>
      <c r="M46" s="86">
        <f t="shared" si="47"/>
        <v>16567.707737838129</v>
      </c>
      <c r="N46" s="86">
        <f t="shared" si="47"/>
        <v>18729.365556480392</v>
      </c>
      <c r="O46" s="1"/>
      <c r="P46" s="1"/>
      <c r="Q46" s="1"/>
      <c r="R46" s="1"/>
      <c r="S46" s="1"/>
      <c r="T46" s="1"/>
      <c r="U46" s="1"/>
    </row>
    <row r="47" spans="1:21" ht="15.6">
      <c r="A47" s="1"/>
      <c r="B47" s="72" t="s">
        <v>227</v>
      </c>
      <c r="C47" s="86">
        <f>C15</f>
        <v>2273</v>
      </c>
      <c r="D47" s="86">
        <f t="shared" ref="D47:N47" si="48">D15</f>
        <v>2129</v>
      </c>
      <c r="E47" s="86">
        <f t="shared" si="48"/>
        <v>2250</v>
      </c>
      <c r="F47" s="86">
        <f t="shared" si="48"/>
        <v>2566</v>
      </c>
      <c r="G47" s="86">
        <f t="shared" si="48"/>
        <v>3064</v>
      </c>
      <c r="H47" s="92">
        <f t="shared" si="48"/>
        <v>3347</v>
      </c>
      <c r="I47" s="86">
        <f t="shared" si="48"/>
        <v>3723.7657879999997</v>
      </c>
      <c r="J47" s="86">
        <f t="shared" si="48"/>
        <v>4215.5575686074999</v>
      </c>
      <c r="K47" s="86">
        <f t="shared" si="48"/>
        <v>4585.3084051729502</v>
      </c>
      <c r="L47" s="86">
        <f t="shared" si="48"/>
        <v>5110.3548997918961</v>
      </c>
      <c r="M47" s="86">
        <f t="shared" si="48"/>
        <v>5661.1857340192892</v>
      </c>
      <c r="N47" s="86">
        <f t="shared" si="48"/>
        <v>6283.7021441991719</v>
      </c>
      <c r="O47" s="1"/>
      <c r="P47" s="1"/>
      <c r="Q47" s="1"/>
      <c r="R47" s="1"/>
      <c r="S47" s="1"/>
      <c r="T47" s="1"/>
      <c r="U47" s="1"/>
    </row>
    <row r="48" spans="1:21" ht="15.6">
      <c r="A48" s="1"/>
      <c r="H48" s="4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6">
      <c r="A49" s="1"/>
      <c r="H49" s="4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6">
      <c r="A50" s="1"/>
      <c r="B50" s="80" t="s">
        <v>228</v>
      </c>
      <c r="C50" s="1"/>
      <c r="D50" s="1"/>
      <c r="E50" s="1"/>
      <c r="F50" s="1"/>
      <c r="G50" s="1"/>
      <c r="H50" s="2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>
      <c r="A51" s="1"/>
      <c r="B51" s="81" t="s">
        <v>229</v>
      </c>
      <c r="C51" s="86">
        <f xml:space="preserve"> 756</f>
        <v>756</v>
      </c>
      <c r="D51" s="86">
        <v>861</v>
      </c>
      <c r="E51" s="86">
        <v>1086</v>
      </c>
      <c r="F51" s="86">
        <v>1421</v>
      </c>
      <c r="G51" s="86">
        <v>1651</v>
      </c>
      <c r="H51" s="499">
        <v>1897</v>
      </c>
      <c r="I51" s="98">
        <f>(I52/365)*I46</f>
        <v>2009.1659178082191</v>
      </c>
      <c r="J51" s="98">
        <f>(J52/365)*J46</f>
        <v>2307.9712487671231</v>
      </c>
      <c r="K51" s="98">
        <f t="shared" ref="J51:N51" si="49">(K52/365)*K46</f>
        <v>2517.4617653739729</v>
      </c>
      <c r="L51" s="98">
        <f t="shared" si="49"/>
        <v>2815.4784917373977</v>
      </c>
      <c r="M51" s="98">
        <f t="shared" si="49"/>
        <v>3131.9776271529613</v>
      </c>
      <c r="N51" s="98">
        <f t="shared" si="49"/>
        <v>3489.3064598374431</v>
      </c>
      <c r="P51" s="1"/>
      <c r="Q51" s="1"/>
      <c r="R51" s="1"/>
      <c r="S51" s="1"/>
      <c r="T51" s="1"/>
      <c r="U51" s="1"/>
    </row>
    <row r="52" spans="1:21" ht="15.6">
      <c r="A52" s="1"/>
      <c r="B52" s="82" t="s">
        <v>230</v>
      </c>
      <c r="C52" s="85">
        <v>66.8</v>
      </c>
      <c r="D52" s="85">
        <v>61.5</v>
      </c>
      <c r="E52" s="85">
        <v>65.400000000000006</v>
      </c>
      <c r="F52" s="85">
        <v>69.5</v>
      </c>
      <c r="G52" s="85">
        <v>70.599999999999994</v>
      </c>
      <c r="H52" s="500">
        <v>73.3</v>
      </c>
      <c r="I52" s="497">
        <f>'Operating Assumptions'!Q9</f>
        <v>72</v>
      </c>
      <c r="J52" s="86">
        <f>'Operating Assumptions'!R9</f>
        <v>72</v>
      </c>
      <c r="K52" s="86">
        <f>'Operating Assumptions'!S9</f>
        <v>71</v>
      </c>
      <c r="L52" s="86">
        <f>'Operating Assumptions'!T9</f>
        <v>70</v>
      </c>
      <c r="M52" s="86">
        <f>'Operating Assumptions'!U9</f>
        <v>69</v>
      </c>
      <c r="N52" s="86">
        <f>'Operating Assumptions'!V9</f>
        <v>68</v>
      </c>
      <c r="O52" s="1"/>
      <c r="P52" s="1"/>
      <c r="Q52" s="1"/>
      <c r="R52" s="1"/>
      <c r="S52" s="1"/>
      <c r="T52" s="1"/>
      <c r="U52" s="1"/>
    </row>
    <row r="53" spans="1:21" ht="15.75">
      <c r="A53" s="1"/>
      <c r="B53" s="81" t="s">
        <v>231</v>
      </c>
      <c r="C53" s="86">
        <v>1283</v>
      </c>
      <c r="D53" s="86">
        <v>1185</v>
      </c>
      <c r="E53" s="86">
        <v>1332</v>
      </c>
      <c r="F53" s="86">
        <v>1616</v>
      </c>
      <c r="G53" s="86">
        <v>1876</v>
      </c>
      <c r="H53" s="499">
        <v>2095</v>
      </c>
      <c r="I53" s="98">
        <f>(I54/365)*I47</f>
        <v>2193.4510806027397</v>
      </c>
      <c r="J53" s="98">
        <f t="shared" ref="J53:N53" si="50">(J54/365)*J47</f>
        <v>2471.5871772109726</v>
      </c>
      <c r="K53" s="98">
        <f t="shared" si="50"/>
        <v>2675.810110415996</v>
      </c>
      <c r="L53" s="98">
        <f t="shared" si="50"/>
        <v>2968.2061335777585</v>
      </c>
      <c r="M53" s="98">
        <f t="shared" si="50"/>
        <v>3272.6306572001918</v>
      </c>
      <c r="N53" s="98">
        <f t="shared" si="50"/>
        <v>3615.280685703633</v>
      </c>
      <c r="P53" s="1"/>
      <c r="Q53" s="1"/>
      <c r="R53" s="1"/>
      <c r="S53" s="1"/>
      <c r="T53" s="1"/>
      <c r="U53" s="1"/>
    </row>
    <row r="54" spans="1:21" ht="15.75">
      <c r="A54" s="1"/>
      <c r="B54" s="82" t="s">
        <v>232</v>
      </c>
      <c r="C54" s="85">
        <v>202</v>
      </c>
      <c r="D54" s="85">
        <v>211.6</v>
      </c>
      <c r="E54" s="85">
        <v>204.2</v>
      </c>
      <c r="F54" s="85">
        <v>209.7</v>
      </c>
      <c r="G54" s="85">
        <v>208</v>
      </c>
      <c r="H54" s="500">
        <v>216.5</v>
      </c>
      <c r="I54" s="497">
        <f>'Operating Assumptions'!Q14</f>
        <v>215</v>
      </c>
      <c r="J54" s="86">
        <f>'Operating Assumptions'!R14</f>
        <v>214</v>
      </c>
      <c r="K54" s="86">
        <f>'Operating Assumptions'!S14</f>
        <v>213</v>
      </c>
      <c r="L54" s="86">
        <f>'Operating Assumptions'!T14</f>
        <v>212</v>
      </c>
      <c r="M54" s="86">
        <f>'Operating Assumptions'!U14</f>
        <v>211</v>
      </c>
      <c r="N54" s="86">
        <f>'Operating Assumptions'!V14</f>
        <v>210</v>
      </c>
      <c r="O54" s="1"/>
    </row>
    <row r="55" spans="1:21" ht="15.75">
      <c r="A55" s="1"/>
      <c r="B55" s="496" t="s">
        <v>233</v>
      </c>
      <c r="C55" s="86">
        <v>204</v>
      </c>
      <c r="D55" s="86">
        <v>197</v>
      </c>
      <c r="E55" s="86">
        <v>230</v>
      </c>
      <c r="F55" s="86">
        <v>229</v>
      </c>
      <c r="G55" s="86">
        <v>241</v>
      </c>
      <c r="H55" s="499">
        <v>212</v>
      </c>
      <c r="I55" s="98">
        <f>I56*I46</f>
        <v>234.26316499999999</v>
      </c>
      <c r="J55" s="85">
        <f>J56*J46</f>
        <v>257.40290454999996</v>
      </c>
      <c r="K55" s="85">
        <f>K56*K46</f>
        <v>271.7794990365</v>
      </c>
      <c r="L55" s="85">
        <f>L56*L46</f>
        <v>293.61418556690006</v>
      </c>
      <c r="M55" s="85">
        <f>M56*M46</f>
        <v>314.78644701892443</v>
      </c>
      <c r="N55" s="85">
        <f>N56*N46</f>
        <v>337.12858001664705</v>
      </c>
    </row>
    <row r="56" spans="1:21" ht="15.6">
      <c r="A56" s="1"/>
      <c r="B56" s="82" t="s">
        <v>234</v>
      </c>
      <c r="C56" s="75">
        <f xml:space="preserve"> C55 / C12</f>
        <v>3.9945173291560603E-2</v>
      </c>
      <c r="D56" s="75">
        <f t="shared" ref="D56:H56" si="51" xml:space="preserve"> D55 / D12</f>
        <v>4.1050218795582412E-2</v>
      </c>
      <c r="E56" s="75">
        <f t="shared" si="51"/>
        <v>4.2302740481883393E-2</v>
      </c>
      <c r="F56" s="75">
        <f t="shared" si="51"/>
        <v>3.4776006074411545E-2</v>
      </c>
      <c r="G56" s="75">
        <f t="shared" si="51"/>
        <v>3.0367943548387098E-2</v>
      </c>
      <c r="H56" s="490">
        <f t="shared" si="51"/>
        <v>2.4003623188405796E-2</v>
      </c>
      <c r="I56" s="377">
        <f>'Operating Assumptions'!Q24</f>
        <v>2.3E-2</v>
      </c>
      <c r="J56" s="377">
        <f>'Operating Assumptions'!R24</f>
        <v>2.1999999999999999E-2</v>
      </c>
      <c r="K56" s="377">
        <f>'Operating Assumptions'!S24</f>
        <v>2.1000000000000001E-2</v>
      </c>
      <c r="L56" s="377">
        <f>'Operating Assumptions'!T24</f>
        <v>0.02</v>
      </c>
      <c r="M56" s="377">
        <f>'Operating Assumptions'!U24</f>
        <v>1.9E-2</v>
      </c>
      <c r="N56" s="377">
        <f>'Operating Assumptions'!V24</f>
        <v>1.7999999999999999E-2</v>
      </c>
    </row>
    <row r="57" spans="1:21" ht="15.6">
      <c r="A57" s="1"/>
      <c r="B57" s="1"/>
      <c r="C57" s="1"/>
      <c r="D57" s="1"/>
      <c r="E57" s="1"/>
      <c r="F57" s="1"/>
      <c r="G57" s="1"/>
      <c r="H57" s="498"/>
      <c r="I57" s="26"/>
    </row>
    <row r="58" spans="1:21" ht="15.6">
      <c r="A58" s="1"/>
      <c r="B58" s="80" t="s">
        <v>235</v>
      </c>
      <c r="C58" s="1"/>
      <c r="D58" s="1"/>
      <c r="E58" s="1"/>
      <c r="F58" s="1"/>
      <c r="G58" s="1"/>
      <c r="H58" s="25"/>
      <c r="I58" s="1"/>
    </row>
    <row r="59" spans="1:21" ht="15.6">
      <c r="A59" s="1"/>
      <c r="B59" s="81" t="s">
        <v>236</v>
      </c>
      <c r="C59" s="86">
        <f xml:space="preserve"> 218</f>
        <v>218</v>
      </c>
      <c r="D59" s="86">
        <v>227</v>
      </c>
      <c r="E59" s="86">
        <v>279</v>
      </c>
      <c r="F59" s="86">
        <v>305</v>
      </c>
      <c r="G59" s="86">
        <v>323</v>
      </c>
      <c r="H59" s="92">
        <v>368</v>
      </c>
      <c r="I59" s="85">
        <f>(I60/365)*I47</f>
        <v>397.88182392328764</v>
      </c>
      <c r="J59" s="85">
        <f>(J60/365)*J47</f>
        <v>450.42943883751371</v>
      </c>
      <c r="K59" s="85">
        <f>(K60/365)*K47</f>
        <v>489.93706247053444</v>
      </c>
      <c r="L59" s="85">
        <f>(L60/365)*L47</f>
        <v>560.03889312787896</v>
      </c>
      <c r="M59" s="85">
        <f>(M60/365)*M47</f>
        <v>620.40391605690832</v>
      </c>
      <c r="N59" s="85">
        <f>(N60/365)*N47</f>
        <v>688.62489251497766</v>
      </c>
    </row>
    <row r="60" spans="1:21" ht="15.75">
      <c r="A60" s="1"/>
      <c r="B60" s="82" t="s">
        <v>237</v>
      </c>
      <c r="C60" s="85">
        <v>39.700000000000003</v>
      </c>
      <c r="D60" s="85">
        <v>38.1</v>
      </c>
      <c r="E60" s="85">
        <v>41</v>
      </c>
      <c r="F60" s="85">
        <v>41.5</v>
      </c>
      <c r="G60" s="85">
        <v>37.4</v>
      </c>
      <c r="H60" s="101">
        <v>37.700000000000003</v>
      </c>
      <c r="I60" s="86">
        <f xml:space="preserve"> 'Operating Assumptions'!Q21</f>
        <v>39</v>
      </c>
      <c r="J60" s="86">
        <f xml:space="preserve"> 'Operating Assumptions'!R21</f>
        <v>39</v>
      </c>
      <c r="K60" s="86">
        <f xml:space="preserve"> 'Operating Assumptions'!S21</f>
        <v>39</v>
      </c>
      <c r="L60" s="86">
        <f xml:space="preserve"> 'Operating Assumptions'!T21</f>
        <v>40</v>
      </c>
      <c r="M60" s="86">
        <f xml:space="preserve"> 'Operating Assumptions'!U21</f>
        <v>40</v>
      </c>
      <c r="N60" s="86">
        <f xml:space="preserve"> 'Operating Assumptions'!V21</f>
        <v>40</v>
      </c>
      <c r="O60" s="327"/>
    </row>
    <row r="61" spans="1:21" ht="15.75">
      <c r="A61" s="1"/>
      <c r="B61" s="81" t="s">
        <v>238</v>
      </c>
      <c r="C61" s="86">
        <v>658</v>
      </c>
      <c r="D61" s="86">
        <v>742.1</v>
      </c>
      <c r="E61" s="86">
        <v>664</v>
      </c>
      <c r="F61" s="86">
        <v>681</v>
      </c>
      <c r="G61" s="86">
        <v>909</v>
      </c>
      <c r="H61" s="92">
        <v>852</v>
      </c>
      <c r="I61" s="86">
        <f xml:space="preserve"> I62 * I12</f>
        <v>947.2380149999999</v>
      </c>
      <c r="J61" s="86">
        <f t="shared" ref="J61:N61" si="52" xml:space="preserve"> J62 * J12</f>
        <v>1076.4121462999999</v>
      </c>
      <c r="K61" s="86">
        <f t="shared" si="52"/>
        <v>1177.7111624915001</v>
      </c>
      <c r="L61" s="86">
        <f t="shared" si="52"/>
        <v>1321.2638350510501</v>
      </c>
      <c r="M61" s="86">
        <f t="shared" si="52"/>
        <v>1491.0936964054315</v>
      </c>
      <c r="N61" s="86">
        <f xml:space="preserve"> N62 * N12</f>
        <v>1666.9135345267548</v>
      </c>
      <c r="O61" s="327"/>
    </row>
    <row r="62" spans="1:21" ht="15.75">
      <c r="A62" s="1"/>
      <c r="B62" s="82" t="s">
        <v>234</v>
      </c>
      <c r="C62" s="75">
        <f xml:space="preserve"> C61 / C12</f>
        <v>0.12884276483258272</v>
      </c>
      <c r="D62" s="75">
        <f t="shared" ref="D62:H62" si="53" xml:space="preserve"> D61 / D12</f>
        <v>0.15463638257970411</v>
      </c>
      <c r="E62" s="75">
        <f t="shared" si="53"/>
        <v>0.12212617252161118</v>
      </c>
      <c r="F62" s="75">
        <f t="shared" si="53"/>
        <v>0.10341685649202734</v>
      </c>
      <c r="G62" s="75">
        <f t="shared" si="53"/>
        <v>0.1145413306451613</v>
      </c>
      <c r="H62" s="490">
        <f xml:space="preserve"> H61 / H12</f>
        <v>9.6467391304347824E-2</v>
      </c>
      <c r="I62" s="75">
        <f xml:space="preserve"> 'Operating Assumptions'!Q31</f>
        <v>9.2999999999999999E-2</v>
      </c>
      <c r="J62" s="75">
        <f xml:space="preserve"> 'Operating Assumptions'!R31</f>
        <v>9.1999999999999998E-2</v>
      </c>
      <c r="K62" s="75">
        <f xml:space="preserve"> 'Operating Assumptions'!S31</f>
        <v>9.0999999999999998E-2</v>
      </c>
      <c r="L62" s="75">
        <f xml:space="preserve"> 'Operating Assumptions'!T31</f>
        <v>0.09</v>
      </c>
      <c r="M62" s="75">
        <f xml:space="preserve"> 'Operating Assumptions'!U31</f>
        <v>0.09</v>
      </c>
      <c r="N62" s="490">
        <f xml:space="preserve"> 'Operating Assumptions'!V31</f>
        <v>8.8999999999999996E-2</v>
      </c>
      <c r="O62" s="327"/>
    </row>
    <row r="63" spans="1:21">
      <c r="H63" s="40"/>
    </row>
    <row r="64" spans="1:21">
      <c r="B64" s="84" t="s">
        <v>239</v>
      </c>
      <c r="C64" s="102">
        <f xml:space="preserve"> C51 + C53 + C55 - C59 - C61</f>
        <v>1367</v>
      </c>
      <c r="D64" s="102">
        <f t="shared" ref="D64:N64" si="54" xml:space="preserve"> D51 + D53 + D55 - D59 - D61</f>
        <v>1273.9000000000001</v>
      </c>
      <c r="E64" s="102">
        <f t="shared" si="54"/>
        <v>1705</v>
      </c>
      <c r="F64" s="102">
        <f t="shared" si="54"/>
        <v>2280</v>
      </c>
      <c r="G64" s="102">
        <f t="shared" si="54"/>
        <v>2536</v>
      </c>
      <c r="H64" s="102">
        <f t="shared" si="54"/>
        <v>2984</v>
      </c>
      <c r="I64" s="102">
        <f xml:space="preserve"> I51 + I53 + I55 - I59 - I61</f>
        <v>3091.7603244876709</v>
      </c>
      <c r="J64" s="102">
        <f t="shared" si="54"/>
        <v>3510.1197453905816</v>
      </c>
      <c r="K64" s="102">
        <f t="shared" si="54"/>
        <v>3797.4031498644349</v>
      </c>
      <c r="L64" s="102">
        <f t="shared" si="54"/>
        <v>4195.9960827031282</v>
      </c>
      <c r="M64" s="102">
        <f t="shared" si="54"/>
        <v>4607.8971189097374</v>
      </c>
      <c r="N64" s="102">
        <f t="shared" si="54"/>
        <v>5086.1772985159905</v>
      </c>
      <c r="O64" s="103"/>
      <c r="P64" s="103"/>
      <c r="Q64" s="103"/>
      <c r="R64" s="103"/>
      <c r="S64" s="103"/>
      <c r="T64" s="103"/>
    </row>
    <row r="65" spans="2:20" ht="15">
      <c r="B65" s="79" t="s">
        <v>240</v>
      </c>
      <c r="C65" s="105"/>
      <c r="D65" s="91">
        <f>D64-C64</f>
        <v>-93.099999999999909</v>
      </c>
      <c r="E65" s="91">
        <f t="shared" ref="D65:N65" si="55">E64-D64</f>
        <v>431.09999999999991</v>
      </c>
      <c r="F65" s="91">
        <f t="shared" si="55"/>
        <v>575</v>
      </c>
      <c r="G65" s="91">
        <f t="shared" si="55"/>
        <v>256</v>
      </c>
      <c r="H65" s="97">
        <f t="shared" si="55"/>
        <v>448</v>
      </c>
      <c r="I65" s="91">
        <f>I64-H64</f>
        <v>107.76032448767091</v>
      </c>
      <c r="J65" s="91">
        <f t="shared" si="55"/>
        <v>418.35942090291064</v>
      </c>
      <c r="K65" s="91">
        <f t="shared" si="55"/>
        <v>287.28340447385335</v>
      </c>
      <c r="L65" s="91">
        <f t="shared" si="55"/>
        <v>398.59293283869329</v>
      </c>
      <c r="M65" s="91">
        <f t="shared" si="55"/>
        <v>411.90103620660921</v>
      </c>
      <c r="N65" s="91">
        <f t="shared" si="55"/>
        <v>478.28017960625311</v>
      </c>
      <c r="O65" s="104"/>
      <c r="P65" s="104"/>
      <c r="Q65" s="104"/>
      <c r="R65" s="104"/>
      <c r="S65" s="104"/>
      <c r="T65" s="104"/>
    </row>
    <row r="66" spans="2:20">
      <c r="H66" s="501"/>
      <c r="I66" s="24"/>
      <c r="O66" s="103"/>
      <c r="P66" s="103"/>
      <c r="Q66" s="103"/>
      <c r="R66" s="103"/>
      <c r="S66" s="103"/>
      <c r="T66" s="103"/>
    </row>
    <row r="67" spans="2:20" ht="15">
      <c r="H67" s="502"/>
      <c r="I67" s="103"/>
      <c r="J67" s="103"/>
      <c r="O67" s="86"/>
    </row>
    <row r="68" spans="2:20">
      <c r="B68" s="34" t="s">
        <v>241</v>
      </c>
      <c r="C68" s="35"/>
      <c r="D68" s="36"/>
      <c r="E68" s="36"/>
      <c r="F68" s="36"/>
      <c r="G68" s="36"/>
      <c r="H68" s="503"/>
      <c r="I68" s="506"/>
      <c r="J68" s="36"/>
      <c r="K68" s="36"/>
      <c r="L68" s="36"/>
      <c r="M68" s="36"/>
      <c r="N68" s="36"/>
    </row>
    <row r="69" spans="2:20">
      <c r="H69" s="501"/>
      <c r="I69" s="24"/>
    </row>
    <row r="70" spans="2:20">
      <c r="B70" s="72" t="s">
        <v>242</v>
      </c>
      <c r="C70" s="85">
        <f xml:space="preserve"> CFS!H25</f>
        <v>-105</v>
      </c>
      <c r="D70" s="85">
        <f xml:space="preserve"> CFS!G25</f>
        <v>-105</v>
      </c>
      <c r="E70" s="85">
        <f xml:space="preserve"> CFS!F25</f>
        <v>-119</v>
      </c>
      <c r="F70" s="85">
        <f xml:space="preserve"> CFS!E25</f>
        <v>-139</v>
      </c>
      <c r="G70" s="85">
        <f xml:space="preserve"> CFS!D25</f>
        <v>-165</v>
      </c>
      <c r="H70" s="504">
        <f xml:space="preserve"> CFS!C25</f>
        <v>-222</v>
      </c>
      <c r="I70" s="98">
        <f>I71*I46*-1</f>
        <v>-234.26316499999999</v>
      </c>
      <c r="J70" s="85">
        <f>J71*J46*-1</f>
        <v>-257.40290454999996</v>
      </c>
      <c r="K70" s="85">
        <f>K71*K46*-1</f>
        <v>-284.72137994299999</v>
      </c>
      <c r="L70" s="85">
        <f>L71*L46*-1</f>
        <v>-308.2948948452451</v>
      </c>
      <c r="M70" s="85">
        <f>M71*M46*-1</f>
        <v>-347.92186249460076</v>
      </c>
      <c r="N70" s="85">
        <f>N71*N46*-1</f>
        <v>-374.58731112960783</v>
      </c>
    </row>
    <row r="71" spans="2:20" ht="15">
      <c r="B71" s="73" t="s">
        <v>221</v>
      </c>
      <c r="C71" s="75">
        <f>C70*-1/C46</f>
        <v>2.0560015664773841E-2</v>
      </c>
      <c r="D71" s="75">
        <f>D70*-1/D46</f>
        <v>2.1879558241300272E-2</v>
      </c>
      <c r="E71" s="75">
        <f>E70*-1/E46</f>
        <v>2.1887070075409232E-2</v>
      </c>
      <c r="F71" s="75">
        <f>F70*-1/F46</f>
        <v>2.1108580106302201E-2</v>
      </c>
      <c r="G71" s="75">
        <f>G70*-1/G46</f>
        <v>2.0791330645161289E-2</v>
      </c>
      <c r="H71" s="490">
        <f>H70*-1/H46</f>
        <v>2.5135869565217392E-2</v>
      </c>
      <c r="I71" s="377">
        <f>'Operating Assumptions'!F40</f>
        <v>2.3E-2</v>
      </c>
      <c r="J71" s="377">
        <f>'Operating Assumptions'!G40</f>
        <v>2.1999999999999999E-2</v>
      </c>
      <c r="K71" s="377">
        <f>'Operating Assumptions'!H40</f>
        <v>2.1999999999999999E-2</v>
      </c>
      <c r="L71" s="377">
        <f>'Operating Assumptions'!I40</f>
        <v>2.1000000000000001E-2</v>
      </c>
      <c r="M71" s="377">
        <f>'Operating Assumptions'!J40</f>
        <v>2.1000000000000001E-2</v>
      </c>
      <c r="N71" s="377">
        <f>'Operating Assumptions'!K40</f>
        <v>0.02</v>
      </c>
      <c r="O71" s="327"/>
    </row>
    <row r="72" spans="2:20">
      <c r="H72" s="501"/>
      <c r="I72" s="24"/>
    </row>
    <row r="73" spans="2:20">
      <c r="B73" s="72" t="s">
        <v>243</v>
      </c>
      <c r="C73" s="38">
        <f xml:space="preserve"> CFS!H26</f>
        <v>0</v>
      </c>
      <c r="D73" s="38">
        <f xml:space="preserve"> CFS!G26</f>
        <v>-963</v>
      </c>
      <c r="E73" s="38">
        <f xml:space="preserve"> CFS!F26</f>
        <v>-437</v>
      </c>
      <c r="F73" s="38">
        <f xml:space="preserve"> CFS!E26</f>
        <v>-762</v>
      </c>
      <c r="G73" s="38">
        <f xml:space="preserve"> CFS!D26</f>
        <v>-2347</v>
      </c>
      <c r="H73" s="504">
        <f xml:space="preserve"> CFS!C26</f>
        <v>-419</v>
      </c>
      <c r="I73" s="98">
        <f>I74*I46</f>
        <v>-509.26774999999998</v>
      </c>
      <c r="J73" s="85">
        <f>J74*J46</f>
        <v>-585.00660125000002</v>
      </c>
      <c r="K73" s="85">
        <f>K74*K46</f>
        <v>-582.38464079250002</v>
      </c>
      <c r="L73" s="85">
        <f>L74*L46</f>
        <v>-660.63191752552507</v>
      </c>
      <c r="M73" s="85">
        <f>M74*M46</f>
        <v>-662.70830951352514</v>
      </c>
      <c r="N73" s="85">
        <f>N74*N46</f>
        <v>-749.17462225921565</v>
      </c>
      <c r="O73" t="s">
        <v>244</v>
      </c>
    </row>
    <row r="74" spans="2:20" ht="15">
      <c r="B74" s="73" t="s">
        <v>221</v>
      </c>
      <c r="C74" s="107">
        <f>C73/C46</f>
        <v>0</v>
      </c>
      <c r="D74" s="107">
        <f>D73/D46</f>
        <v>-0.20066680558449676</v>
      </c>
      <c r="E74" s="107">
        <f>E73/E46</f>
        <v>-8.0375206915578437E-2</v>
      </c>
      <c r="F74" s="107">
        <f>F73/F46</f>
        <v>-0.11571753986332574</v>
      </c>
      <c r="G74" s="107">
        <f>G73/G46</f>
        <v>-0.29574092741935482</v>
      </c>
      <c r="H74" s="505">
        <f>H73/H46</f>
        <v>-4.74411231884058E-2</v>
      </c>
      <c r="I74" s="377">
        <f>'Operating Assumptions'!F45</f>
        <v>-0.05</v>
      </c>
      <c r="J74" s="377">
        <f>'Operating Assumptions'!G45</f>
        <v>-0.05</v>
      </c>
      <c r="K74" s="377">
        <f>'Operating Assumptions'!H45</f>
        <v>-4.4999999999999998E-2</v>
      </c>
      <c r="L74" s="377">
        <f>'Operating Assumptions'!I45</f>
        <v>-4.4999999999999998E-2</v>
      </c>
      <c r="M74" s="377">
        <f>'Operating Assumptions'!J45</f>
        <v>-0.04</v>
      </c>
      <c r="N74" s="377">
        <f>'Operating Assumptions'!K45</f>
        <v>-0.04</v>
      </c>
      <c r="O74" s="327"/>
    </row>
    <row r="75" spans="2:20">
      <c r="H75" s="501"/>
      <c r="I75" s="24"/>
    </row>
    <row r="76" spans="2:20">
      <c r="B76" s="108" t="s">
        <v>245</v>
      </c>
      <c r="C76" s="64">
        <f>C70+C73</f>
        <v>-105</v>
      </c>
      <c r="D76" s="64">
        <f t="shared" ref="D76:N76" si="56">D70+D73</f>
        <v>-1068</v>
      </c>
      <c r="E76" s="64">
        <f t="shared" si="56"/>
        <v>-556</v>
      </c>
      <c r="F76" s="64">
        <f t="shared" si="56"/>
        <v>-901</v>
      </c>
      <c r="G76" s="64">
        <f t="shared" si="56"/>
        <v>-2512</v>
      </c>
      <c r="H76" s="65">
        <f t="shared" si="56"/>
        <v>-641</v>
      </c>
      <c r="I76" s="64">
        <f t="shared" si="56"/>
        <v>-743.53091499999994</v>
      </c>
      <c r="J76" s="64">
        <f t="shared" si="56"/>
        <v>-842.40950580000003</v>
      </c>
      <c r="K76" s="64">
        <f>K70+K73</f>
        <v>-867.10602073550001</v>
      </c>
      <c r="L76" s="64">
        <f t="shared" si="56"/>
        <v>-968.92681237077022</v>
      </c>
      <c r="M76" s="64">
        <f t="shared" si="56"/>
        <v>-1010.6301720081259</v>
      </c>
      <c r="N76" s="64">
        <f t="shared" si="56"/>
        <v>-1123.7619333888235</v>
      </c>
    </row>
    <row r="77" spans="2:20">
      <c r="B77" s="73"/>
    </row>
    <row r="78" spans="2:20" ht="15"/>
    <row r="79" spans="2:20" ht="15"/>
    <row r="80" spans="2:20" ht="15"/>
    <row r="81" ht="15"/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E6C3-E6B3-4462-A3BD-DCEFCE6BF181}">
  <dimension ref="A1:X61"/>
  <sheetViews>
    <sheetView showGridLines="0" topLeftCell="A7" zoomScale="75" zoomScaleNormal="59" workbookViewId="0">
      <selection activeCell="W69" sqref="W69"/>
    </sheetView>
  </sheetViews>
  <sheetFormatPr defaultColWidth="8.85546875" defaultRowHeight="14.45"/>
  <cols>
    <col min="2" max="2" width="31.7109375" customWidth="1"/>
  </cols>
  <sheetData>
    <row r="1" spans="1:23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3" ht="26.1">
      <c r="A2" s="1"/>
      <c r="B2" s="27" t="s">
        <v>166</v>
      </c>
      <c r="C2" s="28"/>
      <c r="D2" s="28"/>
      <c r="E2" s="28"/>
      <c r="F2" s="28"/>
      <c r="G2" s="28"/>
      <c r="H2" s="28"/>
      <c r="I2" s="28"/>
      <c r="J2" s="28"/>
      <c r="K2" s="28"/>
      <c r="L2" s="24"/>
      <c r="M2" s="24"/>
      <c r="N2" s="24"/>
      <c r="O2" s="24"/>
    </row>
    <row r="3" spans="1:23" ht="15.6">
      <c r="A3" s="1"/>
      <c r="B3" s="33" t="s">
        <v>246</v>
      </c>
      <c r="C3" s="28"/>
      <c r="D3" s="28"/>
      <c r="E3" s="28"/>
      <c r="F3" s="28"/>
      <c r="G3" s="28"/>
      <c r="H3" s="28"/>
      <c r="I3" s="28"/>
      <c r="J3" s="28"/>
      <c r="K3" s="28"/>
      <c r="L3" s="24"/>
      <c r="M3" s="24"/>
      <c r="N3" s="24"/>
      <c r="O3" s="24"/>
    </row>
    <row r="4" spans="1:23" ht="15.6">
      <c r="A4" s="1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23" ht="15.6">
      <c r="A5" s="1"/>
      <c r="B5" s="87"/>
      <c r="C5" s="215"/>
      <c r="D5" s="215"/>
      <c r="E5" s="215"/>
      <c r="F5" s="217" t="s">
        <v>43</v>
      </c>
      <c r="G5" s="217" t="s">
        <v>44</v>
      </c>
      <c r="H5" s="217" t="s">
        <v>45</v>
      </c>
      <c r="I5" s="217" t="s">
        <v>46</v>
      </c>
      <c r="J5" s="217" t="s">
        <v>47</v>
      </c>
      <c r="K5" s="217" t="s">
        <v>48</v>
      </c>
      <c r="L5" s="87"/>
      <c r="M5" s="87"/>
      <c r="N5" s="215"/>
      <c r="O5" s="215"/>
      <c r="P5" s="215"/>
      <c r="Q5" s="217" t="s">
        <v>43</v>
      </c>
      <c r="R5" s="217" t="s">
        <v>44</v>
      </c>
      <c r="S5" s="217" t="s">
        <v>45</v>
      </c>
      <c r="T5" s="217" t="s">
        <v>46</v>
      </c>
      <c r="U5" s="217" t="s">
        <v>47</v>
      </c>
      <c r="V5" s="217" t="s">
        <v>48</v>
      </c>
    </row>
    <row r="6" spans="1:23" ht="15.6">
      <c r="A6" s="1"/>
      <c r="B6" s="24"/>
      <c r="C6" s="24"/>
      <c r="D6" s="24"/>
      <c r="E6" s="24"/>
      <c r="F6" s="24"/>
      <c r="G6" s="24"/>
      <c r="H6" s="24"/>
      <c r="I6" s="24"/>
      <c r="J6" s="24"/>
      <c r="K6" s="24"/>
      <c r="O6" s="24"/>
      <c r="P6" s="24"/>
      <c r="Q6" s="24"/>
    </row>
    <row r="7" spans="1:23" ht="15.6">
      <c r="A7" s="1"/>
      <c r="B7" s="34" t="s">
        <v>247</v>
      </c>
      <c r="C7" s="181"/>
      <c r="D7" s="181"/>
      <c r="E7" s="181"/>
      <c r="F7" s="182"/>
      <c r="G7" s="182"/>
      <c r="H7" s="182"/>
      <c r="I7" s="182"/>
      <c r="J7" s="182"/>
      <c r="K7" s="182"/>
      <c r="M7" s="34" t="s">
        <v>248</v>
      </c>
      <c r="N7" s="181"/>
      <c r="O7" s="181"/>
      <c r="P7" s="181"/>
      <c r="Q7" s="182"/>
      <c r="R7" s="182"/>
      <c r="S7" s="182"/>
      <c r="T7" s="182"/>
      <c r="U7" s="182"/>
      <c r="V7" s="182"/>
    </row>
    <row r="8" spans="1:23" ht="15.6">
      <c r="A8" s="1"/>
      <c r="B8" s="24"/>
      <c r="C8" s="24"/>
      <c r="D8" s="24"/>
      <c r="E8" s="24"/>
      <c r="F8" s="24"/>
      <c r="G8" s="24"/>
      <c r="H8" s="24"/>
      <c r="I8" s="24"/>
      <c r="J8" s="24"/>
      <c r="K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3" ht="15.6">
      <c r="A9" s="1"/>
      <c r="B9" s="83" t="s">
        <v>249</v>
      </c>
      <c r="C9" s="84"/>
      <c r="D9" s="84"/>
      <c r="E9" s="84"/>
      <c r="F9" s="484">
        <f>CHOOSE(Cover!$F$9, F10,F11,F12)</f>
        <v>0.36559999999999998</v>
      </c>
      <c r="G9" s="484">
        <f>CHOOSE(Cover!$F$9, G10,G11,G12)</f>
        <v>0.36030000000000001</v>
      </c>
      <c r="H9" s="484">
        <f>CHOOSE(Cover!$F$9, H10,H11,H12)</f>
        <v>0.3543</v>
      </c>
      <c r="I9" s="484">
        <f>CHOOSE(Cover!$F$9, I10,I11,I12)</f>
        <v>0.34810000000000002</v>
      </c>
      <c r="J9" s="484">
        <f>CHOOSE(Cover!$F$9, J10,J11,J12)</f>
        <v>0.3417</v>
      </c>
      <c r="K9" s="484">
        <f>CHOOSE(Cover!$F$9, K10,K11,K12)</f>
        <v>0.33550000000000002</v>
      </c>
      <c r="M9" s="83" t="s">
        <v>230</v>
      </c>
      <c r="N9" s="84"/>
      <c r="O9" s="84"/>
      <c r="P9" s="84"/>
      <c r="Q9" s="379">
        <f>CHOOSE(Cover!$F$9, Q10,Q11,Q12)</f>
        <v>72</v>
      </c>
      <c r="R9" s="379">
        <f>CHOOSE(Cover!$F$9, R10,R11,R12)</f>
        <v>72</v>
      </c>
      <c r="S9" s="379">
        <f>CHOOSE(Cover!$F$9, S10,S11,S12)</f>
        <v>71</v>
      </c>
      <c r="T9" s="379">
        <f>CHOOSE(Cover!$F$9, T10,T11,T12)</f>
        <v>70</v>
      </c>
      <c r="U9" s="379">
        <f>CHOOSE(Cover!$F$9, U10,U11,U12)</f>
        <v>69</v>
      </c>
      <c r="V9" s="379">
        <f>CHOOSE(Cover!$F$9, V10,V11,V12)</f>
        <v>68</v>
      </c>
    </row>
    <row r="10" spans="1:23" ht="15.6">
      <c r="A10" s="1"/>
      <c r="B10" s="81" t="s">
        <v>186</v>
      </c>
      <c r="C10" s="72"/>
      <c r="D10" s="72"/>
      <c r="E10" s="72"/>
      <c r="F10" s="485">
        <f xml:space="preserve"> F11 + 0.75%</f>
        <v>0.37309999999999999</v>
      </c>
      <c r="G10" s="485">
        <f t="shared" ref="G10:K10" si="0" xml:space="preserve"> G11 + 0.75%</f>
        <v>0.36780000000000002</v>
      </c>
      <c r="H10" s="485">
        <f t="shared" si="0"/>
        <v>0.36180000000000001</v>
      </c>
      <c r="I10" s="485">
        <f t="shared" si="0"/>
        <v>0.35560000000000003</v>
      </c>
      <c r="J10" s="485">
        <f t="shared" si="0"/>
        <v>0.34920000000000001</v>
      </c>
      <c r="K10" s="485">
        <f t="shared" si="0"/>
        <v>0.34300000000000003</v>
      </c>
      <c r="M10" s="81" t="s">
        <v>186</v>
      </c>
      <c r="N10" s="72"/>
      <c r="O10" s="72"/>
      <c r="P10" s="72"/>
      <c r="Q10" s="378">
        <v>70</v>
      </c>
      <c r="R10" s="378">
        <v>69</v>
      </c>
      <c r="S10" s="378">
        <v>68</v>
      </c>
      <c r="T10" s="378">
        <v>67</v>
      </c>
      <c r="U10" s="378">
        <v>66</v>
      </c>
      <c r="V10" s="378">
        <v>65</v>
      </c>
      <c r="W10" s="327"/>
    </row>
    <row r="11" spans="1:23" ht="15.6">
      <c r="A11" s="1"/>
      <c r="B11" s="81" t="s">
        <v>187</v>
      </c>
      <c r="C11" s="72"/>
      <c r="D11" s="72"/>
      <c r="E11" s="72"/>
      <c r="F11" s="485">
        <v>0.36559999999999998</v>
      </c>
      <c r="G11" s="485">
        <v>0.36030000000000001</v>
      </c>
      <c r="H11" s="485">
        <v>0.3543</v>
      </c>
      <c r="I11" s="485">
        <v>0.34810000000000002</v>
      </c>
      <c r="J11" s="485">
        <v>0.3417</v>
      </c>
      <c r="K11" s="485">
        <v>0.33550000000000002</v>
      </c>
      <c r="M11" s="81" t="s">
        <v>187</v>
      </c>
      <c r="N11" s="72"/>
      <c r="O11" s="72"/>
      <c r="P11" s="72"/>
      <c r="Q11" s="378">
        <v>72</v>
      </c>
      <c r="R11" s="378">
        <v>72</v>
      </c>
      <c r="S11" s="378">
        <v>71</v>
      </c>
      <c r="T11" s="378">
        <v>70</v>
      </c>
      <c r="U11" s="378">
        <v>69</v>
      </c>
      <c r="V11" s="378">
        <v>68</v>
      </c>
      <c r="W11" s="327" t="s">
        <v>250</v>
      </c>
    </row>
    <row r="12" spans="1:23" ht="15.6">
      <c r="A12" s="1"/>
      <c r="B12" s="81" t="s">
        <v>188</v>
      </c>
      <c r="C12" s="72"/>
      <c r="D12" s="72"/>
      <c r="E12" s="72"/>
      <c r="F12" s="485">
        <f xml:space="preserve"> F11 - 0.77%</f>
        <v>0.3579</v>
      </c>
      <c r="G12" s="485">
        <f t="shared" ref="G12:K12" si="1" xml:space="preserve"> G11 - 0.77%</f>
        <v>0.35260000000000002</v>
      </c>
      <c r="H12" s="485">
        <f t="shared" si="1"/>
        <v>0.34660000000000002</v>
      </c>
      <c r="I12" s="485">
        <f t="shared" si="1"/>
        <v>0.34040000000000004</v>
      </c>
      <c r="J12" s="485">
        <f t="shared" si="1"/>
        <v>0.33400000000000002</v>
      </c>
      <c r="K12" s="485">
        <f t="shared" si="1"/>
        <v>0.32780000000000004</v>
      </c>
      <c r="L12" s="327"/>
      <c r="M12" s="81" t="s">
        <v>188</v>
      </c>
      <c r="N12" s="72"/>
      <c r="O12" s="72"/>
      <c r="P12" s="72"/>
      <c r="Q12" s="378">
        <v>74</v>
      </c>
      <c r="R12" s="378">
        <v>75</v>
      </c>
      <c r="S12" s="378">
        <v>75</v>
      </c>
      <c r="T12" s="378">
        <v>76</v>
      </c>
      <c r="U12" s="378">
        <v>76</v>
      </c>
      <c r="V12" s="378">
        <v>77</v>
      </c>
      <c r="W12" s="327"/>
    </row>
    <row r="13" spans="1:23" ht="15.6">
      <c r="A13" s="1"/>
      <c r="B13" s="24"/>
      <c r="C13" s="24"/>
      <c r="D13" s="24"/>
      <c r="E13" s="24"/>
      <c r="F13" s="486"/>
      <c r="G13" s="486"/>
      <c r="H13" s="486"/>
      <c r="I13" s="486"/>
      <c r="J13" s="486"/>
      <c r="K13" s="486"/>
      <c r="L13" s="24"/>
      <c r="M13" s="24"/>
      <c r="N13" s="24"/>
      <c r="O13" s="24"/>
      <c r="P13" s="24"/>
      <c r="Q13" s="24"/>
    </row>
    <row r="14" spans="1:23" ht="15.6">
      <c r="A14" s="1"/>
      <c r="B14" s="83" t="s">
        <v>251</v>
      </c>
      <c r="C14" s="84"/>
      <c r="D14" s="84"/>
      <c r="E14" s="84"/>
      <c r="F14" s="484">
        <f>CHOOSE(Cover!$F$9, F15,F16,F17)</f>
        <v>9.0999999999999998E-2</v>
      </c>
      <c r="G14" s="484">
        <f>CHOOSE(Cover!$F$9, G15,G16,G17)</f>
        <v>0.09</v>
      </c>
      <c r="H14" s="484">
        <f>CHOOSE(Cover!$F$9, H15,H16,H17)</f>
        <v>8.8999999999999996E-2</v>
      </c>
      <c r="I14" s="484">
        <f>CHOOSE(Cover!$F$9, I15,I16,I17)</f>
        <v>8.7999999999999995E-2</v>
      </c>
      <c r="J14" s="484">
        <f>CHOOSE(Cover!$F$9, J15,J16,J17)</f>
        <v>8.6999999999999994E-2</v>
      </c>
      <c r="K14" s="484">
        <f>CHOOSE(Cover!$F$9, K15,K16,K17)</f>
        <v>8.5999999999999993E-2</v>
      </c>
      <c r="L14" s="69"/>
      <c r="M14" s="83" t="s">
        <v>232</v>
      </c>
      <c r="N14" s="84"/>
      <c r="O14" s="84"/>
      <c r="P14" s="84"/>
      <c r="Q14" s="379">
        <f>CHOOSE(Cover!$F$9, Q15,Q16,Q17)</f>
        <v>215</v>
      </c>
      <c r="R14" s="379">
        <f>CHOOSE(Cover!$F$9, R15,R16,R17)</f>
        <v>214</v>
      </c>
      <c r="S14" s="379">
        <f>CHOOSE(Cover!$F$9, S15,S16,S17)</f>
        <v>213</v>
      </c>
      <c r="T14" s="379">
        <f>CHOOSE(Cover!$F$9, T15,T16,T17)</f>
        <v>212</v>
      </c>
      <c r="U14" s="379">
        <f>CHOOSE(Cover!$F$9, U15,U16,U17)</f>
        <v>211</v>
      </c>
      <c r="V14" s="379">
        <f>CHOOSE(Cover!$F$9, V15,V16,V17)</f>
        <v>210</v>
      </c>
    </row>
    <row r="15" spans="1:23" ht="15.6">
      <c r="A15" s="1"/>
      <c r="B15" s="81" t="s">
        <v>186</v>
      </c>
      <c r="C15" s="72"/>
      <c r="D15" s="72"/>
      <c r="E15" s="72"/>
      <c r="F15" s="485">
        <v>9.0999999999999998E-2</v>
      </c>
      <c r="G15" s="485">
        <v>8.8999999999999996E-2</v>
      </c>
      <c r="H15" s="485">
        <v>8.6999999999999994E-2</v>
      </c>
      <c r="I15" s="485">
        <v>8.5000000000000006E-2</v>
      </c>
      <c r="J15" s="485">
        <v>8.3000000000000004E-2</v>
      </c>
      <c r="K15" s="485">
        <v>8.1000000000000003E-2</v>
      </c>
      <c r="L15" s="360"/>
      <c r="M15" s="81" t="s">
        <v>186</v>
      </c>
      <c r="N15" s="72"/>
      <c r="O15" s="72"/>
      <c r="P15" s="72"/>
      <c r="Q15" s="378">
        <v>212</v>
      </c>
      <c r="R15" s="378">
        <v>210</v>
      </c>
      <c r="S15" s="378">
        <v>208</v>
      </c>
      <c r="T15" s="378">
        <v>206</v>
      </c>
      <c r="U15" s="378">
        <v>204</v>
      </c>
      <c r="V15" s="378">
        <v>202</v>
      </c>
      <c r="W15" s="327"/>
    </row>
    <row r="16" spans="1:23" ht="15.75">
      <c r="A16" s="1"/>
      <c r="B16" s="81" t="s">
        <v>187</v>
      </c>
      <c r="C16" s="72"/>
      <c r="D16" s="72"/>
      <c r="E16" s="72"/>
      <c r="F16" s="485">
        <v>9.0999999999999998E-2</v>
      </c>
      <c r="G16" s="485">
        <v>0.09</v>
      </c>
      <c r="H16" s="485">
        <v>8.8999999999999996E-2</v>
      </c>
      <c r="I16" s="485">
        <v>8.7999999999999995E-2</v>
      </c>
      <c r="J16" s="485">
        <v>8.6999999999999994E-2</v>
      </c>
      <c r="K16" s="485">
        <v>8.5999999999999993E-2</v>
      </c>
      <c r="L16" s="67"/>
      <c r="M16" s="81" t="s">
        <v>187</v>
      </c>
      <c r="N16" s="72"/>
      <c r="O16" s="72"/>
      <c r="P16" s="72"/>
      <c r="Q16" s="378">
        <v>215</v>
      </c>
      <c r="R16" s="378">
        <v>214</v>
      </c>
      <c r="S16" s="378">
        <v>213</v>
      </c>
      <c r="T16" s="378">
        <v>212</v>
      </c>
      <c r="U16" s="378">
        <v>211</v>
      </c>
      <c r="V16" s="378">
        <v>210</v>
      </c>
      <c r="W16" s="491" t="s">
        <v>250</v>
      </c>
    </row>
    <row r="17" spans="1:23" ht="15.6">
      <c r="A17" s="1"/>
      <c r="B17" s="81" t="s">
        <v>188</v>
      </c>
      <c r="C17" s="72"/>
      <c r="D17" s="72"/>
      <c r="E17" s="72"/>
      <c r="F17" s="485">
        <v>9.0999999999999998E-2</v>
      </c>
      <c r="G17" s="485">
        <v>9.1999999999999998E-2</v>
      </c>
      <c r="H17" s="485">
        <v>9.1999999999999998E-2</v>
      </c>
      <c r="I17" s="485">
        <v>9.0999999999999998E-2</v>
      </c>
      <c r="J17" s="485">
        <v>9.0999999999999998E-2</v>
      </c>
      <c r="K17" s="485">
        <v>0.09</v>
      </c>
      <c r="L17" s="24"/>
      <c r="M17" s="81" t="s">
        <v>188</v>
      </c>
      <c r="N17" s="72"/>
      <c r="O17" s="72"/>
      <c r="P17" s="72"/>
      <c r="Q17" s="378">
        <v>220</v>
      </c>
      <c r="R17" s="378">
        <v>222</v>
      </c>
      <c r="S17" s="378">
        <v>223</v>
      </c>
      <c r="T17" s="378">
        <v>224</v>
      </c>
      <c r="U17" s="378">
        <v>225</v>
      </c>
      <c r="V17" s="378">
        <v>225</v>
      </c>
      <c r="W17" s="327"/>
    </row>
    <row r="18" spans="1:23" ht="15.6">
      <c r="A18" s="1"/>
      <c r="B18" s="328"/>
      <c r="C18" s="359"/>
      <c r="D18" s="359"/>
      <c r="E18" s="359"/>
      <c r="F18" s="487"/>
      <c r="G18" s="487"/>
      <c r="H18" s="487"/>
      <c r="I18" s="486"/>
      <c r="J18" s="486"/>
      <c r="K18" s="486"/>
      <c r="L18" s="69"/>
      <c r="M18" s="69"/>
      <c r="N18" s="69"/>
      <c r="O18" s="24"/>
      <c r="P18" s="24"/>
      <c r="Q18" s="24"/>
    </row>
    <row r="19" spans="1:23" ht="15.75">
      <c r="A19" s="1"/>
      <c r="B19" s="83" t="s">
        <v>252</v>
      </c>
      <c r="C19" s="84"/>
      <c r="D19" s="84"/>
      <c r="E19" s="84"/>
      <c r="F19" s="484">
        <f>CHOOSE(Cover!$F$9, F20,F21,F22)</f>
        <v>0.04</v>
      </c>
      <c r="G19" s="484">
        <f>CHOOSE(Cover!$F$9, G20,G21,G22)</f>
        <v>0.04</v>
      </c>
      <c r="H19" s="484">
        <f>CHOOSE(Cover!$F$9, H20,H21,H22)</f>
        <v>3.95E-2</v>
      </c>
      <c r="I19" s="484">
        <f>CHOOSE(Cover!$F$9, I20,I21,I22)</f>
        <v>3.9E-2</v>
      </c>
      <c r="J19" s="484">
        <f>CHOOSE(Cover!$F$9, J20,J21,J22)</f>
        <v>3.85E-2</v>
      </c>
      <c r="K19" s="484">
        <f>CHOOSE(Cover!$F$9, K20,K21,K22)</f>
        <v>3.7999999999999999E-2</v>
      </c>
      <c r="L19" s="360"/>
      <c r="M19" s="83" t="s">
        <v>237</v>
      </c>
      <c r="N19" s="84"/>
      <c r="O19" s="84"/>
      <c r="P19" s="84"/>
      <c r="Q19" s="379">
        <f>CHOOSE(Cover!$F$9, Q20,Q21,Q22)</f>
        <v>39</v>
      </c>
      <c r="R19" s="379">
        <f>CHOOSE(Cover!$F$9, R20,R21,R22)</f>
        <v>39</v>
      </c>
      <c r="S19" s="379">
        <f>CHOOSE(Cover!$F$9, S20,S21,S22)</f>
        <v>39</v>
      </c>
      <c r="T19" s="379">
        <f>CHOOSE(Cover!$F$9, T20,T21,T22)</f>
        <v>40</v>
      </c>
      <c r="U19" s="379">
        <f>CHOOSE(Cover!$F$9, U20,U21,U22)</f>
        <v>40</v>
      </c>
      <c r="V19" s="379">
        <f>CHOOSE(Cover!$F$9, V20,V21,V22)</f>
        <v>40</v>
      </c>
    </row>
    <row r="20" spans="1:23" ht="15.75">
      <c r="A20" s="1"/>
      <c r="B20" s="81" t="s">
        <v>186</v>
      </c>
      <c r="C20" s="72"/>
      <c r="D20" s="72"/>
      <c r="E20" s="72"/>
      <c r="F20" s="485">
        <v>3.9E-2</v>
      </c>
      <c r="G20" s="485">
        <v>3.7999999999999999E-2</v>
      </c>
      <c r="H20" s="485">
        <v>3.6999999999999998E-2</v>
      </c>
      <c r="I20" s="485">
        <v>3.5999999999999997E-2</v>
      </c>
      <c r="J20" s="485">
        <v>3.5499999999999997E-2</v>
      </c>
      <c r="K20" s="485">
        <v>3.5000000000000003E-2</v>
      </c>
      <c r="L20" s="67"/>
      <c r="M20" s="81" t="s">
        <v>186</v>
      </c>
      <c r="N20" s="72"/>
      <c r="O20" s="72"/>
      <c r="P20" s="72"/>
      <c r="Q20" s="378">
        <v>40</v>
      </c>
      <c r="R20" s="378">
        <v>40</v>
      </c>
      <c r="S20" s="378">
        <v>41</v>
      </c>
      <c r="T20" s="378">
        <v>41</v>
      </c>
      <c r="U20" s="378">
        <v>42</v>
      </c>
      <c r="V20" s="378">
        <v>42</v>
      </c>
    </row>
    <row r="21" spans="1:23" ht="15.75">
      <c r="A21" s="1"/>
      <c r="B21" s="81" t="s">
        <v>187</v>
      </c>
      <c r="C21" s="72"/>
      <c r="D21" s="72"/>
      <c r="E21" s="72"/>
      <c r="F21" s="485">
        <v>0.04</v>
      </c>
      <c r="G21" s="485">
        <v>0.04</v>
      </c>
      <c r="H21" s="485">
        <v>3.95E-2</v>
      </c>
      <c r="I21" s="485">
        <v>3.9E-2</v>
      </c>
      <c r="J21" s="485">
        <v>3.85E-2</v>
      </c>
      <c r="K21" s="485">
        <v>3.7999999999999999E-2</v>
      </c>
      <c r="L21" s="24"/>
      <c r="M21" s="81" t="s">
        <v>187</v>
      </c>
      <c r="N21" s="72"/>
      <c r="O21" s="72"/>
      <c r="P21" s="72"/>
      <c r="Q21" s="378">
        <v>39</v>
      </c>
      <c r="R21" s="378">
        <v>39</v>
      </c>
      <c r="S21" s="378">
        <v>39</v>
      </c>
      <c r="T21" s="378">
        <v>40</v>
      </c>
      <c r="U21" s="378">
        <v>40</v>
      </c>
      <c r="V21" s="378">
        <v>40</v>
      </c>
    </row>
    <row r="22" spans="1:23" ht="15.75">
      <c r="A22" s="1"/>
      <c r="B22" s="81" t="s">
        <v>188</v>
      </c>
      <c r="C22" s="72"/>
      <c r="D22" s="72"/>
      <c r="E22" s="72"/>
      <c r="F22" s="485">
        <v>4.2000000000000003E-2</v>
      </c>
      <c r="G22" s="485">
        <v>4.1500000000000002E-2</v>
      </c>
      <c r="H22" s="485">
        <v>4.1000000000000002E-2</v>
      </c>
      <c r="I22" s="485">
        <v>4.0500000000000001E-2</v>
      </c>
      <c r="J22" s="485">
        <v>0.04</v>
      </c>
      <c r="K22" s="485">
        <v>3.95E-2</v>
      </c>
      <c r="L22" s="69"/>
      <c r="M22" s="81" t="s">
        <v>188</v>
      </c>
      <c r="N22" s="72"/>
      <c r="O22" s="72"/>
      <c r="P22" s="72"/>
      <c r="Q22" s="378">
        <v>37</v>
      </c>
      <c r="R22" s="378">
        <v>37</v>
      </c>
      <c r="S22" s="378">
        <v>37</v>
      </c>
      <c r="T22" s="378">
        <v>38</v>
      </c>
      <c r="U22" s="378">
        <v>38</v>
      </c>
      <c r="V22" s="378">
        <v>38</v>
      </c>
    </row>
    <row r="23" spans="1:23" ht="15.75">
      <c r="A23" s="1"/>
      <c r="B23" s="363"/>
      <c r="C23" s="358"/>
      <c r="D23" s="67"/>
      <c r="E23" s="67"/>
      <c r="F23" s="488"/>
      <c r="G23" s="488"/>
      <c r="H23" s="488"/>
      <c r="I23" s="489"/>
      <c r="J23" s="489"/>
      <c r="K23" s="489"/>
      <c r="L23" s="360"/>
      <c r="M23" s="360"/>
      <c r="N23" s="360"/>
      <c r="O23" s="24"/>
      <c r="P23" s="24"/>
      <c r="Q23" s="24"/>
    </row>
    <row r="24" spans="1:23" ht="15.75">
      <c r="A24" s="1"/>
      <c r="B24" s="83" t="s">
        <v>253</v>
      </c>
      <c r="C24" s="84"/>
      <c r="D24" s="84"/>
      <c r="E24" s="84"/>
      <c r="F24" s="484">
        <f>CHOOSE(Cover!$F$9, F25,F26,F27)</f>
        <v>1.2E-2</v>
      </c>
      <c r="G24" s="484">
        <f>CHOOSE(Cover!$F$9, G25,G26,G27)</f>
        <v>1.15E-2</v>
      </c>
      <c r="H24" s="484">
        <f>CHOOSE(Cover!$F$9, H25,H26,H27)</f>
        <v>1.0999999999999999E-2</v>
      </c>
      <c r="I24" s="484">
        <f>CHOOSE(Cover!$F$9, I25,I26,I27)</f>
        <v>1.0500000000000001E-2</v>
      </c>
      <c r="J24" s="484">
        <f>CHOOSE(Cover!$F$9, J25,J26,J27)</f>
        <v>0.01</v>
      </c>
      <c r="K24" s="484">
        <f>CHOOSE(Cover!$F$9, K25,K26,K27)</f>
        <v>0.01</v>
      </c>
      <c r="L24" s="67"/>
      <c r="M24" s="83" t="s">
        <v>233</v>
      </c>
      <c r="N24" s="84"/>
      <c r="O24" s="84"/>
      <c r="P24" s="84"/>
      <c r="Q24" s="381">
        <f>CHOOSE(Cover!$F$9, Q25,Q26,Q27)</f>
        <v>2.3E-2</v>
      </c>
      <c r="R24" s="381">
        <f>CHOOSE(Cover!$F$9, R25,R26,R27)</f>
        <v>2.1999999999999999E-2</v>
      </c>
      <c r="S24" s="381">
        <f>CHOOSE(Cover!$F$9, S25,S26,S27)</f>
        <v>2.1000000000000001E-2</v>
      </c>
      <c r="T24" s="381">
        <f>CHOOSE(Cover!$F$9, T25,T26,T27)</f>
        <v>0.02</v>
      </c>
      <c r="U24" s="381">
        <f>CHOOSE(Cover!$F$9, U25,U26,U27)</f>
        <v>1.9E-2</v>
      </c>
      <c r="V24" s="381">
        <f>CHOOSE(Cover!$F$9, V25,V26,V27)</f>
        <v>1.7999999999999999E-2</v>
      </c>
    </row>
    <row r="25" spans="1:23" ht="15.75">
      <c r="A25" s="1"/>
      <c r="B25" s="81" t="s">
        <v>186</v>
      </c>
      <c r="C25" s="72"/>
      <c r="D25" s="72"/>
      <c r="E25" s="72"/>
      <c r="F25" s="485">
        <v>1.0999999999999999E-2</v>
      </c>
      <c r="G25" s="485">
        <v>1.0500000000000001E-2</v>
      </c>
      <c r="H25" s="485">
        <v>0.01</v>
      </c>
      <c r="I25" s="485">
        <v>9.4999999999999998E-3</v>
      </c>
      <c r="J25" s="485">
        <v>8.9999999999999993E-3</v>
      </c>
      <c r="K25" s="485">
        <v>8.9999999999999993E-3</v>
      </c>
      <c r="L25" s="24"/>
      <c r="M25" s="81" t="s">
        <v>186</v>
      </c>
      <c r="N25" s="72"/>
      <c r="O25" s="72"/>
      <c r="P25" s="72"/>
      <c r="Q25" s="380">
        <v>2.1000000000000001E-2</v>
      </c>
      <c r="R25" s="380">
        <v>0.02</v>
      </c>
      <c r="S25" s="380">
        <v>1.9E-2</v>
      </c>
      <c r="T25" s="380">
        <v>1.7999999999999999E-2</v>
      </c>
      <c r="U25" s="380">
        <v>1.7999999999999999E-2</v>
      </c>
      <c r="V25" s="380">
        <v>1.7000000000000001E-2</v>
      </c>
    </row>
    <row r="26" spans="1:23" ht="15.75">
      <c r="A26" s="26"/>
      <c r="B26" s="81" t="s">
        <v>187</v>
      </c>
      <c r="C26" s="72"/>
      <c r="D26" s="72"/>
      <c r="E26" s="72"/>
      <c r="F26" s="485">
        <v>1.2E-2</v>
      </c>
      <c r="G26" s="485">
        <v>1.15E-2</v>
      </c>
      <c r="H26" s="485">
        <v>1.0999999999999999E-2</v>
      </c>
      <c r="I26" s="485">
        <v>1.0500000000000001E-2</v>
      </c>
      <c r="J26" s="485">
        <v>0.01</v>
      </c>
      <c r="K26" s="485">
        <v>0.01</v>
      </c>
      <c r="L26" s="69"/>
      <c r="M26" s="81" t="s">
        <v>187</v>
      </c>
      <c r="N26" s="72"/>
      <c r="O26" s="72"/>
      <c r="P26" s="72"/>
      <c r="Q26" s="380">
        <v>2.3E-2</v>
      </c>
      <c r="R26" s="380">
        <v>2.1999999999999999E-2</v>
      </c>
      <c r="S26" s="380">
        <v>2.1000000000000001E-2</v>
      </c>
      <c r="T26" s="380">
        <v>0.02</v>
      </c>
      <c r="U26" s="380">
        <v>1.9E-2</v>
      </c>
      <c r="V26" s="380">
        <v>1.7999999999999999E-2</v>
      </c>
    </row>
    <row r="27" spans="1:23" ht="15.75">
      <c r="A27" s="26"/>
      <c r="B27" s="81" t="s">
        <v>188</v>
      </c>
      <c r="C27" s="72"/>
      <c r="D27" s="72"/>
      <c r="E27" s="72"/>
      <c r="F27" s="485">
        <v>1.35E-2</v>
      </c>
      <c r="G27" s="485">
        <v>1.35E-2</v>
      </c>
      <c r="H27" s="485">
        <v>1.2999999999999999E-2</v>
      </c>
      <c r="I27" s="485">
        <v>1.2999999999999999E-2</v>
      </c>
      <c r="J27" s="485">
        <v>1.2500000000000001E-2</v>
      </c>
      <c r="K27" s="485">
        <v>1.2500000000000001E-2</v>
      </c>
      <c r="L27" s="360"/>
      <c r="M27" s="81" t="s">
        <v>188</v>
      </c>
      <c r="N27" s="72"/>
      <c r="O27" s="72"/>
      <c r="P27" s="72"/>
      <c r="Q27" s="380">
        <v>2.5999999999999999E-2</v>
      </c>
      <c r="R27" s="380">
        <v>2.5000000000000001E-2</v>
      </c>
      <c r="S27" s="380">
        <v>2.4E-2</v>
      </c>
      <c r="T27" s="380">
        <v>2.3E-2</v>
      </c>
      <c r="U27" s="380">
        <v>2.1999999999999999E-2</v>
      </c>
      <c r="V27" s="380">
        <v>2.1000000000000001E-2</v>
      </c>
    </row>
    <row r="28" spans="1:23" ht="15.75">
      <c r="A28" s="26"/>
      <c r="B28" s="363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24"/>
      <c r="P28" s="24"/>
      <c r="Q28" s="24"/>
    </row>
    <row r="29" spans="1:23" ht="15.75">
      <c r="A29" s="26"/>
      <c r="B29" s="24"/>
      <c r="C29" s="24"/>
      <c r="D29" s="24"/>
      <c r="E29" s="24"/>
      <c r="F29" s="24"/>
      <c r="G29" s="24"/>
      <c r="H29" s="24"/>
      <c r="I29" s="69"/>
      <c r="J29" s="69"/>
      <c r="K29" s="69"/>
      <c r="L29" s="69"/>
      <c r="M29" s="83" t="s">
        <v>238</v>
      </c>
      <c r="N29" s="84"/>
      <c r="O29" s="84"/>
      <c r="P29" s="84"/>
      <c r="Q29" s="381">
        <f>CHOOSE(Cover!$F$9, Q30,Q31,Q32)</f>
        <v>9.2999999999999999E-2</v>
      </c>
      <c r="R29" s="381">
        <f>CHOOSE(Cover!$F$9, R30,R31,R32)</f>
        <v>9.1999999999999998E-2</v>
      </c>
      <c r="S29" s="381">
        <f>CHOOSE(Cover!$F$9, S30,S31,S32)</f>
        <v>9.0999999999999998E-2</v>
      </c>
      <c r="T29" s="381">
        <f>CHOOSE(Cover!$F$9, T30,T31,T32)</f>
        <v>0.09</v>
      </c>
      <c r="U29" s="381">
        <f>CHOOSE(Cover!$F$9, U30,U31,U32)</f>
        <v>0.09</v>
      </c>
      <c r="V29" s="381">
        <f>CHOOSE(Cover!$F$9, V30,V31,V32)</f>
        <v>8.8999999999999996E-2</v>
      </c>
    </row>
    <row r="30" spans="1:23" ht="15.75">
      <c r="A30" s="26"/>
      <c r="L30" s="364"/>
      <c r="M30" s="81" t="s">
        <v>186</v>
      </c>
      <c r="N30" s="72"/>
      <c r="O30" s="72"/>
      <c r="P30" s="72"/>
      <c r="Q30" s="380">
        <v>9.6000000000000002E-2</v>
      </c>
      <c r="R30" s="380">
        <v>9.5000000000000001E-2</v>
      </c>
      <c r="S30" s="380">
        <v>9.4E-2</v>
      </c>
      <c r="T30" s="380">
        <v>9.2999999999999999E-2</v>
      </c>
      <c r="U30" s="380">
        <v>9.1999999999999998E-2</v>
      </c>
      <c r="V30" s="380">
        <v>9.1999999999999998E-2</v>
      </c>
    </row>
    <row r="31" spans="1:23" ht="15.75">
      <c r="A31" s="26"/>
      <c r="L31" s="24"/>
      <c r="M31" s="81" t="s">
        <v>187</v>
      </c>
      <c r="N31" s="72"/>
      <c r="O31" s="72"/>
      <c r="P31" s="72"/>
      <c r="Q31" s="380">
        <v>9.2999999999999999E-2</v>
      </c>
      <c r="R31" s="380">
        <v>9.1999999999999998E-2</v>
      </c>
      <c r="S31" s="380">
        <v>9.0999999999999998E-2</v>
      </c>
      <c r="T31" s="380">
        <v>0.09</v>
      </c>
      <c r="U31" s="380">
        <v>0.09</v>
      </c>
      <c r="V31" s="380">
        <v>8.8999999999999996E-2</v>
      </c>
    </row>
    <row r="32" spans="1:23" ht="15.75">
      <c r="A32" s="26"/>
      <c r="L32" s="24"/>
      <c r="M32" s="81" t="s">
        <v>188</v>
      </c>
      <c r="N32" s="72"/>
      <c r="O32" s="72"/>
      <c r="P32" s="72"/>
      <c r="Q32" s="380">
        <v>0.09</v>
      </c>
      <c r="R32" s="380">
        <v>8.8999999999999996E-2</v>
      </c>
      <c r="S32" s="380">
        <v>8.7999999999999995E-2</v>
      </c>
      <c r="T32" s="380">
        <v>8.6999999999999994E-2</v>
      </c>
      <c r="U32" s="380">
        <v>8.5999999999999993E-2</v>
      </c>
      <c r="V32" s="380">
        <v>8.5000000000000006E-2</v>
      </c>
    </row>
    <row r="33" spans="1:24" ht="15.75">
      <c r="A33" s="26"/>
      <c r="L33" s="361"/>
      <c r="N33" s="361"/>
      <c r="O33" s="24"/>
      <c r="P33" s="24"/>
      <c r="Q33" s="24"/>
    </row>
    <row r="34" spans="1:24" ht="15.75">
      <c r="A34" s="26"/>
      <c r="L34" s="24"/>
    </row>
    <row r="35" spans="1:24" ht="15.75">
      <c r="A35" s="26"/>
      <c r="L35" s="19"/>
    </row>
    <row r="36" spans="1:24" ht="15.75">
      <c r="A36" s="26"/>
      <c r="B36" s="328"/>
      <c r="C36" s="69"/>
      <c r="D36" s="69"/>
      <c r="E36" s="69"/>
      <c r="F36" s="69"/>
      <c r="G36" s="69"/>
      <c r="H36" s="69"/>
      <c r="I36" s="17"/>
      <c r="J36" s="17"/>
      <c r="K36" s="17"/>
      <c r="L36" s="17"/>
    </row>
    <row r="37" spans="1:24" ht="15.75">
      <c r="A37" s="1"/>
      <c r="B37" s="328"/>
      <c r="C37" s="69"/>
      <c r="D37" s="69"/>
      <c r="E37" s="69"/>
      <c r="F37" s="69"/>
      <c r="G37" s="69"/>
      <c r="H37" s="69"/>
      <c r="I37" s="17"/>
      <c r="J37" s="17"/>
      <c r="K37" s="17"/>
      <c r="L37" s="19"/>
    </row>
    <row r="38" spans="1:24" ht="15.75">
      <c r="A38" s="1"/>
      <c r="B38" s="34" t="s">
        <v>241</v>
      </c>
      <c r="C38" s="181"/>
      <c r="D38" s="181"/>
      <c r="E38" s="181"/>
      <c r="F38" s="182"/>
      <c r="G38" s="182"/>
      <c r="H38" s="182"/>
      <c r="I38" s="182"/>
      <c r="J38" s="182"/>
      <c r="K38" s="182"/>
      <c r="L38" s="17"/>
      <c r="M38" s="17"/>
      <c r="N38" s="17"/>
      <c r="O38" s="17"/>
      <c r="P38" s="24"/>
      <c r="Q38" s="24"/>
    </row>
    <row r="39" spans="1:24" ht="15.75">
      <c r="A39" s="1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19"/>
      <c r="M39" s="17"/>
      <c r="N39" s="17"/>
      <c r="O39" s="17"/>
      <c r="P39" s="24"/>
      <c r="Q39" s="24"/>
    </row>
    <row r="40" spans="1:24" ht="15.75">
      <c r="A40" s="1"/>
      <c r="B40" s="83" t="s">
        <v>254</v>
      </c>
      <c r="C40" s="84"/>
      <c r="D40" s="84"/>
      <c r="E40" s="84"/>
      <c r="F40" s="365">
        <f>CHOOSE(Cover!$F$9, F41,F42,F43)</f>
        <v>2.3E-2</v>
      </c>
      <c r="G40" s="365">
        <f>CHOOSE(Cover!$F$9, G41,G42,G43)</f>
        <v>2.1999999999999999E-2</v>
      </c>
      <c r="H40" s="365">
        <f>CHOOSE(Cover!$F$9, H41,H42,H43)</f>
        <v>2.1999999999999999E-2</v>
      </c>
      <c r="I40" s="365">
        <f>CHOOSE(Cover!$F$9, I41,I42,I43)</f>
        <v>2.1000000000000001E-2</v>
      </c>
      <c r="J40" s="365">
        <f>CHOOSE(Cover!$F$9, J41,J42,J43)</f>
        <v>2.1000000000000001E-2</v>
      </c>
      <c r="K40" s="365">
        <f>CHOOSE(Cover!$F$9, K41,K42,K43)</f>
        <v>0.02</v>
      </c>
      <c r="L40" s="17"/>
      <c r="M40" s="17"/>
      <c r="N40" s="17"/>
      <c r="O40" s="17"/>
      <c r="P40" s="24"/>
      <c r="Q40" s="24"/>
    </row>
    <row r="41" spans="1:24" ht="15.75">
      <c r="A41" s="1"/>
      <c r="B41" s="81" t="s">
        <v>186</v>
      </c>
      <c r="C41" s="72"/>
      <c r="D41" s="72"/>
      <c r="E41" s="72"/>
      <c r="F41" s="366">
        <v>0.02</v>
      </c>
      <c r="G41" s="366">
        <v>0.02</v>
      </c>
      <c r="H41" s="366">
        <v>1.9E-2</v>
      </c>
      <c r="I41" s="366">
        <v>1.9E-2</v>
      </c>
      <c r="J41" s="366">
        <v>1.7999999999999999E-2</v>
      </c>
      <c r="K41" s="366">
        <v>1.7999999999999999E-2</v>
      </c>
      <c r="L41" s="26"/>
      <c r="M41" s="17"/>
      <c r="N41" s="17"/>
      <c r="O41" s="17"/>
      <c r="P41" s="24"/>
      <c r="Q41" s="24"/>
    </row>
    <row r="42" spans="1:24" ht="15.75">
      <c r="A42" s="1"/>
      <c r="B42" s="81" t="s">
        <v>187</v>
      </c>
      <c r="C42" s="72"/>
      <c r="D42" s="72"/>
      <c r="E42" s="72"/>
      <c r="F42" s="366">
        <v>2.3E-2</v>
      </c>
      <c r="G42" s="366">
        <v>2.1999999999999999E-2</v>
      </c>
      <c r="H42" s="366">
        <v>2.1999999999999999E-2</v>
      </c>
      <c r="I42" s="366">
        <v>2.1000000000000001E-2</v>
      </c>
      <c r="J42" s="366">
        <v>2.1000000000000001E-2</v>
      </c>
      <c r="K42" s="366">
        <v>0.02</v>
      </c>
      <c r="L42" s="26"/>
      <c r="M42" s="26"/>
      <c r="N42" s="26"/>
      <c r="O42" s="26"/>
      <c r="P42" s="24"/>
      <c r="Q42" s="24"/>
    </row>
    <row r="43" spans="1:24" ht="15.75">
      <c r="A43" s="1"/>
      <c r="B43" s="81" t="s">
        <v>188</v>
      </c>
      <c r="C43" s="72"/>
      <c r="D43" s="72"/>
      <c r="E43" s="72"/>
      <c r="F43" s="366">
        <v>2.5999999999999999E-2</v>
      </c>
      <c r="G43" s="366">
        <v>2.5000000000000001E-2</v>
      </c>
      <c r="H43" s="366">
        <v>2.5000000000000001E-2</v>
      </c>
      <c r="I43" s="366">
        <v>2.4E-2</v>
      </c>
      <c r="J43" s="366">
        <v>2.4E-2</v>
      </c>
      <c r="K43" s="366">
        <v>2.3E-2</v>
      </c>
      <c r="L43" s="26"/>
      <c r="M43" s="26"/>
      <c r="N43" s="26"/>
      <c r="O43" s="26"/>
      <c r="P43" s="26"/>
      <c r="Q43" s="26"/>
      <c r="R43" s="1"/>
      <c r="S43" s="1"/>
      <c r="T43" s="1"/>
      <c r="U43" s="1"/>
      <c r="V43" s="1"/>
      <c r="W43" s="1"/>
      <c r="X43" s="1"/>
    </row>
    <row r="44" spans="1:24" ht="15.75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1"/>
      <c r="S44" s="1"/>
      <c r="T44" s="1"/>
      <c r="U44" s="1"/>
      <c r="V44" s="1"/>
      <c r="W44" s="1"/>
      <c r="X44" s="1"/>
    </row>
    <row r="45" spans="1:24" ht="15.75">
      <c r="A45" s="1"/>
      <c r="B45" s="83" t="s">
        <v>255</v>
      </c>
      <c r="C45" s="84"/>
      <c r="D45" s="84"/>
      <c r="E45" s="84"/>
      <c r="F45" s="365">
        <f>CHOOSE(Cover!$F$9, F46,F47,F48)</f>
        <v>-0.05</v>
      </c>
      <c r="G45" s="365">
        <f>CHOOSE(Cover!$F$9, G46,G47,G48)</f>
        <v>-0.05</v>
      </c>
      <c r="H45" s="365">
        <f>CHOOSE(Cover!$F$9, H46,H47,H48)</f>
        <v>-4.4999999999999998E-2</v>
      </c>
      <c r="I45" s="365">
        <f>CHOOSE(Cover!$F$9, I46,I47,I48)</f>
        <v>-4.4999999999999998E-2</v>
      </c>
      <c r="J45" s="365">
        <f>CHOOSE(Cover!$F$9, J46,J47,J48)</f>
        <v>-0.04</v>
      </c>
      <c r="K45" s="365">
        <f>CHOOSE(Cover!$F$9, K46,K47,K48)</f>
        <v>-0.04</v>
      </c>
      <c r="L45" s="26"/>
      <c r="M45" s="26"/>
      <c r="N45" s="26"/>
      <c r="O45" s="26"/>
      <c r="P45" s="26"/>
      <c r="Q45" s="26"/>
      <c r="R45" s="1"/>
      <c r="S45" s="1"/>
      <c r="T45" s="1"/>
      <c r="U45" s="1"/>
      <c r="V45" s="1"/>
      <c r="W45" s="1"/>
      <c r="X45" s="1"/>
    </row>
    <row r="46" spans="1:24" ht="15.75">
      <c r="A46" s="1"/>
      <c r="B46" s="81" t="s">
        <v>186</v>
      </c>
      <c r="C46" s="72"/>
      <c r="D46" s="72"/>
      <c r="E46" s="72"/>
      <c r="F46" s="366">
        <v>-0.03</v>
      </c>
      <c r="G46" s="366">
        <v>-0.03</v>
      </c>
      <c r="H46" s="366">
        <v>-2.5000000000000001E-2</v>
      </c>
      <c r="I46" s="366">
        <v>-2.5000000000000001E-2</v>
      </c>
      <c r="J46" s="366">
        <v>-0.02</v>
      </c>
      <c r="K46" s="366">
        <v>-0.02</v>
      </c>
      <c r="L46" s="26"/>
      <c r="M46" s="26"/>
      <c r="N46" s="26"/>
      <c r="O46" s="26"/>
      <c r="P46" s="26"/>
      <c r="Q46" s="1"/>
      <c r="R46" s="1"/>
      <c r="S46" s="1"/>
      <c r="T46" s="1"/>
      <c r="U46" s="1"/>
      <c r="V46" s="1"/>
      <c r="W46" s="1"/>
    </row>
    <row r="47" spans="1:24" ht="15.75">
      <c r="A47" s="1"/>
      <c r="B47" s="81" t="s">
        <v>187</v>
      </c>
      <c r="C47" s="72"/>
      <c r="D47" s="72"/>
      <c r="E47" s="72"/>
      <c r="F47" s="366">
        <v>-0.05</v>
      </c>
      <c r="G47" s="366">
        <v>-0.05</v>
      </c>
      <c r="H47" s="366">
        <v>-4.4999999999999998E-2</v>
      </c>
      <c r="I47" s="366">
        <v>-4.4999999999999998E-2</v>
      </c>
      <c r="J47" s="366">
        <v>-0.04</v>
      </c>
      <c r="K47" s="366">
        <v>-0.04</v>
      </c>
      <c r="L47" s="26"/>
      <c r="M47" s="26"/>
      <c r="N47" s="26"/>
      <c r="O47" s="26"/>
      <c r="P47" s="26"/>
      <c r="Q47" s="1"/>
      <c r="R47" s="1"/>
      <c r="S47" s="1"/>
      <c r="T47" s="1"/>
      <c r="U47" s="1"/>
      <c r="V47" s="1"/>
      <c r="W47" s="1"/>
    </row>
    <row r="48" spans="1:24" ht="15.75">
      <c r="A48" s="1"/>
      <c r="B48" s="81" t="s">
        <v>188</v>
      </c>
      <c r="C48" s="72"/>
      <c r="D48" s="72"/>
      <c r="E48" s="72"/>
      <c r="F48" s="366">
        <v>-7.0000000000000007E-2</v>
      </c>
      <c r="G48" s="366">
        <v>-7.0000000000000007E-2</v>
      </c>
      <c r="H48" s="366">
        <v>-6.5000000000000002E-2</v>
      </c>
      <c r="I48" s="366">
        <v>-6.5000000000000002E-2</v>
      </c>
      <c r="J48" s="366">
        <v>-0.06</v>
      </c>
      <c r="K48" s="366">
        <v>-0.06</v>
      </c>
      <c r="L48" s="26"/>
      <c r="M48" s="26"/>
      <c r="N48" s="26"/>
      <c r="O48" s="26"/>
      <c r="P48" s="26"/>
      <c r="Q48" s="1"/>
      <c r="R48" s="1"/>
      <c r="S48" s="1"/>
      <c r="T48" s="1"/>
      <c r="U48" s="1"/>
      <c r="V48" s="1"/>
      <c r="W48" s="1"/>
    </row>
    <row r="49" spans="1:24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>
      <c r="A50" s="1"/>
      <c r="B50" s="1" t="s">
        <v>256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>
      <c r="A51" s="1"/>
      <c r="B51" s="1" t="s">
        <v>257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>
      <c r="A53" s="1"/>
      <c r="B53" s="1"/>
      <c r="C53" s="1"/>
      <c r="D53" s="1"/>
      <c r="E53" s="1"/>
      <c r="F53" s="1"/>
      <c r="G53" s="1"/>
      <c r="H53" s="1"/>
      <c r="I53" s="1"/>
    </row>
    <row r="54" spans="1:24" ht="15.75">
      <c r="A54" s="1"/>
      <c r="B54" s="1"/>
      <c r="C54" s="1"/>
      <c r="D54" s="1"/>
      <c r="E54" s="1"/>
      <c r="F54" s="1"/>
      <c r="G54" s="1"/>
      <c r="H54" s="1"/>
      <c r="I54" s="1"/>
    </row>
    <row r="55" spans="1:24" ht="15.75">
      <c r="A55" s="1"/>
      <c r="B55" s="1"/>
      <c r="C55" s="1"/>
      <c r="D55" s="1"/>
      <c r="E55" s="1"/>
      <c r="F55" s="1"/>
      <c r="G55" s="1"/>
      <c r="H55" s="1"/>
      <c r="I55" s="1"/>
    </row>
    <row r="56" spans="1:24" ht="15.75">
      <c r="A56" s="1"/>
      <c r="B56" s="1"/>
      <c r="C56" s="1"/>
      <c r="D56" s="1"/>
      <c r="E56" s="1"/>
      <c r="F56" s="1"/>
      <c r="G56" s="1"/>
      <c r="H56" s="1"/>
      <c r="I56" s="1"/>
    </row>
    <row r="57" spans="1:24" ht="15.75">
      <c r="A57" s="1"/>
      <c r="B57" s="1"/>
      <c r="C57" s="1"/>
      <c r="D57" s="1"/>
      <c r="E57" s="1"/>
      <c r="F57" s="1"/>
      <c r="G57" s="1"/>
      <c r="H57" s="1"/>
      <c r="I57" s="1"/>
    </row>
    <row r="58" spans="1:24" ht="15.75">
      <c r="A58" s="1"/>
      <c r="B58" s="1"/>
      <c r="C58" s="1"/>
      <c r="D58" s="1"/>
      <c r="E58" s="1"/>
      <c r="F58" s="1"/>
      <c r="G58" s="1"/>
      <c r="H58" s="1"/>
      <c r="I58" s="1"/>
    </row>
    <row r="59" spans="1:24" ht="15.75">
      <c r="A59" s="1"/>
      <c r="B59" s="1"/>
      <c r="C59" s="1"/>
      <c r="D59" s="1"/>
      <c r="E59" s="1"/>
      <c r="F59" s="1"/>
      <c r="G59" s="1"/>
      <c r="H59" s="1"/>
      <c r="I59" s="1"/>
    </row>
    <row r="60" spans="1:24" ht="15.75">
      <c r="A60" s="1"/>
      <c r="B60" s="1"/>
      <c r="C60" s="1"/>
      <c r="D60" s="1"/>
      <c r="E60" s="1"/>
      <c r="F60" s="1"/>
      <c r="G60" s="1"/>
      <c r="H60" s="1"/>
      <c r="I60" s="1"/>
    </row>
    <row r="61" spans="1:24" ht="15.75">
      <c r="A61" s="1"/>
      <c r="B61" s="1"/>
      <c r="C61" s="1"/>
      <c r="D61" s="1"/>
      <c r="E61" s="1"/>
      <c r="F61" s="1"/>
      <c r="G61" s="1"/>
      <c r="H61" s="1"/>
      <c r="I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91"/>
  <sheetViews>
    <sheetView showGridLines="0" topLeftCell="A6" zoomScale="70" zoomScaleNormal="52" workbookViewId="0">
      <selection activeCell="R13" sqref="R13"/>
    </sheetView>
  </sheetViews>
  <sheetFormatPr defaultColWidth="14.42578125" defaultRowHeight="15" customHeight="1"/>
  <cols>
    <col min="1" max="1" width="8.42578125" style="2" customWidth="1"/>
    <col min="2" max="2" width="23.42578125" style="2" customWidth="1"/>
    <col min="3" max="3" width="14.7109375" style="2" customWidth="1"/>
    <col min="4" max="4" width="13.140625" style="2" customWidth="1"/>
    <col min="5" max="12" width="11.5703125" style="2" customWidth="1"/>
    <col min="13" max="13" width="7.42578125" style="2" customWidth="1"/>
    <col min="14" max="14" width="12.42578125" style="2" customWidth="1"/>
    <col min="15" max="15" width="13.85546875" style="2" customWidth="1"/>
    <col min="16" max="16" width="15.7109375" style="2" customWidth="1"/>
    <col min="17" max="17" width="19.140625" style="2" customWidth="1"/>
    <col min="18" max="18" width="7.42578125" style="2" customWidth="1"/>
    <col min="19" max="19" width="19.7109375" style="2" customWidth="1"/>
    <col min="20" max="20" width="14.28515625" style="2" bestFit="1" customWidth="1"/>
    <col min="21" max="25" width="7.42578125" style="2" customWidth="1"/>
    <col min="26" max="16384" width="14.42578125" style="2"/>
  </cols>
  <sheetData>
    <row r="1" spans="1:25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25">
      <c r="A2" s="3"/>
      <c r="B2" s="27" t="s">
        <v>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2.75" customHeight="1">
      <c r="A3" s="3"/>
      <c r="B3" s="33" t="s">
        <v>258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.75" customHeight="1">
      <c r="B4" s="29" t="s">
        <v>10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25" ht="12.75" customHeight="1"/>
    <row r="6" spans="1:25" ht="12.7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25" ht="12.75" customHeight="1">
      <c r="B7" s="44"/>
      <c r="C7" s="44"/>
      <c r="D7" s="45" t="s">
        <v>259</v>
      </c>
      <c r="E7" s="45" t="s">
        <v>260</v>
      </c>
      <c r="F7" s="44"/>
      <c r="G7" s="44"/>
      <c r="H7" s="46"/>
      <c r="I7" s="100"/>
      <c r="J7" s="100"/>
      <c r="K7" s="100"/>
      <c r="L7" s="100"/>
      <c r="M7" s="44"/>
      <c r="N7" s="45" t="s">
        <v>261</v>
      </c>
      <c r="O7" s="45" t="s">
        <v>61</v>
      </c>
      <c r="Q7" s="45" t="s">
        <v>61</v>
      </c>
    </row>
    <row r="8" spans="1:25" ht="12.75" customHeight="1">
      <c r="B8" s="44"/>
      <c r="C8" s="45"/>
      <c r="D8" s="45" t="s">
        <v>262</v>
      </c>
      <c r="E8" s="45" t="s">
        <v>263</v>
      </c>
      <c r="F8" s="45" t="s">
        <v>264</v>
      </c>
      <c r="G8" s="45" t="s">
        <v>265</v>
      </c>
      <c r="H8" s="46"/>
      <c r="I8" s="45" t="s">
        <v>261</v>
      </c>
      <c r="J8" s="45"/>
      <c r="K8" s="45" t="s">
        <v>261</v>
      </c>
      <c r="L8" s="45"/>
      <c r="M8" s="45"/>
      <c r="N8" s="47" t="s">
        <v>55</v>
      </c>
      <c r="O8" s="47" t="s">
        <v>142</v>
      </c>
      <c r="Q8" s="47" t="s">
        <v>142</v>
      </c>
    </row>
    <row r="9" spans="1:25" ht="12.75" customHeight="1">
      <c r="B9" s="48" t="s">
        <v>266</v>
      </c>
      <c r="C9" s="49" t="s">
        <v>267</v>
      </c>
      <c r="D9" s="50" t="s">
        <v>268</v>
      </c>
      <c r="E9" s="51" t="s">
        <v>269</v>
      </c>
      <c r="F9" s="49" t="s">
        <v>270</v>
      </c>
      <c r="G9" s="49" t="s">
        <v>270</v>
      </c>
      <c r="H9" s="52"/>
      <c r="I9" s="49" t="s">
        <v>271</v>
      </c>
      <c r="J9" s="49"/>
      <c r="K9" s="49" t="s">
        <v>272</v>
      </c>
      <c r="L9" s="49"/>
      <c r="M9" s="49"/>
      <c r="N9" s="53" t="s">
        <v>273</v>
      </c>
      <c r="O9" s="53" t="s">
        <v>55</v>
      </c>
      <c r="P9" s="53" t="s">
        <v>146</v>
      </c>
      <c r="Q9" s="53" t="s">
        <v>147</v>
      </c>
    </row>
    <row r="10" spans="1:25" ht="12.75" customHeight="1">
      <c r="B10" s="54"/>
      <c r="C10" s="45"/>
      <c r="D10" s="55"/>
      <c r="E10" s="55"/>
      <c r="F10" s="58"/>
      <c r="G10" s="44"/>
      <c r="H10" s="44"/>
      <c r="I10" s="44"/>
      <c r="J10" s="44"/>
      <c r="K10" s="44"/>
      <c r="L10" s="44"/>
      <c r="M10" s="44"/>
      <c r="N10" s="44"/>
      <c r="O10" s="44"/>
    </row>
    <row r="11" spans="1:25" ht="12.75" customHeight="1">
      <c r="B11" s="44" t="s">
        <v>274</v>
      </c>
      <c r="C11" s="44" t="s">
        <v>1</v>
      </c>
      <c r="D11" s="384">
        <v>1167</v>
      </c>
      <c r="E11" s="385">
        <f xml:space="preserve"> D11 / 1623.82</f>
        <v>0.71867571528864038</v>
      </c>
      <c r="F11" s="384">
        <v>69139</v>
      </c>
      <c r="G11" s="384">
        <v>95664</v>
      </c>
      <c r="H11" s="386"/>
      <c r="I11" s="387">
        <v>9.5399999999999991</v>
      </c>
      <c r="J11" s="388"/>
      <c r="K11" s="388">
        <v>20.96</v>
      </c>
      <c r="L11" s="388"/>
      <c r="M11" s="388"/>
      <c r="N11" s="385">
        <v>0.47</v>
      </c>
      <c r="O11" s="388">
        <v>7.01</v>
      </c>
      <c r="P11" s="433">
        <v>0.82</v>
      </c>
      <c r="Q11" s="434" t="s">
        <v>275</v>
      </c>
      <c r="R11" s="2" t="s">
        <v>276</v>
      </c>
    </row>
    <row r="12" spans="1:25" ht="12.75" customHeight="1">
      <c r="B12" s="56"/>
      <c r="C12" s="57"/>
      <c r="D12" s="391"/>
      <c r="E12" s="391"/>
      <c r="F12" s="392"/>
      <c r="G12" s="392"/>
      <c r="H12" s="393"/>
      <c r="I12" s="393"/>
      <c r="J12" s="393"/>
      <c r="K12" s="393"/>
      <c r="L12" s="393"/>
      <c r="M12" s="394"/>
      <c r="N12" s="394"/>
      <c r="O12" s="391"/>
      <c r="P12" s="391"/>
      <c r="Q12" s="391"/>
      <c r="R12" s="2" t="s">
        <v>277</v>
      </c>
    </row>
    <row r="13" spans="1:25" ht="12.75" customHeight="1">
      <c r="B13" s="161" t="s">
        <v>278</v>
      </c>
      <c r="C13" s="162"/>
      <c r="D13" s="395"/>
      <c r="E13" s="395"/>
      <c r="F13" s="396"/>
      <c r="G13" s="396"/>
      <c r="H13" s="395"/>
      <c r="I13" s="395"/>
      <c r="J13" s="395"/>
      <c r="K13" s="395"/>
      <c r="L13" s="395"/>
      <c r="M13" s="395"/>
      <c r="N13" s="395"/>
      <c r="O13" s="395"/>
      <c r="P13" s="395"/>
      <c r="Q13" s="395"/>
    </row>
    <row r="14" spans="1:25" ht="12.75" customHeight="1">
      <c r="B14" s="56" t="s">
        <v>279</v>
      </c>
      <c r="C14" s="71" t="s">
        <v>280</v>
      </c>
      <c r="D14" s="384">
        <v>208.22</v>
      </c>
      <c r="E14" s="385">
        <f xml:space="preserve"> D14 / 254.35</f>
        <v>0.81863573815608415</v>
      </c>
      <c r="F14" s="384">
        <v>171920</v>
      </c>
      <c r="G14" s="384">
        <v>199670</v>
      </c>
      <c r="H14" s="386"/>
      <c r="I14" s="387">
        <v>2.0499999999999998</v>
      </c>
      <c r="J14" s="388"/>
      <c r="K14" s="388" t="s">
        <v>275</v>
      </c>
      <c r="L14" s="388"/>
      <c r="M14" s="388"/>
      <c r="N14" s="385">
        <v>-0.06</v>
      </c>
      <c r="O14" s="388" t="s">
        <v>275</v>
      </c>
      <c r="P14" s="389">
        <v>1.75</v>
      </c>
      <c r="Q14" s="390">
        <v>10.33</v>
      </c>
    </row>
    <row r="15" spans="1:25" ht="12.75" customHeight="1">
      <c r="B15" s="56" t="s">
        <v>281</v>
      </c>
      <c r="C15" s="56" t="s">
        <v>282</v>
      </c>
      <c r="D15" s="384">
        <v>196.21</v>
      </c>
      <c r="E15" s="385">
        <f xml:space="preserve"> D15 / 214.5</f>
        <v>0.91473193473193481</v>
      </c>
      <c r="F15" s="384">
        <v>267660</v>
      </c>
      <c r="G15" s="384">
        <v>300020</v>
      </c>
      <c r="H15" s="386"/>
      <c r="I15" s="387">
        <v>3.21</v>
      </c>
      <c r="J15" s="388"/>
      <c r="K15" s="387">
        <v>23.28</v>
      </c>
      <c r="L15" s="388"/>
      <c r="M15" s="388"/>
      <c r="N15" s="385">
        <v>0.1</v>
      </c>
      <c r="O15" s="388">
        <v>4.5</v>
      </c>
      <c r="P15" s="389">
        <v>0.9</v>
      </c>
      <c r="Q15" s="390">
        <v>0.61199999999999999</v>
      </c>
    </row>
    <row r="16" spans="1:25" ht="12.75" customHeight="1">
      <c r="B16" s="56"/>
      <c r="C16" s="56"/>
      <c r="D16" s="397"/>
      <c r="E16" s="398"/>
      <c r="F16" s="397"/>
      <c r="G16" s="397"/>
      <c r="H16" s="399"/>
      <c r="I16" s="400"/>
      <c r="J16" s="400"/>
      <c r="K16" s="388"/>
      <c r="L16" s="400"/>
      <c r="M16" s="400"/>
      <c r="N16" s="398"/>
      <c r="O16" s="400"/>
      <c r="P16" s="400"/>
      <c r="Q16" s="400"/>
    </row>
    <row r="17" spans="1:29" ht="12.75" customHeight="1">
      <c r="B17" s="59"/>
      <c r="C17" s="60"/>
      <c r="D17" s="60"/>
      <c r="E17" s="60"/>
      <c r="F17" s="60"/>
      <c r="G17" s="60"/>
      <c r="H17" s="45"/>
      <c r="I17" s="401"/>
      <c r="J17" s="401"/>
      <c r="K17" s="401"/>
      <c r="L17" s="401"/>
      <c r="M17" s="401"/>
      <c r="N17" s="402"/>
      <c r="O17" s="401"/>
      <c r="P17" s="401"/>
      <c r="Q17" s="401"/>
    </row>
    <row r="18" spans="1:29" ht="12.75" customHeight="1">
      <c r="B18" s="161" t="s">
        <v>283</v>
      </c>
      <c r="C18" s="161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</row>
    <row r="19" spans="1:29" ht="12.75" customHeight="1">
      <c r="B19" s="56" t="s">
        <v>284</v>
      </c>
      <c r="C19" s="71" t="s">
        <v>285</v>
      </c>
      <c r="D19" s="384">
        <v>232.68</v>
      </c>
      <c r="E19" s="385">
        <f xml:space="preserve"> D19 / 267.31</f>
        <v>0.87045003928023645</v>
      </c>
      <c r="F19" s="384">
        <v>93800</v>
      </c>
      <c r="G19" s="384">
        <v>96648</v>
      </c>
      <c r="H19" s="386"/>
      <c r="I19" s="387">
        <v>10.41</v>
      </c>
      <c r="J19" s="388"/>
      <c r="K19" s="388">
        <v>40.049999999999997</v>
      </c>
      <c r="L19" s="388"/>
      <c r="M19" s="388"/>
      <c r="N19" s="385">
        <v>0.25800000000000001</v>
      </c>
      <c r="O19" s="388">
        <v>1.51</v>
      </c>
      <c r="P19" s="389">
        <v>1.3</v>
      </c>
      <c r="Q19" s="390">
        <v>0.6</v>
      </c>
    </row>
    <row r="20" spans="1:29" ht="12.75" customHeight="1">
      <c r="B20" s="56" t="s">
        <v>286</v>
      </c>
      <c r="C20" s="71" t="s">
        <v>287</v>
      </c>
      <c r="D20" s="384">
        <v>271.77</v>
      </c>
      <c r="E20" s="385">
        <f xml:space="preserve"> D20 / 361.69</f>
        <v>0.75138931128867259</v>
      </c>
      <c r="F20" s="384">
        <v>33312</v>
      </c>
      <c r="G20" s="384">
        <v>36102</v>
      </c>
      <c r="H20" s="386"/>
      <c r="I20" s="387">
        <v>7.14</v>
      </c>
      <c r="J20" s="388"/>
      <c r="K20" s="388">
        <v>30.02</v>
      </c>
      <c r="L20" s="388"/>
      <c r="M20" s="388"/>
      <c r="N20" s="385">
        <v>0.224</v>
      </c>
      <c r="O20" s="388">
        <v>2.41</v>
      </c>
      <c r="P20" s="389">
        <v>0.98</v>
      </c>
      <c r="Q20" s="390">
        <v>0.55700000000000005</v>
      </c>
    </row>
    <row r="21" spans="1:29" ht="12.75" customHeight="1">
      <c r="B21" s="59"/>
      <c r="C21" s="60"/>
      <c r="D21" s="60"/>
      <c r="E21" s="60"/>
      <c r="F21" s="60"/>
      <c r="G21" s="60"/>
      <c r="H21" s="45"/>
      <c r="I21" s="401"/>
      <c r="J21" s="401"/>
      <c r="K21" s="401"/>
      <c r="L21" s="401"/>
      <c r="M21" s="401"/>
      <c r="N21" s="402"/>
      <c r="O21" s="401"/>
      <c r="P21" s="401"/>
      <c r="Q21" s="401"/>
    </row>
    <row r="22" spans="1:29" ht="12.75" customHeight="1">
      <c r="B22" s="161" t="s">
        <v>288</v>
      </c>
      <c r="C22" s="162"/>
      <c r="D22" s="395"/>
      <c r="E22" s="395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</row>
    <row r="23" spans="1:29" ht="12.75" customHeight="1">
      <c r="B23" s="56" t="s">
        <v>289</v>
      </c>
      <c r="C23" s="56" t="s">
        <v>290</v>
      </c>
      <c r="D23" s="384">
        <v>88.05</v>
      </c>
      <c r="E23" s="385">
        <f xml:space="preserve"> D23 / 101.57</f>
        <v>0.86688982967411643</v>
      </c>
      <c r="F23" s="384">
        <v>15520</v>
      </c>
      <c r="G23" s="384">
        <v>17373</v>
      </c>
      <c r="H23" s="386"/>
      <c r="I23" s="387">
        <v>1.1200000000000001</v>
      </c>
      <c r="J23" s="388"/>
      <c r="K23" s="388">
        <v>12.43</v>
      </c>
      <c r="L23" s="388"/>
      <c r="M23" s="388"/>
      <c r="N23" s="385">
        <v>6.8000000000000005E-2</v>
      </c>
      <c r="O23" s="388">
        <v>4.28</v>
      </c>
      <c r="P23" s="389">
        <v>1.21</v>
      </c>
      <c r="Q23" s="390">
        <v>0.54400000000000004</v>
      </c>
    </row>
    <row r="24" spans="1:29" ht="12.75" customHeight="1">
      <c r="B24" s="56" t="s">
        <v>291</v>
      </c>
      <c r="C24" s="56" t="s">
        <v>292</v>
      </c>
      <c r="D24" s="384">
        <v>242.69</v>
      </c>
      <c r="E24" s="385">
        <f xml:space="preserve"> D24 / 323.51</f>
        <v>0.75017773793700349</v>
      </c>
      <c r="F24" s="384">
        <v>24893</v>
      </c>
      <c r="G24" s="384">
        <v>27727</v>
      </c>
      <c r="H24" s="386"/>
      <c r="I24" s="387">
        <v>8.4499999999999993</v>
      </c>
      <c r="J24" s="388"/>
      <c r="K24" s="388">
        <v>27.75</v>
      </c>
      <c r="L24" s="388"/>
      <c r="M24" s="388"/>
      <c r="N24" s="385">
        <v>0.30499999999999999</v>
      </c>
      <c r="O24" s="388">
        <v>4.5</v>
      </c>
      <c r="P24" s="389">
        <v>1.44</v>
      </c>
      <c r="Q24" s="390">
        <v>10.321</v>
      </c>
    </row>
    <row r="25" spans="1:29" ht="12.75" customHeight="1">
      <c r="B25" s="56"/>
      <c r="C25" s="56"/>
      <c r="D25" s="429"/>
      <c r="E25" s="404"/>
      <c r="F25" s="405"/>
      <c r="G25" s="405"/>
      <c r="H25" s="404"/>
      <c r="I25" s="404"/>
      <c r="J25" s="404"/>
      <c r="K25" s="404"/>
      <c r="L25" s="404"/>
      <c r="M25" s="404"/>
      <c r="N25" s="398"/>
      <c r="O25" s="404"/>
      <c r="P25" s="404"/>
      <c r="Q25" s="404"/>
    </row>
    <row r="26" spans="1:29" ht="12.75" customHeight="1">
      <c r="B26" s="59"/>
      <c r="C26" s="60"/>
      <c r="D26" s="60"/>
      <c r="E26" s="60"/>
      <c r="F26" s="60"/>
      <c r="G26" s="60"/>
      <c r="H26" s="45"/>
      <c r="I26" s="401"/>
      <c r="J26" s="401"/>
      <c r="K26" s="401"/>
      <c r="L26" s="401"/>
      <c r="M26" s="401"/>
      <c r="N26" s="402"/>
      <c r="O26" s="401"/>
      <c r="P26" s="401"/>
      <c r="Q26" s="401"/>
    </row>
    <row r="27" spans="1:29" ht="12.75" customHeight="1">
      <c r="B27" s="161" t="s">
        <v>293</v>
      </c>
      <c r="C27" s="161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AC27" s="20"/>
    </row>
    <row r="28" spans="1:29" ht="12.75" customHeight="1">
      <c r="A28" s="4"/>
      <c r="B28" s="56"/>
      <c r="C28" s="56"/>
      <c r="D28" s="429"/>
      <c r="E28" s="404"/>
      <c r="F28" s="405"/>
      <c r="G28" s="405"/>
      <c r="H28" s="404"/>
      <c r="I28" s="404"/>
      <c r="J28" s="404"/>
      <c r="K28" s="404"/>
      <c r="L28" s="404"/>
      <c r="M28" s="404"/>
      <c r="N28" s="406"/>
      <c r="O28" s="407"/>
      <c r="P28" s="407"/>
      <c r="Q28" s="407"/>
      <c r="AC28" s="20"/>
    </row>
    <row r="29" spans="1:29" ht="12.75" customHeight="1">
      <c r="A29" s="5"/>
      <c r="B29" s="432" t="s">
        <v>294</v>
      </c>
      <c r="C29" s="60"/>
      <c r="D29" s="426">
        <f xml:space="preserve"> AVERAGE(D14:D24)</f>
        <v>206.60333333333332</v>
      </c>
      <c r="E29" s="431">
        <f xml:space="preserve"> AVERAGE(E14:E24)</f>
        <v>0.82871243184467469</v>
      </c>
      <c r="F29" s="426">
        <f xml:space="preserve"> AVERAGE(F14:F24)</f>
        <v>101184.16666666667</v>
      </c>
      <c r="G29" s="426">
        <f xml:space="preserve"> AVERAGE(G14:G24)</f>
        <v>112923.33333333333</v>
      </c>
      <c r="H29" s="45"/>
      <c r="I29" s="427">
        <f xml:space="preserve"> AVERAGE(I14:I24)</f>
        <v>5.3966666666666656</v>
      </c>
      <c r="J29" s="427"/>
      <c r="K29" s="427">
        <f xml:space="preserve"> AVERAGE(K14:K24)</f>
        <v>26.706</v>
      </c>
      <c r="L29" s="427"/>
      <c r="M29" s="401"/>
      <c r="N29" s="428">
        <f xml:space="preserve"> AVERAGE(N14:N24)</f>
        <v>0.14916666666666667</v>
      </c>
      <c r="O29" s="427">
        <f xml:space="preserve"> AVERAGE(O14:O24)</f>
        <v>3.44</v>
      </c>
      <c r="P29" s="430">
        <f xml:space="preserve"> AVERAGE(P14:P24)</f>
        <v>1.2633333333333334</v>
      </c>
      <c r="Q29" s="402">
        <f xml:space="preserve"> AVERAGE(Q14:Q24)</f>
        <v>3.8273333333333333</v>
      </c>
      <c r="R29" s="20"/>
    </row>
    <row r="30" spans="1:29" ht="12.75" customHeight="1">
      <c r="A30" s="5"/>
      <c r="B30" s="432" t="s">
        <v>295</v>
      </c>
      <c r="C30" s="60"/>
      <c r="D30" s="426">
        <f xml:space="preserve"> MEDIAN(D14:D24)</f>
        <v>220.45</v>
      </c>
      <c r="E30" s="431">
        <f xml:space="preserve"> MEDIAN(E14:E24)</f>
        <v>0.84276278391510029</v>
      </c>
      <c r="F30" s="426">
        <f xml:space="preserve"> MEDIAN(F14:F24)</f>
        <v>63556</v>
      </c>
      <c r="G30" s="426">
        <f xml:space="preserve"> MEDIAN(G14:G24)</f>
        <v>66375</v>
      </c>
      <c r="H30" s="45"/>
      <c r="I30" s="427">
        <f xml:space="preserve"> MEDIAN(I14:I24)</f>
        <v>5.1749999999999998</v>
      </c>
      <c r="J30" s="427"/>
      <c r="K30" s="427">
        <f xml:space="preserve"> MEDIAN(K14:K24)</f>
        <v>27.75</v>
      </c>
      <c r="L30" s="427"/>
      <c r="M30" s="401"/>
      <c r="N30" s="428">
        <f xml:space="preserve"> MEDIAN(N14:N24)</f>
        <v>0.16200000000000001</v>
      </c>
      <c r="O30" s="427">
        <f xml:space="preserve"> MEDIAN(O14:O24)</f>
        <v>4.28</v>
      </c>
      <c r="P30" s="430">
        <f xml:space="preserve"> MEDIAN(P14:P24)</f>
        <v>1.2549999999999999</v>
      </c>
      <c r="Q30" s="402">
        <f xml:space="preserve"> MEDIAN(Q14:Q24)</f>
        <v>0.60599999999999998</v>
      </c>
      <c r="R30" s="20"/>
      <c r="AC30" s="20"/>
    </row>
    <row r="31" spans="1:29" ht="12.75" customHeight="1">
      <c r="A31" s="4"/>
      <c r="B31" s="59"/>
      <c r="C31" s="60"/>
      <c r="D31" s="420"/>
      <c r="E31" s="421"/>
      <c r="F31" s="420"/>
      <c r="G31" s="420"/>
      <c r="H31" s="45"/>
      <c r="I31" s="401"/>
      <c r="J31" s="401"/>
      <c r="K31" s="401"/>
      <c r="L31" s="401"/>
      <c r="M31" s="401"/>
      <c r="N31" s="402"/>
      <c r="O31" s="401"/>
      <c r="P31" s="401"/>
      <c r="Q31" s="401"/>
      <c r="AC31" s="20"/>
    </row>
    <row r="32" spans="1:29" ht="12.75" customHeight="1">
      <c r="A32" s="4"/>
      <c r="B32" s="166" t="s">
        <v>269</v>
      </c>
      <c r="C32" s="167"/>
      <c r="D32" s="408">
        <f xml:space="preserve"> MAXA(D14:D24)</f>
        <v>271.77</v>
      </c>
      <c r="E32" s="409">
        <f t="shared" ref="E32:G32" si="0" xml:space="preserve"> MAXA(E14:E24)</f>
        <v>0.91473193473193481</v>
      </c>
      <c r="F32" s="408">
        <f t="shared" si="0"/>
        <v>267660</v>
      </c>
      <c r="G32" s="408">
        <f t="shared" si="0"/>
        <v>300020</v>
      </c>
      <c r="H32" s="410"/>
      <c r="I32" s="411">
        <f xml:space="preserve"> MAXA(I14:I24)</f>
        <v>10.41</v>
      </c>
      <c r="J32" s="411"/>
      <c r="K32" s="411">
        <f xml:space="preserve"> MAXA(K14:K24)</f>
        <v>40.049999999999997</v>
      </c>
      <c r="L32" s="411"/>
      <c r="M32" s="412"/>
      <c r="N32" s="409">
        <f xml:space="preserve"> MAXA(N14:N24)</f>
        <v>0.30499999999999999</v>
      </c>
      <c r="O32" s="411">
        <f xml:space="preserve"> MAXA(O14:O24)</f>
        <v>4.5</v>
      </c>
      <c r="P32" s="413">
        <f xml:space="preserve"> MAXA(P14:P24)</f>
        <v>1.75</v>
      </c>
      <c r="Q32" s="493">
        <f xml:space="preserve"> MAXA(Q14:Q24)</f>
        <v>10.33</v>
      </c>
      <c r="R32" s="20"/>
      <c r="AC32" s="20"/>
    </row>
    <row r="33" spans="1:29" ht="12.75" customHeight="1">
      <c r="A33" s="4"/>
      <c r="B33" s="168" t="s">
        <v>296</v>
      </c>
      <c r="C33" s="60"/>
      <c r="D33" s="426">
        <f xml:space="preserve"> _xlfn.QUARTILE.INC(D14:D24, 3)</f>
        <v>240.1875</v>
      </c>
      <c r="E33" s="423">
        <f t="shared" ref="E33:G33" si="1" xml:space="preserve"> _xlfn.QUARTILE.INC(E14:E24, 3)</f>
        <v>0.8695599868787065</v>
      </c>
      <c r="F33" s="422">
        <f t="shared" si="1"/>
        <v>152390</v>
      </c>
      <c r="G33" s="422">
        <f t="shared" si="1"/>
        <v>173914.5</v>
      </c>
      <c r="H33" s="422"/>
      <c r="I33" s="424">
        <f xml:space="preserve"> _xlfn.QUARTILE.INC(I14:I24, 3)</f>
        <v>8.1224999999999987</v>
      </c>
      <c r="J33" s="424"/>
      <c r="K33" s="424">
        <f xml:space="preserve"> _xlfn.QUARTILE.INC(K14:K24, 3)</f>
        <v>30.02</v>
      </c>
      <c r="L33" s="424"/>
      <c r="M33" s="422"/>
      <c r="N33" s="423">
        <f xml:space="preserve"> _xlfn.QUARTILE.INC(N14:N24, 3)</f>
        <v>0.2495</v>
      </c>
      <c r="O33" s="424">
        <f xml:space="preserve"> _xlfn.QUARTILE.INC(O14:O24, 3)</f>
        <v>4.5</v>
      </c>
      <c r="P33" s="425">
        <f xml:space="preserve"> _xlfn.QUARTILE.INC(P14:P24, 3)</f>
        <v>1.405</v>
      </c>
      <c r="Q33" s="494">
        <f xml:space="preserve"> _xlfn.QUARTILE.INC(Q14:Q24, 3)</f>
        <v>7.8937499999999998</v>
      </c>
      <c r="R33" s="20"/>
      <c r="AC33" s="20"/>
    </row>
    <row r="34" spans="1:29" ht="12.75" customHeight="1">
      <c r="A34" s="4"/>
      <c r="B34" s="168" t="s">
        <v>297</v>
      </c>
      <c r="C34" s="60"/>
      <c r="D34" s="426">
        <f xml:space="preserve"> _xlfn.QUARTILE.INC(D14:D24, 1)</f>
        <v>199.21250000000001</v>
      </c>
      <c r="E34" s="423">
        <f t="shared" ref="E34:G34" si="2" xml:space="preserve"> _xlfn.QUARTILE.INC(E14:E24, 1)</f>
        <v>0.76820091800552548</v>
      </c>
      <c r="F34" s="422">
        <f t="shared" si="2"/>
        <v>26997.75</v>
      </c>
      <c r="G34" s="422">
        <f t="shared" si="2"/>
        <v>29820.75</v>
      </c>
      <c r="H34" s="422"/>
      <c r="I34" s="424">
        <f xml:space="preserve"> _xlfn.QUARTILE.INC(I14:I24, 1)</f>
        <v>2.34</v>
      </c>
      <c r="J34" s="424"/>
      <c r="K34" s="424">
        <f xml:space="preserve"> _xlfn.QUARTILE.INC(K14:K24, 1)</f>
        <v>23.28</v>
      </c>
      <c r="L34" s="424"/>
      <c r="M34" s="422"/>
      <c r="N34" s="423">
        <f xml:space="preserve"> _xlfn.QUARTILE.INC(N14:N24, 1)</f>
        <v>7.6000000000000012E-2</v>
      </c>
      <c r="O34" s="424">
        <f xml:space="preserve"> _xlfn.QUARTILE.INC(O14:O24, 1)</f>
        <v>2.41</v>
      </c>
      <c r="P34" s="425">
        <f xml:space="preserve"> _xlfn.QUARTILE.INC(P14:P24, 1)</f>
        <v>1.0375000000000001</v>
      </c>
      <c r="Q34" s="494">
        <f xml:space="preserve"> _xlfn.QUARTILE.INC(Q14:Q24, 1)</f>
        <v>0.56774999999999998</v>
      </c>
      <c r="R34" s="5" t="s">
        <v>298</v>
      </c>
      <c r="S34" s="4"/>
      <c r="T34" s="4"/>
      <c r="U34" s="4"/>
      <c r="V34" s="4"/>
      <c r="W34" s="4"/>
      <c r="X34" s="4"/>
      <c r="Y34" s="4"/>
    </row>
    <row r="35" spans="1:29" ht="12.75" customHeight="1">
      <c r="A35" s="4"/>
      <c r="B35" s="170" t="s">
        <v>299</v>
      </c>
      <c r="C35" s="169"/>
      <c r="D35" s="414">
        <f xml:space="preserve"> MINA(D14:D24)</f>
        <v>88.05</v>
      </c>
      <c r="E35" s="415">
        <f t="shared" ref="E35:G35" si="3" xml:space="preserve"> MINA(E14:E24)</f>
        <v>0.75017773793700349</v>
      </c>
      <c r="F35" s="414">
        <f t="shared" si="3"/>
        <v>15520</v>
      </c>
      <c r="G35" s="414">
        <f t="shared" si="3"/>
        <v>17373</v>
      </c>
      <c r="H35" s="416"/>
      <c r="I35" s="417">
        <f xml:space="preserve"> MINA(I14:I24)</f>
        <v>1.1200000000000001</v>
      </c>
      <c r="J35" s="417"/>
      <c r="K35" s="417">
        <f xml:space="preserve"> MINA(K14:K24)</f>
        <v>0</v>
      </c>
      <c r="L35" s="417"/>
      <c r="M35" s="418"/>
      <c r="N35" s="415">
        <f xml:space="preserve"> MINA(N14:N24)</f>
        <v>-0.06</v>
      </c>
      <c r="O35" s="417">
        <f xml:space="preserve"> MINA(O14:O24)</f>
        <v>0</v>
      </c>
      <c r="P35" s="419">
        <f xml:space="preserve"> MINA(P14:P24)</f>
        <v>0.9</v>
      </c>
      <c r="Q35" s="495">
        <f xml:space="preserve"> MINA(Q14:Q24)</f>
        <v>0.54400000000000004</v>
      </c>
      <c r="R35" s="5"/>
      <c r="S35" s="4"/>
      <c r="T35" s="4"/>
      <c r="U35" s="4"/>
      <c r="V35" s="4"/>
      <c r="W35" s="4"/>
      <c r="X35" s="4"/>
      <c r="Y35" s="4"/>
    </row>
    <row r="36" spans="1:29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9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9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9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9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9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9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9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9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9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9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9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</sheetData>
  <pageMargins left="0.5" right="0.5" top="0.5" bottom="0.5" header="0" footer="0"/>
  <pageSetup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4"/>
  <sheetViews>
    <sheetView showGridLines="0" zoomScale="80" workbookViewId="0">
      <selection activeCell="J13" sqref="J13"/>
    </sheetView>
  </sheetViews>
  <sheetFormatPr defaultColWidth="14.42578125" defaultRowHeight="15" customHeight="1"/>
  <cols>
    <col min="1" max="1" width="6.42578125" customWidth="1"/>
    <col min="2" max="2" width="18" customWidth="1"/>
    <col min="3" max="3" width="31.42578125" customWidth="1"/>
    <col min="4" max="4" width="16.140625" customWidth="1"/>
    <col min="5" max="5" width="21" customWidth="1"/>
    <col min="6" max="6" width="22.28515625" customWidth="1"/>
    <col min="7" max="7" width="15.140625" customWidth="1"/>
    <col min="8" max="8" width="13.85546875" customWidth="1"/>
    <col min="9" max="9" width="8.42578125" customWidth="1"/>
    <col min="10" max="10" width="10.85546875" customWidth="1"/>
    <col min="11" max="11" width="11.42578125" customWidth="1"/>
    <col min="12" max="26" width="7.42578125" customWidth="1"/>
  </cols>
  <sheetData>
    <row r="1" spans="1:26" ht="12.7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25">
      <c r="B2" s="27" t="s">
        <v>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B3" s="33" t="s">
        <v>300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4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>
      <c r="B4" s="29" t="s">
        <v>10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B6" s="49" t="s">
        <v>266</v>
      </c>
      <c r="C6" s="49" t="s">
        <v>301</v>
      </c>
      <c r="D6" s="49" t="s">
        <v>302</v>
      </c>
      <c r="E6" s="49" t="s">
        <v>303</v>
      </c>
      <c r="F6" s="49" t="s">
        <v>124</v>
      </c>
      <c r="G6" s="48"/>
      <c r="H6" s="72"/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B7" s="316" t="s">
        <v>304</v>
      </c>
      <c r="C7" s="316" t="s">
        <v>305</v>
      </c>
      <c r="D7" s="316">
        <v>2025</v>
      </c>
      <c r="E7" s="317">
        <v>1450</v>
      </c>
      <c r="F7" s="318">
        <v>18</v>
      </c>
      <c r="G7" s="72"/>
      <c r="H7" s="7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B8" s="316" t="s">
        <v>306</v>
      </c>
      <c r="C8" s="316" t="s">
        <v>307</v>
      </c>
      <c r="D8" s="316">
        <v>2025</v>
      </c>
      <c r="E8" s="317">
        <v>2200</v>
      </c>
      <c r="F8" s="318">
        <v>17.600000000000001</v>
      </c>
      <c r="G8" s="72"/>
      <c r="H8" s="7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B9" s="316" t="s">
        <v>308</v>
      </c>
      <c r="C9" s="316" t="s">
        <v>309</v>
      </c>
      <c r="D9" s="316">
        <v>2021</v>
      </c>
      <c r="E9" s="317">
        <v>2830</v>
      </c>
      <c r="F9" s="318">
        <v>14</v>
      </c>
      <c r="G9" s="72"/>
      <c r="H9" s="7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B10" s="316" t="s">
        <v>310</v>
      </c>
      <c r="C10" s="316" t="s">
        <v>311</v>
      </c>
      <c r="D10" s="316">
        <v>2022</v>
      </c>
      <c r="E10" s="317">
        <v>7257</v>
      </c>
      <c r="F10" s="318">
        <v>19.2</v>
      </c>
      <c r="G10" s="312" t="s">
        <v>312</v>
      </c>
      <c r="H10" s="4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B11" s="72"/>
      <c r="C11" s="72"/>
      <c r="D11" s="72"/>
      <c r="E11" s="313"/>
      <c r="F11" s="72"/>
      <c r="G11" s="72"/>
      <c r="H11" s="7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24" customFormat="1" ht="12.75" customHeight="1">
      <c r="A12"/>
      <c r="C12" s="60"/>
      <c r="D12" s="63"/>
      <c r="G12" s="44"/>
      <c r="H12" s="164"/>
      <c r="I12" s="164"/>
      <c r="J12" s="164"/>
      <c r="K12" s="164"/>
      <c r="L12" s="61"/>
      <c r="M12" s="165"/>
      <c r="N12" s="164"/>
      <c r="O12" s="163"/>
      <c r="P12" s="16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24" customFormat="1" ht="12.75" customHeight="1">
      <c r="A13"/>
      <c r="C13" s="60"/>
      <c r="D13" s="63" t="s">
        <v>294</v>
      </c>
      <c r="E13" s="314">
        <f>AVERAGE(E7:E11)</f>
        <v>3434.25</v>
      </c>
      <c r="F13" s="315">
        <f>AVERAGE(F7:F11)</f>
        <v>17.2</v>
      </c>
      <c r="G13" s="44"/>
      <c r="H13" s="164"/>
      <c r="I13" s="164"/>
      <c r="J13" s="164"/>
      <c r="K13" s="164"/>
      <c r="L13" s="61"/>
      <c r="M13" s="165"/>
      <c r="N13" s="164"/>
      <c r="O13" s="163"/>
      <c r="P13" s="164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B14" s="59"/>
      <c r="C14" s="60"/>
      <c r="D14" s="512" t="s">
        <v>295</v>
      </c>
      <c r="E14" s="314">
        <f>MEDIAN(E7:E11)</f>
        <v>2515</v>
      </c>
      <c r="F14" s="315">
        <f>MEDIAN(F7:F11)</f>
        <v>17.8</v>
      </c>
      <c r="G14" s="44"/>
      <c r="H14" s="61"/>
      <c r="I14" s="61"/>
      <c r="J14" s="61"/>
      <c r="K14" s="61"/>
      <c r="L14" s="61"/>
      <c r="M14" s="62"/>
      <c r="N14" s="61"/>
      <c r="O14" s="61"/>
      <c r="P14" s="61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2:26" ht="12.7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2:26" ht="12.7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2:26" ht="12.7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2:26" ht="12.7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2:26" ht="12.7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2:26" ht="12.7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2:26" ht="12.7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2:26" ht="12.75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2:26" ht="12.75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2:26" ht="12.7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2:26" ht="12.7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2:26" ht="12.7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2:26" ht="12.7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2:26" ht="12.7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2:26" ht="12.7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2:26" ht="12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2:26" ht="12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2:26" ht="12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2:26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2:26" ht="12.75" customHeight="1">
      <c r="B36" s="4"/>
      <c r="C36" s="21"/>
      <c r="D36" s="21"/>
      <c r="E36" s="21"/>
      <c r="F36" s="21"/>
      <c r="G36" s="21"/>
      <c r="H36" s="21"/>
      <c r="I36" s="21"/>
      <c r="J36" s="21"/>
      <c r="K36" s="2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2:26" ht="12.75" customHeight="1">
      <c r="B37" s="4"/>
      <c r="C37" s="21"/>
      <c r="D37" s="22"/>
      <c r="E37" s="22"/>
      <c r="F37" s="22"/>
      <c r="G37" s="22"/>
      <c r="H37" s="22"/>
      <c r="I37" s="22"/>
      <c r="J37" s="22"/>
      <c r="K37" s="2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2:26" ht="12.7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2:26" ht="12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2:26" ht="12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2:26" ht="12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2:26" ht="12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2:26" ht="12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2:26" ht="12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2:26" ht="12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2:26" ht="12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2:26" ht="12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2:26" ht="12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2:26" ht="12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2:26" ht="12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2:26" ht="12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2:26" ht="12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2:26" ht="12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2:26" ht="12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2:26" ht="12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2:26" ht="12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2:26" ht="12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2:26" ht="12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2:26" ht="12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2:26" ht="12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2:26" ht="12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2:26" ht="12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2:26" ht="12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2:26" ht="12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2:26" ht="12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2:26" ht="12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2:26" ht="12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2:26" ht="12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2:26" ht="12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2:26" ht="12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2:26" ht="12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2:26" ht="12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2:26" ht="12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2:26" ht="12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2:26" ht="12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2:26" ht="12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2:26" ht="12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2:26" ht="12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2:26" ht="12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2:26" ht="12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2:26" ht="12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2:26" ht="12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2:26" ht="12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2:26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2:26" ht="12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2:26" ht="12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2:26" ht="12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2:26" ht="12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2:26" ht="12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2:26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2:26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2:26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2:26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2:26" ht="12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2:26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2:2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2:26" ht="12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2:26" ht="12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2:26" ht="12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2:26" ht="12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2:26" ht="12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2:26" ht="12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2:26" ht="12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2:26" ht="12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2:26" ht="12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2:2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2:26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2:26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2:26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2:26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2:26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2:26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2:26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2:26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2:26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2:2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2:26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2:26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2:26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2:26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2:26" ht="12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2:26" ht="12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2:26" ht="12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2:26" ht="12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2:26" ht="12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2:26" ht="12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2:26" ht="12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2:26" ht="12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2:26" ht="12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2:26" ht="12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2:26" ht="12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2:26" ht="12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2:26" ht="12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2:26" ht="12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2:26" ht="12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2:26" ht="12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2:26" ht="12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2:26" ht="12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2:26" ht="12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2:26" ht="12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2:26" ht="12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2:26" ht="12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2:26" ht="12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2:26" ht="12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2:26" ht="12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2:26" ht="12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2:26" ht="12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2:26" ht="12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2:26" ht="12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2:26" ht="12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2:26" ht="12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2:26" ht="12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2:26" ht="12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2:26" ht="12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2:26" ht="12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2:26" ht="12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2:26" ht="12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2:26" ht="12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2:26" ht="12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2:26" ht="12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2:26" ht="12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2:26" ht="12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2:26" ht="12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2:26" ht="12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2:26" ht="12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2:26" ht="12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2:26" ht="12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2:26" ht="12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2:26" ht="12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2:26" ht="12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2:26" ht="12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2:26" ht="12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2:26" ht="12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2:26" ht="12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2:26" ht="12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2:26" ht="12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2:26" ht="12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2:26" ht="12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2:26" ht="12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2:26" ht="12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2:26" ht="12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2:26" ht="12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2:26" ht="12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2:26" ht="12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2:26" ht="12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2:26" ht="12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2:26" ht="12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2:26" ht="12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2:26" ht="12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2:26" ht="12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2:26" ht="12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2:26" ht="12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2:26" ht="12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2:26" ht="12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2:26" ht="12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2:26" ht="12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2:26" ht="12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2:26" ht="12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2:26" ht="12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2:26" ht="12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2:26" ht="12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2:26" ht="12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2:26" ht="12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2:26" ht="12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2:26" ht="12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2:26" ht="12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2:26" ht="12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2:26" ht="12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2:26" ht="12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2:26" ht="12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2:26" ht="12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2:26" ht="12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2:26" ht="12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2:26" ht="12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2:26" ht="12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2:26" ht="12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2:26" ht="12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2:26" ht="12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2:26" ht="12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2:26" ht="12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2:26" ht="12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2:26" ht="12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2:26" ht="12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2:26" ht="12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2:26" ht="12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2:26" ht="12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2:26" ht="12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2:26" ht="12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2:26" ht="12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2:26" ht="12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2:26" ht="12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2:26" ht="12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2:26" ht="12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2:26" ht="12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2:26" ht="12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2:26" ht="12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2:26" ht="12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2:26" ht="12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2:26" ht="12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2:26" ht="12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2:26" ht="12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2:26" ht="12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2:26" ht="12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2:26" ht="12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2:26" ht="12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2:26" ht="12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2:26" ht="12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2:26" ht="12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2:26" ht="12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2:26" ht="12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2:26" ht="12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2:26" ht="12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2:26" ht="12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2:26" ht="12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2:26" ht="12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2:26" ht="12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2:26" ht="12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2:26" ht="12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2:26" ht="12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2:26" ht="12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2:26" ht="12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2:26" ht="12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2:26" ht="12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2:26" ht="12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2:26" ht="12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2:26" ht="12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2:26" ht="12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2:26" ht="12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2:26" ht="12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2:26" ht="12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2:26" ht="12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2:26" ht="12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2:26" ht="12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2:26" ht="12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2:26" ht="12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2:26" ht="12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2:26" ht="12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2:26" ht="12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2:26" ht="12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2:26" ht="12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2:26" ht="12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2:26" ht="12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2:26" ht="12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2:26" ht="12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2:26" ht="12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2:26" ht="12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2:26" ht="12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2:26" ht="12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2:26" ht="12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2:26" ht="12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2:26" ht="12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2:26" ht="12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2:26" ht="12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2:26" ht="12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2:26" ht="12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2:26" ht="12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2:26" ht="12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2:26" ht="12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2:26" ht="12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2:26" ht="12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2:26" ht="12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2:26" ht="12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2:26" ht="12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2:26" ht="12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2:26" ht="12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2:26" ht="12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2:26" ht="12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2:26" ht="12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2:26" ht="12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2:26" ht="12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2:26" ht="12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2:26" ht="12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2:26" ht="12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2:26" ht="12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2:26" ht="12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2:26" ht="12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2:26" ht="12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2:26" ht="12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2:26" ht="12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2:26" ht="12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2:26" ht="12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2:26" ht="12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2:26" ht="12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2:26" ht="12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2:26" ht="12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2:26" ht="12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2:26" ht="12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2:26" ht="12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2:26" ht="12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2:26" ht="12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2:26" ht="12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2:26" ht="12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2:26" ht="12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2:26" ht="12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2:26" ht="12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2:26" ht="12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2:26" ht="12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2:26" ht="12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2:26" ht="12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2:26" ht="12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2:26" ht="12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2:26" ht="12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2:26" ht="12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2:26" ht="12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2:26" ht="12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2:26" ht="12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2:26" ht="12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2:26" ht="12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2:26" ht="12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2:26" ht="12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2:26" ht="12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2:26" ht="12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2:26" ht="12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2:26" ht="12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2:26" ht="12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2:26" ht="12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2:26" ht="12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2:26" ht="12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2:26" ht="12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2:26" ht="12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2:26" ht="12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2:26" ht="12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2:26" ht="12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2:26" ht="12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2:26" ht="12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2:26" ht="12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2:26" ht="12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2:26" ht="12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2:26" ht="12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2:26" ht="12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2:26" ht="12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2:26" ht="12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2:26" ht="12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2:26" ht="12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2:26" ht="12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2:26" ht="12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2:26" ht="12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2:26" ht="12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2:26" ht="12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2:26" ht="12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2:26" ht="12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2:26" ht="12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2:26" ht="12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2:26" ht="12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2:26" ht="12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2:26" ht="12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2:26" ht="12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2:26" ht="12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2:26" ht="12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2:26" ht="12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2:26" ht="12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2:26" ht="12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2:26" ht="12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2:26" ht="12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2:26" ht="12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2:26" ht="12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2:26" ht="12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2:26" ht="12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2:26" ht="12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2:26" ht="12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2:26" ht="12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2:26" ht="12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2:26" ht="12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2:26" ht="12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2:26" ht="12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2:26" ht="12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2:26" ht="12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2:26" ht="12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2:26" ht="12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2:26" ht="12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2:26" ht="12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2:26" ht="12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2:26" ht="12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2:26" ht="12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2:26" ht="12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2:26" ht="12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2:26" ht="12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2:26" ht="12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2:26" ht="12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2:26" ht="12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2:26" ht="12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2:26" ht="12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2:26" ht="12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2:26" ht="12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2:26" ht="12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2:26" ht="12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2:26" ht="12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2:26" ht="12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2:26" ht="12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2:26" ht="12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2:26" ht="12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2:26" ht="12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2:26" ht="12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2:26" ht="12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2:26" ht="12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2:26" ht="12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2:26" ht="12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2:26" ht="12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2:26" ht="12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2:26" ht="12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2:26" ht="12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2:26" ht="12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2:26" ht="12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2:26" ht="12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2:26" ht="12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2:26" ht="12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2:26" ht="12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2:26" ht="12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2:26" ht="12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2:26" ht="12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2:26" ht="12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2:26" ht="12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2:26" ht="12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2:26" ht="12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2:26" ht="12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2:26" ht="12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2:26" ht="12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2:26" ht="12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2:26" ht="12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2:26" ht="12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2:26" ht="12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2:26" ht="12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2:26" ht="12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2:26" ht="12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2:26" ht="12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2:26" ht="12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2:26" ht="12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2:26" ht="12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2:26" ht="12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2:26" ht="12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2:26" ht="12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2:26" ht="12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2:26" ht="12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2:26" ht="12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2:26" ht="12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2:26" ht="12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2:26" ht="12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2:26" ht="12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2:26" ht="12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2:26" ht="12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2:26" ht="12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2:26" ht="12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2:26" ht="12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2:26" ht="12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2:26" ht="12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2:26" ht="12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2:26" ht="12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2:26" ht="12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2:26" ht="12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2:26" ht="12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2:26" ht="12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2:26" ht="12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2:26" ht="12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2:26" ht="12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2:26" ht="12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2:26" ht="12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2:26" ht="12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2:26" ht="12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2:26" ht="12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2:26" ht="12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2:26" ht="12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2:26" ht="12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2:26" ht="12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2:26" ht="12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2:26" ht="12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2:26" ht="12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2:26" ht="12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2:26" ht="12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2:26" ht="12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2:26" ht="12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2:26" ht="12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2:26" ht="12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2:26" ht="12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2:26" ht="12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2:26" ht="12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2:26" ht="12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2:26" ht="12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2:26" ht="12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2:26" ht="12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2:26" ht="12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2:26" ht="12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2:26" ht="12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2:26" ht="12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2:26" ht="12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2:26" ht="12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2:26" ht="12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2:26" ht="12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2:26" ht="12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2:26" ht="12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2:26" ht="12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2:26" ht="12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2:26" ht="12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2:26" ht="12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2:26" ht="12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2:26" ht="12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2:26" ht="12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2:26" ht="12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2:26" ht="12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2:26" ht="12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2:26" ht="12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2:26" ht="12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2:26" ht="12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2:26" ht="12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2:26" ht="12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2:26" ht="12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2:26" ht="12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2:26" ht="12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2:26" ht="12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2:26" ht="12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2:26" ht="12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2:26" ht="12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2:26" ht="12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2:26" ht="12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2:26" ht="12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2:26" ht="12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2:26" ht="12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2:26" ht="12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2:26" ht="12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2:26" ht="12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2:26" ht="12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2:26" ht="12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2:26" ht="12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2:26" ht="12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2:26" ht="12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2:26" ht="12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2:26" ht="12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2:26" ht="12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2:26" ht="12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2:26" ht="12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2:26" ht="12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2:26" ht="12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2:26" ht="12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2:26" ht="12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2:26" ht="12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2:26" ht="12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2:26" ht="12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2:26" ht="12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2:26" ht="12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2:26" ht="12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2:26" ht="12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2:26" ht="12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2:26" ht="12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2:26" ht="12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2:26" ht="12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2:26" ht="12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2:26" ht="12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2:26" ht="12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2:26" ht="12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2:26" ht="12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2:26" ht="12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2:26" ht="12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2:26" ht="12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2:26" ht="12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2:26" ht="12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2:26" ht="12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2:26" ht="12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2:26" ht="12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2:26" ht="12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2:26" ht="12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2:26" ht="12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2:26" ht="12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2:26" ht="12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2:26" ht="12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2:26" ht="12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2:26" ht="12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2:26" ht="12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2:26" ht="12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2:26" ht="12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2:26" ht="12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2:26" ht="12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2:26" ht="12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2:26" ht="12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2:26" ht="12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2:26" ht="12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2:26" ht="12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2:26" ht="12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2:26" ht="12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2:26" ht="12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2:26" ht="12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2:26" ht="12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2:26" ht="12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2:26" ht="12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2:26" ht="12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2:26" ht="12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2:26" ht="12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2:26" ht="12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2:26" ht="12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2:26" ht="12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2:26" ht="12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2:26" ht="12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2:26" ht="12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2:26" ht="12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2:26" ht="12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2:26" ht="12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2:26" ht="12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2:26" ht="12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2:26" ht="12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2:26" ht="12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2:26" ht="12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2:26" ht="12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2:26" ht="12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2:26" ht="12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2:26" ht="12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2:26" ht="12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2:26" ht="12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2:26" ht="12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2:26" ht="12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2:26" ht="12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2:26" ht="12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2:26" ht="12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2:26" ht="12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2:26" ht="12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2:26" ht="12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2:26" ht="12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2:26" ht="12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2:26" ht="12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2:26" ht="12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2:26" ht="12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2:26" ht="12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2:26" ht="12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2:26" ht="12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2:26" ht="12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2:26" ht="12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2:26" ht="12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2:26" ht="12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2:26" ht="12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2:26" ht="12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2:26" ht="12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2:26" ht="12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2:26" ht="12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2:26" ht="12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2:26" ht="12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2:26" ht="12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2:26" ht="12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2:26" ht="12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2:26" ht="12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2:26" ht="12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2:26" ht="12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2:26" ht="12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2:26" ht="12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2:26" ht="12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2:26" ht="12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2:26" ht="12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2:26" ht="12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2:26" ht="12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2:26" ht="12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2:26" ht="12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2:26" ht="12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2:26" ht="12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2:26" ht="12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2:26" ht="12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2:26" ht="12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2:26" ht="12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2:26" ht="12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2:26" ht="12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2:26" ht="12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2:26" ht="12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2:26" ht="12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2:26" ht="12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2:26" ht="12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2:26" ht="12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2:26" ht="12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2:26" ht="12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2:26" ht="12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2:26" ht="12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2:26" ht="12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2:26" ht="12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2:26" ht="12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2:26" ht="12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2:26" ht="12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2:26" ht="12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2:26" ht="12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2:26" ht="12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2:26" ht="12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2:26" ht="12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2:26" ht="12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2:26" ht="12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2:26" ht="12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2:26" ht="12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2:26" ht="12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2:26" ht="12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2:26" ht="12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2:26" ht="12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2:26" ht="12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2:26" ht="12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2:26" ht="12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2:26" ht="12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2:26" ht="12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2:26" ht="12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2:26" ht="12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2:26" ht="12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2:26" ht="12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2:26" ht="12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2:26" ht="12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2:26" ht="12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2:26" ht="12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2:26" ht="12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2:26" ht="12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2:26" ht="12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2:26" ht="12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2:26" ht="12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2:26" ht="12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2:26" ht="12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2:26" ht="12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2:26" ht="12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2:26" ht="12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2:26" ht="12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2:26" ht="12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2:26" ht="12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2:26" ht="12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2:26" ht="12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2:26" ht="12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2:26" ht="12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2:26" ht="12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2:26" ht="12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2:26" ht="12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2:26" ht="12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2:26" ht="12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2:26" ht="12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2:26" ht="12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2:26" ht="12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2:26" ht="12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2:26" ht="12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2:26" ht="12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2:26" ht="12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2:26" ht="12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2:26" ht="12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2:26" ht="12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2:26" ht="12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2:26" ht="12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2:26" ht="12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2:26" ht="12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2:26" ht="12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2:26" ht="12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2:26" ht="12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2:26" ht="12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2:26" ht="12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2:26" ht="12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2:26" ht="12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2:26" ht="12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2:26" ht="12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2:26" ht="12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2:26" ht="12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2:26" ht="12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2:26" ht="12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2:26" ht="12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2:26" ht="12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2:26" ht="12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2:26" ht="12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2:26" ht="12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2:26" ht="12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2:26" ht="12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2:26" ht="12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2:26" ht="12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2:26" ht="12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2:26" ht="12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2:26" ht="12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2:26" ht="12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2:26" ht="12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2:26" ht="12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2:26" ht="12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2:26" ht="12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2:26" ht="12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2:26" ht="12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2:26" ht="12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2:26" ht="12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2:26" ht="12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2:26" ht="12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2:26" ht="12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2:26" ht="12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2:26" ht="12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2:26" ht="12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2:26" ht="12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2:26" ht="12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2:26" ht="12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2:26" ht="12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2:26" ht="12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2:26" ht="12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2:26" ht="12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2:26" ht="12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2:26" ht="12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2:26" ht="12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2:26" ht="12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2:26" ht="12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2:26" ht="12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2:26" ht="12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2:26" ht="12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2:26" ht="12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2:26" ht="12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2:26" ht="12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2:26" ht="12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2:26" ht="12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2:26" ht="12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2:26" ht="12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2:26" ht="12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2:26" ht="12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2:26" ht="12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2:26" ht="12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2:26" ht="12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2:26" ht="12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2:26" ht="12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2:26" ht="12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2:26" ht="12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2:26" ht="12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2:26" ht="12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2:26" ht="12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2:26" ht="12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2:26" ht="12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2:26" ht="12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2:26" ht="12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2:26" ht="12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2:26" ht="12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2:26" ht="12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2:26" ht="12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2:26" ht="12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2:26" ht="12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2:26" ht="12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2:26" ht="12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2:26" ht="12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2:26" ht="12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2:26" ht="12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2:26" ht="12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2:26" ht="12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2:26" ht="12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2:26" ht="12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2:26" ht="12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2:26" ht="12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2:26" ht="12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2:26" ht="12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2:26" ht="12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2:26" ht="12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2:26" ht="12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2:26" ht="12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2:26" ht="12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2:26" ht="12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2:26" ht="12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2:26" ht="12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2:26" ht="12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2:26" ht="12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2:26" ht="12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2:26" ht="12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2:26" ht="12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2:26" ht="12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2:26" ht="12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2:26" ht="12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2:26" ht="12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2:26" ht="12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2:26" ht="12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2:26" ht="12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2:26" ht="12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2:26" ht="12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2:26" ht="12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2:26" ht="12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2:26" ht="12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2:26" ht="12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2:26" ht="12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2:26" ht="12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2:26" ht="12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2:26" ht="12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2:26" ht="12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2:26" ht="12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2:26" ht="12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2:26" ht="12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2:26" ht="12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2:26" ht="12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2:26" ht="12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2:26" ht="12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2:26" ht="12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2:26" ht="12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2:26" ht="12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2:26" ht="12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2:26" ht="12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2:26" ht="12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2:26" ht="12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2:26" ht="12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2:26" ht="12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2:26" ht="12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2:26" ht="12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2:26" ht="12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2:26" ht="12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2:26" ht="12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2:26" ht="12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2:26" ht="12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2:26" ht="12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2:26" ht="12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2:26" ht="12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2:26" ht="12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2:26" ht="12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2:26" ht="12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2:26" ht="12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2:26" ht="12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2:26" ht="12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2:26" ht="12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2:26" ht="12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2:26" ht="12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2:26" ht="12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2:26" ht="12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2:26" ht="12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2:26" ht="12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2:26" ht="12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2:26" ht="12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2:26" ht="12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2:26" ht="12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2:26" ht="12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2:26" ht="12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2:26" ht="12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2:26" ht="12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2:26" ht="12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2:26" ht="12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2:26" ht="12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2:26" ht="12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2:26" ht="12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2:26" ht="12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2:26" ht="12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2:26" ht="12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2:26" ht="12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2:26" ht="12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2:26" ht="12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2:26" ht="12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2:26" ht="12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2:26" ht="12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2:26" ht="12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2:26" ht="12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2:26" ht="12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2:26" ht="12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2:26" ht="12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2:26" ht="12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2:26" ht="12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2:26" ht="12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2:26" ht="12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2:26" ht="12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2:26" ht="12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2:26" ht="12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2:26" ht="12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2:26" ht="12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2:26" ht="12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2:26" ht="12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2:26" ht="12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2:26" ht="12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2:26" ht="12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2:26" ht="12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2:26" ht="12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2:26" ht="12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2:26" ht="12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2:26" ht="12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2:26" ht="12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2:26" ht="12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2:26" ht="12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2:26" ht="12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2:26" ht="12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2:26" ht="12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2:26" ht="12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2:26" ht="12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2:26" ht="12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2:26" ht="12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2:26" ht="12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2:26" ht="12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2:26" ht="12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2:26" ht="12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2:26" ht="12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2:26" ht="12.75" customHeight="1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2:26" ht="15" customHeight="1"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 spans="2:26" ht="15" customHeight="1"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</row>
    <row r="1004" spans="2:26" ht="15" customHeight="1"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</sheetData>
  <pageMargins left="0.5" right="0.5" top="0.5" bottom="0.5" header="0" footer="0"/>
  <pageSetup scale="8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11752"/>
  </sheetPr>
  <dimension ref="A1:Z1000"/>
  <sheetViews>
    <sheetView showGridLines="0" workbookViewId="0"/>
  </sheetViews>
  <sheetFormatPr defaultColWidth="14.42578125" defaultRowHeight="15" customHeight="1"/>
  <cols>
    <col min="1" max="26" width="8.5703125" customWidth="1"/>
  </cols>
  <sheetData>
    <row r="1" spans="1:26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C267-8148-4794-B757-2F65BB0D1F7B}">
  <dimension ref="A1:L53"/>
  <sheetViews>
    <sheetView workbookViewId="0">
      <selection activeCell="G48" sqref="G48"/>
    </sheetView>
  </sheetViews>
  <sheetFormatPr defaultRowHeight="15"/>
  <cols>
    <col min="1" max="1" width="29.85546875" customWidth="1"/>
  </cols>
  <sheetData>
    <row r="1" spans="1:12">
      <c r="A1" s="437" t="s">
        <v>313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</row>
    <row r="2" spans="1:12">
      <c r="A2" s="437" t="s">
        <v>314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</row>
    <row r="3" spans="1:12">
      <c r="A3" s="437" t="s">
        <v>315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</row>
    <row r="4" spans="1:12">
      <c r="A4" s="437"/>
      <c r="B4" s="437" t="s">
        <v>316</v>
      </c>
      <c r="C4" s="437" t="s">
        <v>317</v>
      </c>
      <c r="D4" s="437" t="s">
        <v>318</v>
      </c>
      <c r="E4" s="437" t="s">
        <v>319</v>
      </c>
      <c r="F4" s="437" t="s">
        <v>320</v>
      </c>
      <c r="G4" s="437" t="s">
        <v>321</v>
      </c>
      <c r="H4" s="437" t="s">
        <v>322</v>
      </c>
      <c r="I4" s="437" t="s">
        <v>323</v>
      </c>
      <c r="J4" s="437" t="s">
        <v>324</v>
      </c>
      <c r="K4" s="437" t="s">
        <v>325</v>
      </c>
      <c r="L4" s="437" t="s">
        <v>326</v>
      </c>
    </row>
    <row r="5" spans="1:12">
      <c r="A5" s="437"/>
      <c r="B5" s="437" t="s">
        <v>261</v>
      </c>
      <c r="C5" s="437"/>
      <c r="D5" s="437"/>
      <c r="E5" s="437"/>
      <c r="F5" s="437"/>
      <c r="G5" s="437"/>
      <c r="H5" s="437"/>
      <c r="I5" s="437"/>
      <c r="J5" s="437"/>
      <c r="K5" s="437"/>
      <c r="L5" s="437"/>
    </row>
    <row r="6" spans="1:12">
      <c r="A6" s="438" t="s">
        <v>327</v>
      </c>
      <c r="B6" s="439">
        <v>9110</v>
      </c>
      <c r="C6" s="439">
        <v>8832</v>
      </c>
      <c r="D6" s="439">
        <v>7936</v>
      </c>
      <c r="E6" s="439">
        <v>6585</v>
      </c>
      <c r="F6" s="439">
        <v>5437</v>
      </c>
      <c r="G6" s="439">
        <v>4799</v>
      </c>
      <c r="H6" s="439">
        <v>5107</v>
      </c>
      <c r="I6" s="439">
        <v>5223.223</v>
      </c>
      <c r="J6" s="439">
        <v>3811.1260000000002</v>
      </c>
      <c r="K6" s="439">
        <v>3504.2860000000001</v>
      </c>
      <c r="L6" s="439">
        <v>3171.4110000000001</v>
      </c>
    </row>
    <row r="7" spans="1:12">
      <c r="A7" s="440" t="s">
        <v>328</v>
      </c>
      <c r="B7" s="441">
        <v>3860</v>
      </c>
      <c r="C7" s="441">
        <v>3711</v>
      </c>
      <c r="D7" s="441">
        <v>3374</v>
      </c>
      <c r="E7" s="441">
        <v>2834</v>
      </c>
      <c r="F7" s="441">
        <v>2502</v>
      </c>
      <c r="G7" s="441">
        <v>2381</v>
      </c>
      <c r="H7" s="441">
        <v>2556</v>
      </c>
      <c r="I7" s="441">
        <v>2540.5839999999998</v>
      </c>
      <c r="J7" s="441">
        <v>1692.67</v>
      </c>
      <c r="K7" s="441">
        <v>1604.885</v>
      </c>
      <c r="L7" s="441">
        <v>1512.4929999999999</v>
      </c>
    </row>
    <row r="8" spans="1:12">
      <c r="A8" s="442" t="s">
        <v>329</v>
      </c>
      <c r="B8" s="443">
        <v>3484</v>
      </c>
      <c r="C8" s="443">
        <v>3347</v>
      </c>
      <c r="D8" s="443">
        <v>3064</v>
      </c>
      <c r="E8" s="443">
        <v>2566</v>
      </c>
      <c r="F8" s="443">
        <v>2250</v>
      </c>
      <c r="G8" s="443">
        <v>2129</v>
      </c>
      <c r="H8" s="443">
        <v>2273</v>
      </c>
      <c r="I8" s="443">
        <v>2315.9430000000002</v>
      </c>
      <c r="J8" s="443">
        <v>1563.819</v>
      </c>
      <c r="K8" s="443">
        <v>1464.722</v>
      </c>
      <c r="L8" s="443">
        <v>1390.8230000000001</v>
      </c>
    </row>
    <row r="9" spans="1:12">
      <c r="A9" s="444" t="s">
        <v>330</v>
      </c>
      <c r="B9" s="441">
        <v>376</v>
      </c>
      <c r="C9" s="441">
        <v>364</v>
      </c>
      <c r="D9" s="441">
        <v>310</v>
      </c>
      <c r="E9" s="441">
        <v>268</v>
      </c>
      <c r="F9" s="441">
        <v>252</v>
      </c>
      <c r="G9" s="441">
        <v>252</v>
      </c>
      <c r="H9" s="441">
        <v>283</v>
      </c>
      <c r="I9" s="441">
        <v>224.64099999999999</v>
      </c>
      <c r="J9" s="441">
        <v>128.851</v>
      </c>
      <c r="K9" s="441">
        <v>140.16300000000001</v>
      </c>
      <c r="L9" s="441">
        <v>121.67</v>
      </c>
    </row>
    <row r="10" spans="1:12">
      <c r="A10" s="445" t="s">
        <v>211</v>
      </c>
      <c r="B10" s="443">
        <v>169</v>
      </c>
      <c r="C10" s="443">
        <v>163</v>
      </c>
      <c r="D10" s="443">
        <v>149</v>
      </c>
      <c r="E10" s="443">
        <v>129</v>
      </c>
      <c r="F10" s="443">
        <v>116</v>
      </c>
      <c r="G10" s="443">
        <v>115</v>
      </c>
      <c r="H10" s="443">
        <v>114</v>
      </c>
      <c r="I10" s="443">
        <v>89.688999999999993</v>
      </c>
      <c r="J10" s="443">
        <v>56.396999999999998</v>
      </c>
      <c r="K10" s="443">
        <v>50.936999999999998</v>
      </c>
      <c r="L10" s="443">
        <v>43.454999999999998</v>
      </c>
    </row>
    <row r="11" spans="1:12">
      <c r="A11" s="446" t="s">
        <v>331</v>
      </c>
      <c r="B11" s="447">
        <v>207</v>
      </c>
      <c r="C11" s="447">
        <v>201</v>
      </c>
      <c r="D11" s="447">
        <v>161</v>
      </c>
      <c r="E11" s="447">
        <v>139</v>
      </c>
      <c r="F11" s="447">
        <v>136</v>
      </c>
      <c r="G11" s="447">
        <v>137</v>
      </c>
      <c r="H11" s="447">
        <v>169</v>
      </c>
      <c r="I11" s="447">
        <v>134.952</v>
      </c>
      <c r="J11" s="447">
        <v>72.453999999999994</v>
      </c>
      <c r="K11" s="447">
        <v>89.225999999999999</v>
      </c>
      <c r="L11" s="447">
        <v>78.215000000000003</v>
      </c>
    </row>
    <row r="12" spans="1:12">
      <c r="A12" s="438" t="s">
        <v>332</v>
      </c>
      <c r="B12" s="439">
        <v>5250</v>
      </c>
      <c r="C12" s="439">
        <v>5121</v>
      </c>
      <c r="D12" s="439">
        <v>4562</v>
      </c>
      <c r="E12" s="439">
        <v>3751</v>
      </c>
      <c r="F12" s="439">
        <v>2935</v>
      </c>
      <c r="G12" s="439">
        <v>2418</v>
      </c>
      <c r="H12" s="439">
        <v>2551</v>
      </c>
      <c r="I12" s="439">
        <v>2682.6390000000001</v>
      </c>
      <c r="J12" s="439">
        <v>2118.4560000000001</v>
      </c>
      <c r="K12" s="439">
        <v>1899.4010000000001</v>
      </c>
      <c r="L12" s="439">
        <v>1658.9179999999999</v>
      </c>
    </row>
    <row r="13" spans="1:12">
      <c r="A13" s="440" t="s">
        <v>333</v>
      </c>
      <c r="B13" s="441">
        <v>965</v>
      </c>
      <c r="C13" s="441">
        <v>921</v>
      </c>
      <c r="D13" s="441">
        <v>934</v>
      </c>
      <c r="E13" s="441">
        <v>766</v>
      </c>
      <c r="F13" s="441">
        <v>737</v>
      </c>
      <c r="G13" s="441">
        <v>650</v>
      </c>
      <c r="H13" s="441">
        <v>696.3</v>
      </c>
      <c r="I13" s="441">
        <v>668.97299999999996</v>
      </c>
      <c r="J13" s="441">
        <v>442.495</v>
      </c>
      <c r="K13" s="441">
        <v>409.07499999999999</v>
      </c>
      <c r="L13" s="441">
        <v>356.858</v>
      </c>
    </row>
    <row r="14" spans="1:12">
      <c r="A14" s="442" t="s">
        <v>334</v>
      </c>
      <c r="B14" s="448"/>
      <c r="C14" s="443">
        <v>118</v>
      </c>
      <c r="D14" s="443">
        <v>107</v>
      </c>
      <c r="E14" s="443">
        <v>105</v>
      </c>
      <c r="F14" s="443">
        <v>94.9</v>
      </c>
      <c r="G14" s="443">
        <v>105.6</v>
      </c>
      <c r="H14" s="443">
        <v>130.9</v>
      </c>
      <c r="I14" s="443">
        <v>116.8</v>
      </c>
      <c r="J14" s="443">
        <v>73.8</v>
      </c>
      <c r="K14" s="443">
        <v>73.8</v>
      </c>
      <c r="L14" s="443">
        <v>58.6</v>
      </c>
    </row>
    <row r="15" spans="1:12">
      <c r="A15" s="449" t="s">
        <v>335</v>
      </c>
      <c r="B15" s="447">
        <v>965</v>
      </c>
      <c r="C15" s="447">
        <v>803</v>
      </c>
      <c r="D15" s="447">
        <v>827</v>
      </c>
      <c r="E15" s="447">
        <v>661</v>
      </c>
      <c r="F15" s="447">
        <v>642.1</v>
      </c>
      <c r="G15" s="447">
        <v>544.4</v>
      </c>
      <c r="H15" s="447">
        <v>565.4</v>
      </c>
      <c r="I15" s="447">
        <v>552.173</v>
      </c>
      <c r="J15" s="447">
        <v>368.69499999999999</v>
      </c>
      <c r="K15" s="447">
        <v>335.27499999999998</v>
      </c>
      <c r="L15" s="447">
        <v>298.25799999999998</v>
      </c>
    </row>
    <row r="16" spans="1:12">
      <c r="A16" s="438" t="s">
        <v>336</v>
      </c>
      <c r="B16" s="439">
        <v>4285</v>
      </c>
      <c r="C16" s="439">
        <v>4200</v>
      </c>
      <c r="D16" s="439">
        <v>3628</v>
      </c>
      <c r="E16" s="439">
        <v>2985</v>
      </c>
      <c r="F16" s="439">
        <v>2198</v>
      </c>
      <c r="G16" s="439">
        <v>1768</v>
      </c>
      <c r="H16" s="439">
        <v>1854.7</v>
      </c>
      <c r="I16" s="439">
        <v>2013.6659999999999</v>
      </c>
      <c r="J16" s="439">
        <v>1675.961</v>
      </c>
      <c r="K16" s="439">
        <v>1490.326</v>
      </c>
      <c r="L16" s="439">
        <v>1302.06</v>
      </c>
    </row>
    <row r="17" spans="1:12">
      <c r="A17" s="440" t="s">
        <v>337</v>
      </c>
      <c r="B17" s="441">
        <v>34</v>
      </c>
      <c r="C17" s="441">
        <v>93</v>
      </c>
      <c r="D17" s="441">
        <v>12</v>
      </c>
      <c r="E17" s="441">
        <v>-1</v>
      </c>
      <c r="F17" s="441">
        <v>22</v>
      </c>
      <c r="G17" s="441">
        <v>110</v>
      </c>
      <c r="H17" s="441">
        <v>24</v>
      </c>
      <c r="I17" s="441">
        <v>9.3249999999999993</v>
      </c>
      <c r="J17" s="441">
        <v>0.4</v>
      </c>
      <c r="K17" s="441">
        <v>0</v>
      </c>
      <c r="L17" s="441">
        <v>0</v>
      </c>
    </row>
    <row r="18" spans="1:12">
      <c r="A18" s="442" t="s">
        <v>338</v>
      </c>
      <c r="B18" s="443">
        <v>34</v>
      </c>
      <c r="C18" s="443">
        <v>93</v>
      </c>
      <c r="D18" s="443">
        <v>12</v>
      </c>
      <c r="E18" s="450">
        <v>-1</v>
      </c>
      <c r="F18" s="443">
        <v>22</v>
      </c>
      <c r="G18" s="443">
        <v>110</v>
      </c>
      <c r="H18" s="443">
        <v>24</v>
      </c>
      <c r="I18" s="443">
        <v>9.3249999999999993</v>
      </c>
      <c r="J18" s="443">
        <v>0.4</v>
      </c>
      <c r="K18" s="443">
        <v>0</v>
      </c>
      <c r="L18" s="443">
        <v>0</v>
      </c>
    </row>
    <row r="19" spans="1:12">
      <c r="A19" s="440" t="s">
        <v>84</v>
      </c>
      <c r="B19" s="441">
        <v>1703</v>
      </c>
      <c r="C19" s="441">
        <v>1640</v>
      </c>
      <c r="D19" s="441">
        <v>1344</v>
      </c>
      <c r="E19" s="441">
        <v>1220</v>
      </c>
      <c r="F19" s="441">
        <v>1078</v>
      </c>
      <c r="G19" s="441">
        <v>1098</v>
      </c>
      <c r="H19" s="441">
        <v>1061</v>
      </c>
      <c r="I19" s="441">
        <v>865.82600000000002</v>
      </c>
      <c r="J19" s="441">
        <v>669.404</v>
      </c>
      <c r="K19" s="441">
        <v>639.29600000000005</v>
      </c>
      <c r="L19" s="441">
        <v>498.24400000000003</v>
      </c>
    </row>
    <row r="20" spans="1:12">
      <c r="A20" s="442" t="s">
        <v>339</v>
      </c>
      <c r="B20" s="443">
        <v>1703</v>
      </c>
      <c r="C20" s="443">
        <v>1640</v>
      </c>
      <c r="D20" s="443">
        <v>1344</v>
      </c>
      <c r="E20" s="443">
        <v>1220</v>
      </c>
      <c r="F20" s="443">
        <v>1078</v>
      </c>
      <c r="G20" s="443">
        <v>1098</v>
      </c>
      <c r="H20" s="443">
        <v>1061</v>
      </c>
      <c r="I20" s="443">
        <v>865.82600000000002</v>
      </c>
      <c r="J20" s="443">
        <v>669.404</v>
      </c>
      <c r="K20" s="443">
        <v>639.29600000000005</v>
      </c>
      <c r="L20" s="443">
        <v>498.24400000000003</v>
      </c>
    </row>
    <row r="21" spans="1:12">
      <c r="A21" s="440" t="s">
        <v>340</v>
      </c>
      <c r="B21" s="441">
        <v>35</v>
      </c>
      <c r="C21" s="441">
        <v>24</v>
      </c>
      <c r="D21" s="441">
        <v>81</v>
      </c>
      <c r="E21" s="441">
        <v>48</v>
      </c>
      <c r="F21" s="441">
        <v>15</v>
      </c>
      <c r="G21" s="441">
        <v>65</v>
      </c>
      <c r="H21" s="441">
        <v>77.7</v>
      </c>
      <c r="I21" s="441">
        <v>94.3</v>
      </c>
      <c r="J21" s="441">
        <v>21.4</v>
      </c>
      <c r="K21" s="441">
        <v>13.6</v>
      </c>
      <c r="L21" s="441">
        <v>35.700000000000003</v>
      </c>
    </row>
    <row r="22" spans="1:12">
      <c r="A22" s="442" t="s">
        <v>341</v>
      </c>
      <c r="B22" s="443">
        <v>35</v>
      </c>
      <c r="C22" s="443">
        <v>24</v>
      </c>
      <c r="D22" s="443">
        <v>81</v>
      </c>
      <c r="E22" s="443">
        <v>48</v>
      </c>
      <c r="F22" s="443">
        <v>15</v>
      </c>
      <c r="G22" s="443">
        <v>65</v>
      </c>
      <c r="H22" s="443">
        <v>77</v>
      </c>
      <c r="I22" s="443">
        <v>91.9</v>
      </c>
      <c r="J22" s="443">
        <v>21.4</v>
      </c>
      <c r="K22" s="443">
        <v>10.5</v>
      </c>
      <c r="L22" s="443">
        <v>34.299999999999997</v>
      </c>
    </row>
    <row r="23" spans="1:12">
      <c r="A23" s="444" t="s">
        <v>342</v>
      </c>
      <c r="B23" s="451"/>
      <c r="C23" s="451"/>
      <c r="D23" s="451"/>
      <c r="E23" s="451"/>
      <c r="F23" s="451"/>
      <c r="G23" s="451"/>
      <c r="H23" s="441">
        <v>-0.7</v>
      </c>
      <c r="I23" s="451"/>
      <c r="J23" s="451"/>
      <c r="K23" s="451"/>
      <c r="L23" s="451"/>
    </row>
    <row r="24" spans="1:12">
      <c r="A24" s="445" t="s">
        <v>343</v>
      </c>
      <c r="B24" s="448"/>
      <c r="C24" s="448"/>
      <c r="D24" s="448"/>
      <c r="E24" s="448"/>
      <c r="F24" s="448"/>
      <c r="G24" s="448"/>
      <c r="H24" s="450">
        <v>-0.7</v>
      </c>
      <c r="I24" s="448"/>
      <c r="J24" s="448"/>
      <c r="K24" s="448"/>
      <c r="L24" s="448"/>
    </row>
    <row r="25" spans="1:12">
      <c r="A25" s="444" t="s">
        <v>344</v>
      </c>
      <c r="B25" s="451"/>
      <c r="C25" s="451"/>
      <c r="D25" s="451"/>
      <c r="E25" s="451"/>
      <c r="F25" s="451"/>
      <c r="G25" s="451"/>
      <c r="H25" s="451"/>
      <c r="I25" s="441">
        <v>2.4</v>
      </c>
      <c r="J25" s="451"/>
      <c r="K25" s="441">
        <v>3.1</v>
      </c>
      <c r="L25" s="441">
        <v>1.4</v>
      </c>
    </row>
    <row r="26" spans="1:12">
      <c r="A26" s="445" t="s">
        <v>345</v>
      </c>
      <c r="B26" s="448"/>
      <c r="C26" s="448"/>
      <c r="D26" s="448"/>
      <c r="E26" s="448"/>
      <c r="F26" s="448"/>
      <c r="G26" s="448"/>
      <c r="H26" s="448"/>
      <c r="I26" s="448"/>
      <c r="J26" s="448"/>
      <c r="K26" s="443">
        <v>3.1</v>
      </c>
      <c r="L26" s="443">
        <v>1.4</v>
      </c>
    </row>
    <row r="27" spans="1:12">
      <c r="A27" s="446" t="s">
        <v>346</v>
      </c>
      <c r="B27" s="452"/>
      <c r="C27" s="452"/>
      <c r="D27" s="452"/>
      <c r="E27" s="452"/>
      <c r="F27" s="452"/>
      <c r="G27" s="452"/>
      <c r="H27" s="452"/>
      <c r="I27" s="447">
        <v>2.4</v>
      </c>
      <c r="J27" s="452"/>
      <c r="K27" s="452"/>
      <c r="L27" s="452"/>
    </row>
    <row r="28" spans="1:12">
      <c r="A28" s="438" t="s">
        <v>347</v>
      </c>
      <c r="B28" s="439">
        <v>2581</v>
      </c>
      <c r="C28" s="439">
        <v>2629</v>
      </c>
      <c r="D28" s="439">
        <v>2215</v>
      </c>
      <c r="E28" s="439">
        <v>1716</v>
      </c>
      <c r="F28" s="439">
        <v>1127</v>
      </c>
      <c r="G28" s="439">
        <v>715</v>
      </c>
      <c r="H28" s="439">
        <v>740</v>
      </c>
      <c r="I28" s="439">
        <v>1062.865</v>
      </c>
      <c r="J28" s="439">
        <v>985.55700000000002</v>
      </c>
      <c r="K28" s="439">
        <v>837.43</v>
      </c>
      <c r="L28" s="439">
        <v>768.11599999999999</v>
      </c>
    </row>
    <row r="29" spans="1:12">
      <c r="A29" s="440" t="s">
        <v>348</v>
      </c>
      <c r="B29" s="441">
        <v>555</v>
      </c>
      <c r="C29" s="441">
        <v>555</v>
      </c>
      <c r="D29" s="441">
        <v>500</v>
      </c>
      <c r="E29" s="441">
        <v>417</v>
      </c>
      <c r="F29" s="441">
        <v>261</v>
      </c>
      <c r="G29" s="441">
        <v>34</v>
      </c>
      <c r="H29" s="441">
        <v>87</v>
      </c>
      <c r="I29" s="441">
        <v>221.98599999999999</v>
      </c>
      <c r="J29" s="441">
        <v>24.021000000000001</v>
      </c>
      <c r="K29" s="441">
        <v>208.88900000000001</v>
      </c>
      <c r="L29" s="441">
        <v>181.702</v>
      </c>
    </row>
    <row r="30" spans="1:12">
      <c r="A30" s="442" t="s">
        <v>349</v>
      </c>
      <c r="B30" s="448"/>
      <c r="C30" s="443">
        <v>465</v>
      </c>
      <c r="D30" s="443">
        <v>392</v>
      </c>
      <c r="E30" s="443">
        <v>317</v>
      </c>
      <c r="F30" s="443">
        <v>221</v>
      </c>
      <c r="G30" s="450">
        <v>-7</v>
      </c>
      <c r="H30" s="443">
        <v>29</v>
      </c>
      <c r="I30" s="443">
        <v>168.61500000000001</v>
      </c>
      <c r="J30" s="443">
        <v>148.422</v>
      </c>
      <c r="K30" s="443">
        <v>188.48</v>
      </c>
      <c r="L30" s="443">
        <v>163.191</v>
      </c>
    </row>
    <row r="31" spans="1:12">
      <c r="A31" s="449" t="s">
        <v>350</v>
      </c>
      <c r="B31" s="452"/>
      <c r="C31" s="447">
        <v>100</v>
      </c>
      <c r="D31" s="447">
        <v>98</v>
      </c>
      <c r="E31" s="447">
        <v>97</v>
      </c>
      <c r="F31" s="447">
        <v>62</v>
      </c>
      <c r="G31" s="447">
        <v>7</v>
      </c>
      <c r="H31" s="447">
        <v>34</v>
      </c>
      <c r="I31" s="447">
        <v>53.72</v>
      </c>
      <c r="J31" s="447">
        <v>27.239000000000001</v>
      </c>
      <c r="K31" s="447">
        <v>21.327000000000002</v>
      </c>
      <c r="L31" s="447">
        <v>12.702999999999999</v>
      </c>
    </row>
    <row r="32" spans="1:12">
      <c r="A32" s="442" t="s">
        <v>351</v>
      </c>
      <c r="B32" s="448"/>
      <c r="C32" s="450">
        <v>-31</v>
      </c>
      <c r="D32" s="443">
        <v>1</v>
      </c>
      <c r="E32" s="443">
        <v>39</v>
      </c>
      <c r="F32" s="450">
        <v>-25</v>
      </c>
      <c r="G32" s="443">
        <v>5</v>
      </c>
      <c r="H32" s="443">
        <v>24</v>
      </c>
      <c r="I32" s="450">
        <v>-0.34899999999999998</v>
      </c>
      <c r="J32" s="450">
        <v>-151.63999999999999</v>
      </c>
      <c r="K32" s="450">
        <v>-0.91800000000000004</v>
      </c>
      <c r="L32" s="443">
        <v>5.8079999999999998</v>
      </c>
    </row>
    <row r="33" spans="1:12">
      <c r="A33" s="449" t="s">
        <v>352</v>
      </c>
      <c r="B33" s="452"/>
      <c r="C33" s="447">
        <v>21</v>
      </c>
      <c r="D33" s="447">
        <v>9</v>
      </c>
      <c r="E33" s="453">
        <v>-36</v>
      </c>
      <c r="F33" s="447">
        <v>3</v>
      </c>
      <c r="G33" s="447">
        <v>29</v>
      </c>
      <c r="H33" s="447">
        <v>0</v>
      </c>
      <c r="I33" s="447">
        <v>0</v>
      </c>
      <c r="J33" s="447">
        <v>0</v>
      </c>
      <c r="K33" s="447">
        <v>0</v>
      </c>
      <c r="L33" s="447">
        <v>0</v>
      </c>
    </row>
    <row r="34" spans="1:12">
      <c r="A34" s="454" t="s">
        <v>353</v>
      </c>
      <c r="B34" s="450">
        <v>-218</v>
      </c>
      <c r="C34" s="450">
        <v>-208</v>
      </c>
      <c r="D34" s="450">
        <v>-233</v>
      </c>
      <c r="E34" s="450">
        <v>-38</v>
      </c>
      <c r="F34" s="450">
        <v>-86</v>
      </c>
      <c r="G34" s="450">
        <v>-73</v>
      </c>
      <c r="H34" s="450">
        <v>-185</v>
      </c>
      <c r="I34" s="450">
        <v>-111.021</v>
      </c>
      <c r="J34" s="450">
        <v>-56.148000000000003</v>
      </c>
      <c r="K34" s="450">
        <v>-159.25700000000001</v>
      </c>
      <c r="L34" s="450">
        <v>-3</v>
      </c>
    </row>
    <row r="35" spans="1:12">
      <c r="A35" s="451" t="s">
        <v>354</v>
      </c>
      <c r="B35" s="441">
        <v>1808</v>
      </c>
      <c r="C35" s="441">
        <v>1866</v>
      </c>
      <c r="D35" s="441">
        <v>1482</v>
      </c>
      <c r="E35" s="441">
        <v>1261</v>
      </c>
      <c r="F35" s="441">
        <v>780</v>
      </c>
      <c r="G35" s="441">
        <v>608</v>
      </c>
      <c r="H35" s="441">
        <v>468</v>
      </c>
      <c r="I35" s="441">
        <v>729.85799999999995</v>
      </c>
      <c r="J35" s="441">
        <v>905.38800000000003</v>
      </c>
      <c r="K35" s="441">
        <v>469.28399999999999</v>
      </c>
      <c r="L35" s="441">
        <v>583.41399999999999</v>
      </c>
    </row>
    <row r="36" spans="1:12">
      <c r="A36" s="454" t="s">
        <v>355</v>
      </c>
      <c r="B36" s="443">
        <v>0</v>
      </c>
      <c r="C36" s="443">
        <v>0</v>
      </c>
      <c r="D36" s="443">
        <v>1</v>
      </c>
      <c r="E36" s="443">
        <v>1</v>
      </c>
      <c r="F36" s="443">
        <v>1</v>
      </c>
      <c r="G36" s="443">
        <v>1</v>
      </c>
      <c r="H36" s="443">
        <v>1</v>
      </c>
      <c r="I36" s="443">
        <v>1.5409999999999999</v>
      </c>
      <c r="J36" s="443">
        <v>0</v>
      </c>
      <c r="K36" s="443">
        <v>0</v>
      </c>
      <c r="L36" s="443">
        <v>0</v>
      </c>
    </row>
    <row r="37" spans="1:12">
      <c r="A37" s="451" t="s">
        <v>356</v>
      </c>
      <c r="B37" s="441">
        <v>1808</v>
      </c>
      <c r="C37" s="441">
        <v>1866</v>
      </c>
      <c r="D37" s="441">
        <v>1481</v>
      </c>
      <c r="E37" s="441">
        <v>1260</v>
      </c>
      <c r="F37" s="441">
        <v>779</v>
      </c>
      <c r="G37" s="441">
        <v>607</v>
      </c>
      <c r="H37" s="441">
        <v>467</v>
      </c>
      <c r="I37" s="441">
        <v>728.31700000000001</v>
      </c>
      <c r="J37" s="441">
        <v>905.38800000000003</v>
      </c>
      <c r="K37" s="441">
        <v>469.28399999999999</v>
      </c>
      <c r="L37" s="441">
        <v>583.41399999999999</v>
      </c>
    </row>
    <row r="38" spans="1:12">
      <c r="A38" s="454" t="s">
        <v>357</v>
      </c>
      <c r="B38" s="443">
        <v>0</v>
      </c>
      <c r="C38" s="443">
        <v>0</v>
      </c>
      <c r="D38" s="443">
        <v>0</v>
      </c>
      <c r="E38" s="443">
        <v>0</v>
      </c>
      <c r="F38" s="443">
        <v>1</v>
      </c>
      <c r="G38" s="443">
        <v>0</v>
      </c>
      <c r="H38" s="443">
        <v>7</v>
      </c>
      <c r="I38" s="443">
        <v>50.432000000000002</v>
      </c>
      <c r="J38" s="443">
        <v>2.37</v>
      </c>
      <c r="K38" s="450">
        <v>-31.654</v>
      </c>
      <c r="L38" s="443">
        <v>0</v>
      </c>
    </row>
    <row r="39" spans="1:12">
      <c r="A39" s="455" t="s">
        <v>358</v>
      </c>
      <c r="B39" s="447">
        <v>1808</v>
      </c>
      <c r="C39" s="447">
        <v>1866</v>
      </c>
      <c r="D39" s="447">
        <v>1481</v>
      </c>
      <c r="E39" s="447">
        <v>1260</v>
      </c>
      <c r="F39" s="447">
        <v>780</v>
      </c>
      <c r="G39" s="447">
        <v>607</v>
      </c>
      <c r="H39" s="447">
        <v>474</v>
      </c>
      <c r="I39" s="447">
        <v>778.74900000000002</v>
      </c>
      <c r="J39" s="447">
        <v>907.75800000000004</v>
      </c>
      <c r="K39" s="447">
        <v>437.63</v>
      </c>
      <c r="L39" s="447">
        <v>583.41399999999999</v>
      </c>
    </row>
    <row r="40" spans="1:12">
      <c r="A40" s="438" t="s">
        <v>359</v>
      </c>
      <c r="B40" s="438"/>
      <c r="C40" s="438"/>
      <c r="D40" s="438"/>
      <c r="E40" s="438"/>
      <c r="F40" s="438"/>
      <c r="G40" s="438"/>
      <c r="H40" s="438"/>
      <c r="I40" s="438"/>
      <c r="J40" s="438"/>
      <c r="K40" s="438"/>
      <c r="L40" s="438"/>
    </row>
    <row r="41" spans="1:12">
      <c r="A41" s="455" t="s">
        <v>360</v>
      </c>
      <c r="B41" s="456">
        <v>31.486253999999999</v>
      </c>
      <c r="C41" s="456">
        <v>32.350515000000001</v>
      </c>
      <c r="D41" s="456">
        <v>26.603805999999999</v>
      </c>
      <c r="E41" s="456">
        <v>22.615385</v>
      </c>
      <c r="F41" s="456">
        <v>13.582473999999999</v>
      </c>
      <c r="G41" s="456">
        <v>11.172945</v>
      </c>
      <c r="H41" s="456">
        <v>9.2214659999999995</v>
      </c>
      <c r="I41" s="456">
        <v>15.013934000000001</v>
      </c>
      <c r="J41" s="456">
        <v>16.596903000000001</v>
      </c>
      <c r="K41" s="456">
        <v>8.0524039999999992</v>
      </c>
      <c r="L41" s="456">
        <v>10.833983</v>
      </c>
    </row>
    <row r="42" spans="1:12">
      <c r="A42" s="457" t="s">
        <v>361</v>
      </c>
      <c r="B42" s="458">
        <v>31.107399999999998</v>
      </c>
      <c r="C42" s="458">
        <v>32.061900000000001</v>
      </c>
      <c r="D42" s="458">
        <v>25.622800000000002</v>
      </c>
      <c r="E42" s="458">
        <v>22.027999999999999</v>
      </c>
      <c r="F42" s="458">
        <v>13.402100000000001</v>
      </c>
      <c r="G42" s="458">
        <v>10.393800000000001</v>
      </c>
      <c r="H42" s="458">
        <v>8.2721999999999998</v>
      </c>
      <c r="I42" s="458">
        <v>13.8407</v>
      </c>
      <c r="J42" s="458">
        <v>16.327500000000001</v>
      </c>
      <c r="K42" s="458">
        <v>7.88</v>
      </c>
      <c r="L42" s="458">
        <v>10.39</v>
      </c>
    </row>
    <row r="43" spans="1:12">
      <c r="A43" s="449" t="s">
        <v>362</v>
      </c>
      <c r="B43" s="456">
        <v>58.2</v>
      </c>
      <c r="C43" s="456">
        <v>58.2</v>
      </c>
      <c r="D43" s="456">
        <v>57.8</v>
      </c>
      <c r="E43" s="456">
        <v>57.2</v>
      </c>
      <c r="F43" s="456">
        <v>58.2</v>
      </c>
      <c r="G43" s="456">
        <v>58.4</v>
      </c>
      <c r="H43" s="456">
        <v>57.3</v>
      </c>
      <c r="I43" s="456">
        <v>56.265000000000001</v>
      </c>
      <c r="J43" s="456">
        <v>55.597000000000001</v>
      </c>
      <c r="K43" s="456">
        <v>55.53</v>
      </c>
      <c r="L43" s="456">
        <v>56.156999999999996</v>
      </c>
    </row>
    <row r="44" spans="1:12">
      <c r="A44" s="442" t="s">
        <v>363</v>
      </c>
      <c r="B44" s="459">
        <v>56.398228000000003</v>
      </c>
      <c r="C44" s="459">
        <v>56.375641999999999</v>
      </c>
      <c r="D44" s="459">
        <v>56.216194000000002</v>
      </c>
      <c r="E44" s="459">
        <v>55.306874000000001</v>
      </c>
      <c r="F44" s="459">
        <v>54.361046000000002</v>
      </c>
      <c r="G44" s="459">
        <v>55.204873999999997</v>
      </c>
      <c r="H44" s="459">
        <v>54.413801999999997</v>
      </c>
      <c r="I44" s="459">
        <v>53.461984999999999</v>
      </c>
      <c r="J44" s="459">
        <v>52.734360000000002</v>
      </c>
      <c r="K44" s="459">
        <v>51.934452</v>
      </c>
      <c r="L44" s="459">
        <v>53.334732000000002</v>
      </c>
    </row>
    <row r="45" spans="1:12">
      <c r="A45" s="440" t="s">
        <v>364</v>
      </c>
      <c r="B45" s="460">
        <v>31.107399999999998</v>
      </c>
      <c r="C45" s="460">
        <v>32.061900000000001</v>
      </c>
      <c r="D45" s="460">
        <v>25.622800000000002</v>
      </c>
      <c r="E45" s="460">
        <v>22.027999999999999</v>
      </c>
      <c r="F45" s="460">
        <v>13.402100000000001</v>
      </c>
      <c r="G45" s="460">
        <v>10.393800000000001</v>
      </c>
      <c r="H45" s="460">
        <v>8.2721999999999998</v>
      </c>
      <c r="I45" s="460">
        <v>13.8407</v>
      </c>
      <c r="J45" s="460">
        <v>16.327500000000001</v>
      </c>
      <c r="K45" s="460">
        <v>7.88</v>
      </c>
      <c r="L45" s="460">
        <v>10.39</v>
      </c>
    </row>
    <row r="46" spans="1:12">
      <c r="A46" s="442" t="s">
        <v>365</v>
      </c>
      <c r="B46" s="459">
        <v>58.2</v>
      </c>
      <c r="C46" s="459">
        <v>58.2</v>
      </c>
      <c r="D46" s="459">
        <v>57.8</v>
      </c>
      <c r="E46" s="459">
        <v>57.2</v>
      </c>
      <c r="F46" s="459">
        <v>58.2</v>
      </c>
      <c r="G46" s="459">
        <v>58.4</v>
      </c>
      <c r="H46" s="459">
        <v>57.3</v>
      </c>
      <c r="I46" s="459">
        <v>56.265000000000001</v>
      </c>
      <c r="J46" s="459">
        <v>55.597000000000001</v>
      </c>
      <c r="K46" s="459">
        <v>55.53</v>
      </c>
      <c r="L46" s="459">
        <v>56.156999999999996</v>
      </c>
    </row>
    <row r="47" spans="1:12">
      <c r="A47" s="449" t="s">
        <v>363</v>
      </c>
      <c r="B47" s="456">
        <v>56.398228000000003</v>
      </c>
      <c r="C47" s="456">
        <v>56.375641999999999</v>
      </c>
      <c r="D47" s="456">
        <v>56.216194000000002</v>
      </c>
      <c r="E47" s="456">
        <v>55.306874000000001</v>
      </c>
      <c r="F47" s="456">
        <v>54.361046000000002</v>
      </c>
      <c r="G47" s="456">
        <v>55.204873999999997</v>
      </c>
      <c r="H47" s="456">
        <v>54.413801999999997</v>
      </c>
      <c r="I47" s="456">
        <v>53.461984999999999</v>
      </c>
      <c r="J47" s="456">
        <v>52.734360000000002</v>
      </c>
      <c r="K47" s="456">
        <v>51.934452</v>
      </c>
      <c r="L47" s="456">
        <v>53.334732000000002</v>
      </c>
    </row>
    <row r="48" spans="1:12">
      <c r="A48" s="454" t="s">
        <v>366</v>
      </c>
      <c r="B48" s="448"/>
      <c r="C48" s="459">
        <v>78.391999999999996</v>
      </c>
      <c r="D48" s="459">
        <v>81.073999999999998</v>
      </c>
      <c r="E48" s="459">
        <v>86.409000000000006</v>
      </c>
      <c r="F48" s="459">
        <v>90.123000000000005</v>
      </c>
      <c r="G48" s="459">
        <v>87.555999999999997</v>
      </c>
      <c r="H48" s="459">
        <v>83.572000000000003</v>
      </c>
      <c r="I48" s="459">
        <v>71.244</v>
      </c>
      <c r="J48" s="459">
        <v>85.724999999999994</v>
      </c>
      <c r="K48" s="459">
        <v>93.947999999999993</v>
      </c>
      <c r="L48" s="459">
        <v>78.796000000000006</v>
      </c>
    </row>
    <row r="49" spans="1:12">
      <c r="A49" s="451" t="s">
        <v>217</v>
      </c>
      <c r="B49" s="451"/>
      <c r="C49" s="451"/>
      <c r="D49" s="451"/>
      <c r="E49" s="451"/>
      <c r="F49" s="451"/>
      <c r="G49" s="451"/>
      <c r="H49" s="451"/>
      <c r="I49" s="451"/>
      <c r="J49" s="451"/>
      <c r="K49" s="451"/>
      <c r="L49" s="451"/>
    </row>
    <row r="50" spans="1:12">
      <c r="A50" s="457" t="s">
        <v>217</v>
      </c>
      <c r="B50" s="461">
        <v>4661</v>
      </c>
      <c r="C50" s="461">
        <v>4564</v>
      </c>
      <c r="D50" s="461">
        <v>3938</v>
      </c>
      <c r="E50" s="461">
        <v>3253</v>
      </c>
      <c r="F50" s="461">
        <v>2450</v>
      </c>
      <c r="G50" s="461">
        <v>2020</v>
      </c>
      <c r="H50" s="461">
        <v>2137.6999999999998</v>
      </c>
      <c r="I50" s="461">
        <v>2238.3069999999998</v>
      </c>
      <c r="J50" s="461">
        <v>1804.8119999999999</v>
      </c>
      <c r="K50" s="461">
        <v>1630.489</v>
      </c>
      <c r="L50" s="461">
        <v>1423.73</v>
      </c>
    </row>
    <row r="51" spans="1:12">
      <c r="A51" s="449" t="s">
        <v>55</v>
      </c>
      <c r="B51" s="462">
        <v>4285</v>
      </c>
      <c r="C51" s="462">
        <v>4200</v>
      </c>
      <c r="D51" s="462">
        <v>3628</v>
      </c>
      <c r="E51" s="462">
        <v>2985</v>
      </c>
      <c r="F51" s="462">
        <v>2198</v>
      </c>
      <c r="G51" s="462">
        <v>1768</v>
      </c>
      <c r="H51" s="462">
        <v>1854.7</v>
      </c>
      <c r="I51" s="462">
        <v>2013.6659999999999</v>
      </c>
      <c r="J51" s="462">
        <v>1675.961</v>
      </c>
      <c r="K51" s="462">
        <v>1490.326</v>
      </c>
      <c r="L51" s="462">
        <v>1302.06</v>
      </c>
    </row>
    <row r="52" spans="1:12">
      <c r="A52" s="442" t="s">
        <v>330</v>
      </c>
      <c r="B52" s="463">
        <v>376</v>
      </c>
      <c r="C52" s="463">
        <v>364</v>
      </c>
      <c r="D52" s="463">
        <v>310</v>
      </c>
      <c r="E52" s="463">
        <v>268</v>
      </c>
      <c r="F52" s="463">
        <v>252</v>
      </c>
      <c r="G52" s="463">
        <v>252</v>
      </c>
      <c r="H52" s="463">
        <v>283</v>
      </c>
      <c r="I52" s="463">
        <v>224.64099999999999</v>
      </c>
      <c r="J52" s="463">
        <v>128.851</v>
      </c>
      <c r="K52" s="463">
        <v>140.16300000000001</v>
      </c>
      <c r="L52" s="463">
        <v>121.67</v>
      </c>
    </row>
    <row r="53" spans="1:12">
      <c r="A53" s="464" t="s">
        <v>367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7E13-958A-4690-AB5E-50C73F643641}">
  <dimension ref="A1:L53"/>
  <sheetViews>
    <sheetView workbookViewId="0">
      <selection activeCell="H17" sqref="H17"/>
    </sheetView>
  </sheetViews>
  <sheetFormatPr defaultRowHeight="15"/>
  <cols>
    <col min="1" max="1" width="23.28515625" customWidth="1"/>
  </cols>
  <sheetData>
    <row r="1" spans="1:12">
      <c r="A1" s="437" t="s">
        <v>313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</row>
    <row r="2" spans="1:12">
      <c r="A2" s="437" t="s">
        <v>314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</row>
    <row r="3" spans="1:12">
      <c r="A3" s="437" t="s">
        <v>315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</row>
    <row r="4" spans="1:12">
      <c r="A4" s="437"/>
      <c r="B4" s="437" t="s">
        <v>316</v>
      </c>
      <c r="C4" s="437" t="s">
        <v>317</v>
      </c>
      <c r="D4" s="437" t="s">
        <v>318</v>
      </c>
      <c r="E4" s="437" t="s">
        <v>319</v>
      </c>
      <c r="F4" s="437" t="s">
        <v>320</v>
      </c>
      <c r="G4" s="437" t="s">
        <v>321</v>
      </c>
      <c r="H4" s="437" t="s">
        <v>322</v>
      </c>
      <c r="I4" s="437" t="s">
        <v>323</v>
      </c>
      <c r="J4" s="437" t="s">
        <v>324</v>
      </c>
      <c r="K4" s="437" t="s">
        <v>325</v>
      </c>
      <c r="L4" s="437" t="s">
        <v>326</v>
      </c>
    </row>
    <row r="5" spans="1:12">
      <c r="A5" s="437"/>
      <c r="B5" s="437" t="s">
        <v>261</v>
      </c>
      <c r="C5" s="437"/>
      <c r="D5" s="437"/>
      <c r="E5" s="437"/>
      <c r="F5" s="437"/>
      <c r="G5" s="437"/>
      <c r="H5" s="437"/>
      <c r="I5" s="437"/>
      <c r="J5" s="437"/>
      <c r="K5" s="437"/>
      <c r="L5" s="437"/>
    </row>
    <row r="6" spans="1:12">
      <c r="A6" s="438" t="s">
        <v>368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</row>
    <row r="7" spans="1:12">
      <c r="A7" s="455" t="s">
        <v>369</v>
      </c>
      <c r="B7" s="447">
        <v>2026</v>
      </c>
      <c r="C7" s="447">
        <v>2074</v>
      </c>
      <c r="D7" s="447">
        <v>1715</v>
      </c>
      <c r="E7" s="447">
        <v>1299</v>
      </c>
      <c r="F7" s="447">
        <v>866</v>
      </c>
      <c r="G7" s="447">
        <v>681</v>
      </c>
      <c r="H7" s="447">
        <v>700</v>
      </c>
      <c r="I7" s="447">
        <v>891.31100000000004</v>
      </c>
      <c r="J7" s="447">
        <v>957.06200000000001</v>
      </c>
      <c r="K7" s="447">
        <v>596.88699999999994</v>
      </c>
      <c r="L7" s="447">
        <v>586.41399999999999</v>
      </c>
    </row>
    <row r="8" spans="1:12">
      <c r="A8" s="457" t="s">
        <v>370</v>
      </c>
      <c r="B8" s="439">
        <v>377</v>
      </c>
      <c r="C8" s="439">
        <v>367</v>
      </c>
      <c r="D8" s="439">
        <v>312</v>
      </c>
      <c r="E8" s="439">
        <v>268</v>
      </c>
      <c r="F8" s="439">
        <v>253</v>
      </c>
      <c r="G8" s="439">
        <v>253</v>
      </c>
      <c r="H8" s="439">
        <v>283</v>
      </c>
      <c r="I8" s="439">
        <v>225.7</v>
      </c>
      <c r="J8" s="439">
        <v>129.84399999999999</v>
      </c>
      <c r="K8" s="439">
        <v>141.02500000000001</v>
      </c>
      <c r="L8" s="439">
        <v>121.67</v>
      </c>
    </row>
    <row r="9" spans="1:12">
      <c r="A9" s="449" t="s">
        <v>371</v>
      </c>
      <c r="B9" s="447">
        <v>167</v>
      </c>
      <c r="C9" s="447">
        <v>163</v>
      </c>
      <c r="D9" s="447">
        <v>149</v>
      </c>
      <c r="E9" s="447">
        <v>129</v>
      </c>
      <c r="F9" s="447">
        <v>116</v>
      </c>
      <c r="G9" s="447">
        <v>115</v>
      </c>
      <c r="H9" s="447">
        <v>114</v>
      </c>
      <c r="I9" s="447">
        <v>89.688999999999993</v>
      </c>
      <c r="J9" s="447">
        <v>56.396999999999998</v>
      </c>
      <c r="K9" s="447">
        <v>50.936999999999998</v>
      </c>
      <c r="L9" s="447">
        <v>43.454999999999998</v>
      </c>
    </row>
    <row r="10" spans="1:12">
      <c r="A10" s="442" t="s">
        <v>372</v>
      </c>
      <c r="B10" s="443">
        <v>210</v>
      </c>
      <c r="C10" s="443">
        <v>204</v>
      </c>
      <c r="D10" s="443">
        <v>163</v>
      </c>
      <c r="E10" s="443">
        <v>139</v>
      </c>
      <c r="F10" s="443">
        <v>137</v>
      </c>
      <c r="G10" s="443">
        <v>138</v>
      </c>
      <c r="H10" s="443">
        <v>169</v>
      </c>
      <c r="I10" s="443">
        <v>136.011</v>
      </c>
      <c r="J10" s="443">
        <v>73.447000000000003</v>
      </c>
      <c r="K10" s="443">
        <v>90.087999999999994</v>
      </c>
      <c r="L10" s="443">
        <v>78.215000000000003</v>
      </c>
    </row>
    <row r="11" spans="1:12">
      <c r="A11" s="440" t="s">
        <v>373</v>
      </c>
      <c r="B11" s="441">
        <v>-9</v>
      </c>
      <c r="C11" s="441">
        <v>-10</v>
      </c>
      <c r="D11" s="441">
        <v>10</v>
      </c>
      <c r="E11" s="441">
        <v>3</v>
      </c>
      <c r="F11" s="441">
        <v>-22</v>
      </c>
      <c r="G11" s="441">
        <v>34</v>
      </c>
      <c r="H11" s="441">
        <v>24</v>
      </c>
      <c r="I11" s="441">
        <v>-0.34899999999999998</v>
      </c>
      <c r="J11" s="441">
        <v>-151.63999999999999</v>
      </c>
      <c r="K11" s="441">
        <v>-0.91800000000000004</v>
      </c>
      <c r="L11" s="441">
        <v>5.8079999999999998</v>
      </c>
    </row>
    <row r="12" spans="1:12">
      <c r="A12" s="442" t="s">
        <v>374</v>
      </c>
      <c r="B12" s="450">
        <v>-9</v>
      </c>
      <c r="C12" s="450">
        <v>-10</v>
      </c>
      <c r="D12" s="443">
        <v>10</v>
      </c>
      <c r="E12" s="443">
        <v>3</v>
      </c>
      <c r="F12" s="450">
        <v>-22</v>
      </c>
      <c r="G12" s="443">
        <v>34</v>
      </c>
      <c r="H12" s="443">
        <v>24</v>
      </c>
      <c r="I12" s="450">
        <v>-0.34899999999999998</v>
      </c>
      <c r="J12" s="450">
        <v>-151.63999999999999</v>
      </c>
      <c r="K12" s="450">
        <v>-0.91800000000000004</v>
      </c>
      <c r="L12" s="443">
        <v>5.8079999999999998</v>
      </c>
    </row>
    <row r="13" spans="1:12">
      <c r="A13" s="455" t="s">
        <v>375</v>
      </c>
      <c r="B13" s="447">
        <v>220</v>
      </c>
      <c r="C13" s="447">
        <v>165</v>
      </c>
      <c r="D13" s="447">
        <v>310</v>
      </c>
      <c r="E13" s="447">
        <v>236</v>
      </c>
      <c r="F13" s="447">
        <v>111</v>
      </c>
      <c r="G13" s="447">
        <v>69</v>
      </c>
      <c r="H13" s="447">
        <v>71</v>
      </c>
      <c r="I13" s="447">
        <v>112.557</v>
      </c>
      <c r="J13" s="447">
        <v>91.478999999999999</v>
      </c>
      <c r="K13" s="447">
        <v>138.09100000000001</v>
      </c>
      <c r="L13" s="447">
        <v>65.942999999999998</v>
      </c>
    </row>
    <row r="14" spans="1:12">
      <c r="A14" s="454" t="s">
        <v>376</v>
      </c>
      <c r="B14" s="443">
        <v>2614</v>
      </c>
      <c r="C14" s="443">
        <v>2596</v>
      </c>
      <c r="D14" s="443">
        <v>2347</v>
      </c>
      <c r="E14" s="443">
        <v>1806</v>
      </c>
      <c r="F14" s="443">
        <v>1208</v>
      </c>
      <c r="G14" s="443">
        <v>1037</v>
      </c>
      <c r="H14" s="443">
        <v>1078</v>
      </c>
      <c r="I14" s="443">
        <v>1229.2190000000001</v>
      </c>
      <c r="J14" s="443">
        <v>1026.7449999999999</v>
      </c>
      <c r="K14" s="443">
        <v>875.08500000000004</v>
      </c>
      <c r="L14" s="443">
        <v>779.83500000000004</v>
      </c>
    </row>
    <row r="15" spans="1:12">
      <c r="A15" s="440" t="s">
        <v>377</v>
      </c>
      <c r="B15" s="441">
        <v>-496</v>
      </c>
      <c r="C15" s="441">
        <v>-558</v>
      </c>
      <c r="D15" s="441">
        <v>-302</v>
      </c>
      <c r="E15" s="441">
        <v>-431</v>
      </c>
      <c r="F15" s="441">
        <v>-260</v>
      </c>
      <c r="G15" s="441">
        <v>-124</v>
      </c>
      <c r="H15" s="441">
        <v>135</v>
      </c>
      <c r="I15" s="441">
        <v>-213.74700000000001</v>
      </c>
      <c r="J15" s="441">
        <v>-4.5720000000000001</v>
      </c>
      <c r="K15" s="441">
        <v>-86.352000000000004</v>
      </c>
      <c r="L15" s="441">
        <v>-110.905</v>
      </c>
    </row>
    <row r="16" spans="1:12">
      <c r="A16" s="442" t="s">
        <v>378</v>
      </c>
      <c r="B16" s="450">
        <v>-198</v>
      </c>
      <c r="C16" s="450">
        <v>-212</v>
      </c>
      <c r="D16" s="450">
        <v>-84</v>
      </c>
      <c r="E16" s="450">
        <v>-212</v>
      </c>
      <c r="F16" s="450">
        <v>-190</v>
      </c>
      <c r="G16" s="450">
        <v>-78</v>
      </c>
      <c r="H16" s="443">
        <v>352</v>
      </c>
      <c r="I16" s="450">
        <v>-82.268000000000001</v>
      </c>
      <c r="J16" s="450">
        <v>-43.811</v>
      </c>
      <c r="K16" s="450">
        <v>-54.668999999999997</v>
      </c>
      <c r="L16" s="450">
        <v>-80.114000000000004</v>
      </c>
    </row>
    <row r="17" spans="1:12">
      <c r="A17" s="449" t="s">
        <v>379</v>
      </c>
      <c r="B17" s="453">
        <v>-173</v>
      </c>
      <c r="C17" s="453">
        <v>-156</v>
      </c>
      <c r="D17" s="453">
        <v>-104</v>
      </c>
      <c r="E17" s="453">
        <v>-261</v>
      </c>
      <c r="F17" s="453">
        <v>-134</v>
      </c>
      <c r="G17" s="447">
        <v>79</v>
      </c>
      <c r="H17" s="453">
        <v>-62</v>
      </c>
      <c r="I17" s="453">
        <v>-35.712000000000003</v>
      </c>
      <c r="J17" s="453">
        <v>-10.808</v>
      </c>
      <c r="K17" s="447">
        <v>5.1269999999999998</v>
      </c>
      <c r="L17" s="453">
        <v>-2.073</v>
      </c>
    </row>
    <row r="18" spans="1:12">
      <c r="A18" s="442" t="s">
        <v>236</v>
      </c>
      <c r="B18" s="443">
        <v>16</v>
      </c>
      <c r="C18" s="443">
        <v>38</v>
      </c>
      <c r="D18" s="450">
        <v>-11</v>
      </c>
      <c r="E18" s="443">
        <v>12</v>
      </c>
      <c r="F18" s="443">
        <v>58</v>
      </c>
      <c r="G18" s="443">
        <v>3</v>
      </c>
      <c r="H18" s="450">
        <v>-62</v>
      </c>
      <c r="I18" s="450">
        <v>-1.6319999999999999</v>
      </c>
      <c r="J18" s="443">
        <v>18.074999999999999</v>
      </c>
      <c r="K18" s="450">
        <v>-10.353999999999999</v>
      </c>
      <c r="L18" s="450">
        <v>-6.657</v>
      </c>
    </row>
    <row r="19" spans="1:12">
      <c r="A19" s="449" t="s">
        <v>380</v>
      </c>
      <c r="B19" s="452"/>
      <c r="C19" s="452"/>
      <c r="D19" s="452"/>
      <c r="E19" s="452"/>
      <c r="F19" s="452"/>
      <c r="G19" s="452"/>
      <c r="H19" s="452"/>
      <c r="I19" s="452"/>
      <c r="J19" s="447">
        <v>36.161000000000001</v>
      </c>
      <c r="K19" s="447">
        <v>18.219000000000001</v>
      </c>
      <c r="L19" s="453">
        <v>-12.298999999999999</v>
      </c>
    </row>
    <row r="20" spans="1:12">
      <c r="A20" s="442" t="s">
        <v>381</v>
      </c>
      <c r="B20" s="443">
        <v>43</v>
      </c>
      <c r="C20" s="450">
        <v>-79</v>
      </c>
      <c r="D20" s="443">
        <v>19</v>
      </c>
      <c r="E20" s="450">
        <v>-94</v>
      </c>
      <c r="F20" s="443">
        <v>4</v>
      </c>
      <c r="G20" s="450">
        <v>-32</v>
      </c>
      <c r="H20" s="443">
        <v>67</v>
      </c>
      <c r="I20" s="450">
        <v>-64.700999999999993</v>
      </c>
      <c r="J20" s="443">
        <v>0.624</v>
      </c>
      <c r="K20" s="450">
        <v>-34.110999999999997</v>
      </c>
      <c r="L20" s="450">
        <v>-4.843</v>
      </c>
    </row>
    <row r="21" spans="1:12">
      <c r="A21" s="449" t="s">
        <v>382</v>
      </c>
      <c r="B21" s="453">
        <v>-163</v>
      </c>
      <c r="C21" s="453">
        <v>-149</v>
      </c>
      <c r="D21" s="453">
        <v>-122</v>
      </c>
      <c r="E21" s="447">
        <v>124</v>
      </c>
      <c r="F21" s="447">
        <v>2</v>
      </c>
      <c r="G21" s="453">
        <v>-96</v>
      </c>
      <c r="H21" s="453">
        <v>-160</v>
      </c>
      <c r="I21" s="453">
        <v>-29.434000000000001</v>
      </c>
      <c r="J21" s="453">
        <v>-4.8129999999999997</v>
      </c>
      <c r="K21" s="453">
        <v>-10.564</v>
      </c>
      <c r="L21" s="453">
        <v>-4.9189999999999996</v>
      </c>
    </row>
    <row r="22" spans="1:12">
      <c r="A22" s="454" t="s">
        <v>383</v>
      </c>
      <c r="B22" s="443">
        <v>2118</v>
      </c>
      <c r="C22" s="443">
        <v>2038</v>
      </c>
      <c r="D22" s="443">
        <v>2045</v>
      </c>
      <c r="E22" s="443">
        <v>1375</v>
      </c>
      <c r="F22" s="443">
        <v>948</v>
      </c>
      <c r="G22" s="443">
        <v>913</v>
      </c>
      <c r="H22" s="443">
        <v>1213</v>
      </c>
      <c r="I22" s="443">
        <v>1015.472</v>
      </c>
      <c r="J22" s="443">
        <v>1022.173</v>
      </c>
      <c r="K22" s="443">
        <v>788.73299999999995</v>
      </c>
      <c r="L22" s="443">
        <v>668.93</v>
      </c>
    </row>
    <row r="23" spans="1:12">
      <c r="A23" s="451" t="s">
        <v>384</v>
      </c>
      <c r="B23" s="451"/>
      <c r="C23" s="451"/>
      <c r="D23" s="451"/>
      <c r="E23" s="451"/>
      <c r="F23" s="451"/>
      <c r="G23" s="451"/>
      <c r="H23" s="451"/>
      <c r="I23" s="451"/>
      <c r="J23" s="451"/>
      <c r="K23" s="451"/>
      <c r="L23" s="451"/>
    </row>
    <row r="24" spans="1:12">
      <c r="A24" s="457" t="s">
        <v>242</v>
      </c>
      <c r="B24" s="439">
        <v>-240</v>
      </c>
      <c r="C24" s="439">
        <v>-222</v>
      </c>
      <c r="D24" s="439">
        <v>-165</v>
      </c>
      <c r="E24" s="439">
        <v>-139</v>
      </c>
      <c r="F24" s="439">
        <v>-119</v>
      </c>
      <c r="G24" s="439">
        <v>-105</v>
      </c>
      <c r="H24" s="439">
        <v>-105</v>
      </c>
      <c r="I24" s="439">
        <v>-101.59099999999999</v>
      </c>
      <c r="J24" s="439">
        <v>-73.340999999999994</v>
      </c>
      <c r="K24" s="439">
        <v>-71.013000000000005</v>
      </c>
      <c r="L24" s="439">
        <v>-43.981999999999999</v>
      </c>
    </row>
    <row r="25" spans="1:12">
      <c r="A25" s="449" t="s">
        <v>385</v>
      </c>
      <c r="B25" s="453">
        <v>-240</v>
      </c>
      <c r="C25" s="453">
        <v>-222</v>
      </c>
      <c r="D25" s="453">
        <v>-165</v>
      </c>
      <c r="E25" s="453">
        <v>-139</v>
      </c>
      <c r="F25" s="453">
        <v>-119</v>
      </c>
      <c r="G25" s="453">
        <v>-105</v>
      </c>
      <c r="H25" s="453">
        <v>-105</v>
      </c>
      <c r="I25" s="453">
        <v>-101.59099999999999</v>
      </c>
      <c r="J25" s="453">
        <v>-73.340999999999994</v>
      </c>
      <c r="K25" s="453">
        <v>-71.013000000000005</v>
      </c>
      <c r="L25" s="453">
        <v>-43.981999999999999</v>
      </c>
    </row>
    <row r="26" spans="1:12">
      <c r="A26" s="454" t="s">
        <v>386</v>
      </c>
      <c r="B26" s="450">
        <v>-1297</v>
      </c>
      <c r="C26" s="450">
        <v>-419</v>
      </c>
      <c r="D26" s="450">
        <v>-2347</v>
      </c>
      <c r="E26" s="450">
        <v>-762</v>
      </c>
      <c r="F26" s="450">
        <v>-437</v>
      </c>
      <c r="G26" s="450">
        <v>-963</v>
      </c>
      <c r="H26" s="443">
        <v>0</v>
      </c>
      <c r="I26" s="450">
        <v>-3976.1550000000002</v>
      </c>
      <c r="J26" s="450">
        <v>-667.61900000000003</v>
      </c>
      <c r="K26" s="450">
        <v>-215.99</v>
      </c>
      <c r="L26" s="450">
        <v>-1399.0640000000001</v>
      </c>
    </row>
    <row r="27" spans="1:12">
      <c r="A27" s="455" t="s">
        <v>387</v>
      </c>
      <c r="B27" s="447">
        <v>0</v>
      </c>
      <c r="C27" s="447">
        <v>0</v>
      </c>
      <c r="D27" s="447">
        <v>0</v>
      </c>
      <c r="E27" s="447">
        <v>1</v>
      </c>
      <c r="F27" s="447">
        <v>3</v>
      </c>
      <c r="G27" s="447">
        <v>259</v>
      </c>
      <c r="H27" s="447">
        <v>904</v>
      </c>
      <c r="I27" s="447">
        <v>188.76599999999999</v>
      </c>
      <c r="J27" s="452"/>
      <c r="K27" s="452"/>
      <c r="L27" s="452"/>
    </row>
    <row r="28" spans="1:12">
      <c r="A28" s="457" t="s">
        <v>375</v>
      </c>
      <c r="B28" s="439">
        <v>-7</v>
      </c>
      <c r="C28" s="439">
        <v>46</v>
      </c>
      <c r="D28" s="439">
        <v>71</v>
      </c>
      <c r="E28" s="439">
        <v>0</v>
      </c>
      <c r="F28" s="439">
        <v>0</v>
      </c>
      <c r="G28" s="439">
        <v>24</v>
      </c>
      <c r="H28" s="439">
        <v>0</v>
      </c>
      <c r="I28" s="439">
        <v>0</v>
      </c>
      <c r="J28" s="439">
        <v>57.383000000000003</v>
      </c>
      <c r="K28" s="439">
        <v>0</v>
      </c>
      <c r="L28" s="439">
        <v>0</v>
      </c>
    </row>
    <row r="29" spans="1:12">
      <c r="A29" s="449" t="s">
        <v>30</v>
      </c>
      <c r="B29" s="453">
        <v>-6</v>
      </c>
      <c r="C29" s="447">
        <v>0</v>
      </c>
      <c r="D29" s="447">
        <v>0</v>
      </c>
      <c r="E29" s="447">
        <v>0</v>
      </c>
      <c r="F29" s="447">
        <v>0</v>
      </c>
      <c r="G29" s="447">
        <v>0</v>
      </c>
      <c r="H29" s="447">
        <v>0</v>
      </c>
      <c r="I29" s="447">
        <v>0</v>
      </c>
      <c r="J29" s="447">
        <v>0</v>
      </c>
      <c r="K29" s="447">
        <v>0</v>
      </c>
      <c r="L29" s="447">
        <v>0</v>
      </c>
    </row>
    <row r="30" spans="1:12">
      <c r="A30" s="442" t="s">
        <v>388</v>
      </c>
      <c r="B30" s="450">
        <v>-1</v>
      </c>
      <c r="C30" s="443">
        <v>46</v>
      </c>
      <c r="D30" s="443">
        <v>71</v>
      </c>
      <c r="E30" s="443">
        <v>0</v>
      </c>
      <c r="F30" s="443">
        <v>0</v>
      </c>
      <c r="G30" s="443">
        <v>24</v>
      </c>
      <c r="H30" s="443">
        <v>0</v>
      </c>
      <c r="I30" s="443">
        <v>0</v>
      </c>
      <c r="J30" s="443">
        <v>57.383000000000003</v>
      </c>
      <c r="K30" s="443">
        <v>0</v>
      </c>
      <c r="L30" s="443">
        <v>0</v>
      </c>
    </row>
    <row r="31" spans="1:12">
      <c r="A31" s="455" t="s">
        <v>245</v>
      </c>
      <c r="B31" s="453">
        <v>-1544</v>
      </c>
      <c r="C31" s="453">
        <v>-595</v>
      </c>
      <c r="D31" s="453">
        <v>-2441</v>
      </c>
      <c r="E31" s="453">
        <v>-900</v>
      </c>
      <c r="F31" s="453">
        <v>-553</v>
      </c>
      <c r="G31" s="453">
        <v>-785</v>
      </c>
      <c r="H31" s="447">
        <v>799</v>
      </c>
      <c r="I31" s="453">
        <v>-3888.98</v>
      </c>
      <c r="J31" s="453">
        <v>-683.577</v>
      </c>
      <c r="K31" s="453">
        <v>-287.00299999999999</v>
      </c>
      <c r="L31" s="453">
        <v>-1443.046</v>
      </c>
    </row>
    <row r="32" spans="1:12">
      <c r="A32" s="438" t="s">
        <v>389</v>
      </c>
      <c r="B32" s="438"/>
      <c r="C32" s="438"/>
      <c r="D32" s="438"/>
      <c r="E32" s="438"/>
      <c r="F32" s="438"/>
      <c r="G32" s="438"/>
      <c r="H32" s="438"/>
      <c r="I32" s="438"/>
      <c r="J32" s="438"/>
      <c r="K32" s="438"/>
      <c r="L32" s="438"/>
    </row>
    <row r="33" spans="1:12">
      <c r="A33" s="440" t="s">
        <v>390</v>
      </c>
      <c r="B33" s="465">
        <v>-5292</v>
      </c>
      <c r="C33" s="465">
        <v>-9629</v>
      </c>
      <c r="D33" s="465">
        <v>-2038</v>
      </c>
      <c r="E33" s="465">
        <v>-38</v>
      </c>
      <c r="F33" s="465">
        <v>-1091</v>
      </c>
      <c r="G33" s="465">
        <v>-73</v>
      </c>
      <c r="H33" s="465">
        <v>-1928</v>
      </c>
      <c r="I33" s="465">
        <v>-1712.2190000000001</v>
      </c>
      <c r="J33" s="465">
        <v>-56.148000000000003</v>
      </c>
      <c r="K33" s="465">
        <v>-2581.5520000000001</v>
      </c>
      <c r="L33" s="465">
        <v>-3</v>
      </c>
    </row>
    <row r="34" spans="1:12">
      <c r="A34" s="442" t="s">
        <v>391</v>
      </c>
      <c r="B34" s="466">
        <v>-5292</v>
      </c>
      <c r="C34" s="466">
        <v>-9629</v>
      </c>
      <c r="D34" s="466">
        <v>-2038</v>
      </c>
      <c r="E34" s="466">
        <v>-38</v>
      </c>
      <c r="F34" s="466">
        <v>-1091</v>
      </c>
      <c r="G34" s="466">
        <v>-73</v>
      </c>
      <c r="H34" s="466">
        <v>-1928</v>
      </c>
      <c r="I34" s="466">
        <v>-1712.2190000000001</v>
      </c>
      <c r="J34" s="466">
        <v>-56.148000000000003</v>
      </c>
      <c r="K34" s="466">
        <v>-2581.5520000000001</v>
      </c>
      <c r="L34" s="466">
        <v>-3</v>
      </c>
    </row>
    <row r="35" spans="1:12">
      <c r="A35" s="440" t="s">
        <v>392</v>
      </c>
      <c r="B35" s="465">
        <v>-130</v>
      </c>
      <c r="C35" s="465">
        <v>-334</v>
      </c>
      <c r="D35" s="465">
        <v>245</v>
      </c>
      <c r="E35" s="465">
        <v>215</v>
      </c>
      <c r="F35" s="465">
        <v>-780</v>
      </c>
      <c r="G35" s="465">
        <v>128</v>
      </c>
      <c r="H35" s="465">
        <v>97</v>
      </c>
      <c r="I35" s="465">
        <v>81.875</v>
      </c>
      <c r="J35" s="465">
        <v>57.582999999999998</v>
      </c>
      <c r="K35" s="465">
        <v>-368.64400000000001</v>
      </c>
      <c r="L35" s="465">
        <v>-177.643</v>
      </c>
    </row>
    <row r="36" spans="1:12">
      <c r="A36" s="442" t="s">
        <v>393</v>
      </c>
      <c r="B36" s="466">
        <v>-290</v>
      </c>
      <c r="C36" s="466">
        <v>-500</v>
      </c>
      <c r="D36" s="463">
        <v>0</v>
      </c>
      <c r="E36" s="463">
        <v>0</v>
      </c>
      <c r="F36" s="466">
        <v>-912</v>
      </c>
      <c r="G36" s="463">
        <v>0</v>
      </c>
      <c r="H36" s="466">
        <v>-19</v>
      </c>
      <c r="I36" s="463">
        <v>0</v>
      </c>
      <c r="J36" s="463">
        <v>0</v>
      </c>
      <c r="K36" s="466">
        <v>-389.82100000000003</v>
      </c>
      <c r="L36" s="466">
        <v>-207.755</v>
      </c>
    </row>
    <row r="37" spans="1:12">
      <c r="A37" s="444" t="s">
        <v>394</v>
      </c>
      <c r="B37" s="465">
        <v>160</v>
      </c>
      <c r="C37" s="465">
        <v>166</v>
      </c>
      <c r="D37" s="465">
        <v>245</v>
      </c>
      <c r="E37" s="465">
        <v>215</v>
      </c>
      <c r="F37" s="465">
        <v>132</v>
      </c>
      <c r="G37" s="465">
        <v>128</v>
      </c>
      <c r="H37" s="465">
        <v>116</v>
      </c>
      <c r="I37" s="465">
        <v>81.875</v>
      </c>
      <c r="J37" s="465">
        <v>57.582999999999998</v>
      </c>
      <c r="K37" s="465">
        <v>21.177</v>
      </c>
      <c r="L37" s="465">
        <v>30.111999999999998</v>
      </c>
    </row>
    <row r="38" spans="1:12">
      <c r="A38" s="445" t="s">
        <v>395</v>
      </c>
      <c r="B38" s="463">
        <v>160</v>
      </c>
      <c r="C38" s="463">
        <v>166</v>
      </c>
      <c r="D38" s="463">
        <v>245</v>
      </c>
      <c r="E38" s="463">
        <v>215</v>
      </c>
      <c r="F38" s="463">
        <v>132</v>
      </c>
      <c r="G38" s="463">
        <v>128</v>
      </c>
      <c r="H38" s="463">
        <v>116</v>
      </c>
      <c r="I38" s="463">
        <v>81.875</v>
      </c>
      <c r="J38" s="463">
        <v>57.582999999999998</v>
      </c>
      <c r="K38" s="463">
        <v>21.177</v>
      </c>
      <c r="L38" s="463">
        <v>30.111999999999998</v>
      </c>
    </row>
    <row r="39" spans="1:12">
      <c r="A39" s="440" t="s">
        <v>396</v>
      </c>
      <c r="B39" s="465">
        <v>4835</v>
      </c>
      <c r="C39" s="465">
        <v>4835</v>
      </c>
      <c r="D39" s="465">
        <v>4835</v>
      </c>
      <c r="E39" s="465">
        <v>-173</v>
      </c>
      <c r="F39" s="465">
        <v>-275</v>
      </c>
      <c r="G39" s="465">
        <v>-125</v>
      </c>
      <c r="H39" s="465">
        <v>3072</v>
      </c>
      <c r="I39" s="465">
        <v>3902.81</v>
      </c>
      <c r="J39" s="465">
        <v>1094.9970000000001</v>
      </c>
      <c r="K39" s="465">
        <v>1524.085</v>
      </c>
      <c r="L39" s="465">
        <v>1831.058</v>
      </c>
    </row>
    <row r="40" spans="1:12">
      <c r="A40" s="467" t="s">
        <v>397</v>
      </c>
      <c r="B40" s="461">
        <v>4835</v>
      </c>
      <c r="C40" s="461">
        <v>4835</v>
      </c>
      <c r="D40" s="461">
        <v>4835</v>
      </c>
      <c r="E40" s="461">
        <v>-173</v>
      </c>
      <c r="F40" s="461">
        <v>-275</v>
      </c>
      <c r="G40" s="461">
        <v>-125</v>
      </c>
      <c r="H40" s="461">
        <v>3072</v>
      </c>
      <c r="I40" s="461">
        <v>3902.81</v>
      </c>
      <c r="J40" s="461">
        <v>1094.9970000000001</v>
      </c>
      <c r="K40" s="461">
        <v>1524.085</v>
      </c>
      <c r="L40" s="461">
        <v>1831.058</v>
      </c>
    </row>
    <row r="41" spans="1:12">
      <c r="A41" s="446" t="s">
        <v>398</v>
      </c>
      <c r="B41" s="462">
        <v>11107</v>
      </c>
      <c r="C41" s="462">
        <v>11107</v>
      </c>
      <c r="D41" s="462">
        <v>14188</v>
      </c>
      <c r="E41" s="462">
        <v>9742</v>
      </c>
      <c r="F41" s="462">
        <v>0</v>
      </c>
      <c r="G41" s="462">
        <v>2132</v>
      </c>
      <c r="H41" s="462">
        <v>4314</v>
      </c>
      <c r="I41" s="462">
        <v>4529.2380000000003</v>
      </c>
      <c r="J41" s="462">
        <v>13269.302</v>
      </c>
      <c r="K41" s="462">
        <v>3337.63</v>
      </c>
      <c r="L41" s="462">
        <v>2665.4670000000001</v>
      </c>
    </row>
    <row r="42" spans="1:12">
      <c r="A42" s="445" t="s">
        <v>399</v>
      </c>
      <c r="B42" s="466">
        <v>-6272</v>
      </c>
      <c r="C42" s="466">
        <v>-6272</v>
      </c>
      <c r="D42" s="466">
        <v>-9353</v>
      </c>
      <c r="E42" s="466">
        <v>-9915</v>
      </c>
      <c r="F42" s="466">
        <v>-275</v>
      </c>
      <c r="G42" s="466">
        <v>-2257</v>
      </c>
      <c r="H42" s="466">
        <v>-1242</v>
      </c>
      <c r="I42" s="466">
        <v>-626.428</v>
      </c>
      <c r="J42" s="466">
        <v>-12174.305</v>
      </c>
      <c r="K42" s="466">
        <v>-1813.5450000000001</v>
      </c>
      <c r="L42" s="466">
        <v>-834.40899999999999</v>
      </c>
    </row>
    <row r="43" spans="1:12">
      <c r="A43" s="440" t="s">
        <v>375</v>
      </c>
      <c r="B43" s="465">
        <v>62</v>
      </c>
      <c r="C43" s="465">
        <v>228</v>
      </c>
      <c r="D43" s="465">
        <v>129</v>
      </c>
      <c r="E43" s="465">
        <v>-20</v>
      </c>
      <c r="F43" s="465">
        <v>-2</v>
      </c>
      <c r="G43" s="465">
        <v>0</v>
      </c>
      <c r="H43" s="465">
        <v>-11</v>
      </c>
      <c r="I43" s="465">
        <v>-1.113</v>
      </c>
      <c r="J43" s="465">
        <v>-10.832000000000001</v>
      </c>
      <c r="K43" s="465">
        <v>-17.571000000000002</v>
      </c>
      <c r="L43" s="465">
        <v>-3.58</v>
      </c>
    </row>
    <row r="44" spans="1:12">
      <c r="A44" s="442" t="s">
        <v>30</v>
      </c>
      <c r="B44" s="466">
        <v>-13</v>
      </c>
      <c r="C44" s="466">
        <v>-10</v>
      </c>
      <c r="D44" s="466">
        <v>-8</v>
      </c>
      <c r="E44" s="466">
        <v>-20</v>
      </c>
      <c r="F44" s="466">
        <v>-2</v>
      </c>
      <c r="G44" s="463">
        <v>0</v>
      </c>
      <c r="H44" s="466">
        <v>-11</v>
      </c>
      <c r="I44" s="466">
        <v>-1.113</v>
      </c>
      <c r="J44" s="466">
        <v>-10.832000000000001</v>
      </c>
      <c r="K44" s="466">
        <v>-17.571000000000002</v>
      </c>
      <c r="L44" s="466">
        <v>-3.58</v>
      </c>
    </row>
    <row r="45" spans="1:12">
      <c r="A45" s="449" t="s">
        <v>388</v>
      </c>
      <c r="B45" s="462">
        <v>75</v>
      </c>
      <c r="C45" s="462">
        <v>238</v>
      </c>
      <c r="D45" s="462">
        <v>137</v>
      </c>
      <c r="E45" s="462">
        <v>0</v>
      </c>
      <c r="F45" s="462">
        <v>0</v>
      </c>
      <c r="G45" s="462">
        <v>0</v>
      </c>
      <c r="H45" s="462">
        <v>0</v>
      </c>
      <c r="I45" s="462">
        <v>0</v>
      </c>
      <c r="J45" s="462">
        <v>0</v>
      </c>
      <c r="K45" s="462">
        <v>0</v>
      </c>
      <c r="L45" s="462">
        <v>0</v>
      </c>
    </row>
    <row r="46" spans="1:12">
      <c r="A46" s="454" t="s">
        <v>400</v>
      </c>
      <c r="B46" s="466">
        <v>-525</v>
      </c>
      <c r="C46" s="466">
        <v>-4900</v>
      </c>
      <c r="D46" s="463">
        <v>3171</v>
      </c>
      <c r="E46" s="466">
        <v>-16</v>
      </c>
      <c r="F46" s="466">
        <v>-2148</v>
      </c>
      <c r="G46" s="466">
        <v>-70</v>
      </c>
      <c r="H46" s="463">
        <v>1230</v>
      </c>
      <c r="I46" s="463">
        <v>2271.3530000000001</v>
      </c>
      <c r="J46" s="463">
        <v>1085.5999999999999</v>
      </c>
      <c r="K46" s="466">
        <v>-1443.682</v>
      </c>
      <c r="L46" s="463">
        <v>1646.835</v>
      </c>
    </row>
    <row r="47" spans="1:12">
      <c r="A47" s="451" t="s">
        <v>401</v>
      </c>
      <c r="B47" s="451"/>
      <c r="C47" s="451"/>
      <c r="D47" s="451"/>
      <c r="E47" s="451"/>
      <c r="F47" s="451"/>
      <c r="G47" s="451"/>
      <c r="H47" s="451"/>
      <c r="I47" s="451"/>
      <c r="J47" s="451"/>
      <c r="K47" s="451"/>
      <c r="L47" s="451"/>
    </row>
    <row r="48" spans="1:12">
      <c r="A48" s="454" t="s">
        <v>402</v>
      </c>
      <c r="B48" s="443">
        <v>20</v>
      </c>
      <c r="C48" s="443">
        <v>4</v>
      </c>
      <c r="D48" s="443">
        <v>14</v>
      </c>
      <c r="E48" s="443">
        <v>12</v>
      </c>
      <c r="F48" s="450">
        <v>-33</v>
      </c>
      <c r="G48" s="443">
        <v>12</v>
      </c>
      <c r="H48" s="443">
        <v>8</v>
      </c>
      <c r="I48" s="450">
        <v>-3.3759999999999999</v>
      </c>
      <c r="J48" s="450">
        <v>-1.74</v>
      </c>
      <c r="K48" s="443">
        <v>5.5190000000000001</v>
      </c>
      <c r="L48" s="443">
        <v>0.24199999999999999</v>
      </c>
    </row>
    <row r="49" spans="1:12">
      <c r="A49" s="455" t="s">
        <v>403</v>
      </c>
      <c r="B49" s="447">
        <v>69</v>
      </c>
      <c r="C49" s="453">
        <v>-3453</v>
      </c>
      <c r="D49" s="447">
        <v>2789</v>
      </c>
      <c r="E49" s="447">
        <v>471</v>
      </c>
      <c r="F49" s="453">
        <v>-1786</v>
      </c>
      <c r="G49" s="447">
        <v>70</v>
      </c>
      <c r="H49" s="447">
        <v>3250</v>
      </c>
      <c r="I49" s="453">
        <v>-605.53099999999995</v>
      </c>
      <c r="J49" s="447">
        <v>1422.4559999999999</v>
      </c>
      <c r="K49" s="453">
        <v>-936.43299999999999</v>
      </c>
      <c r="L49" s="447">
        <v>872.96100000000001</v>
      </c>
    </row>
    <row r="50" spans="1:12">
      <c r="A50" s="457" t="s">
        <v>404</v>
      </c>
      <c r="B50" s="439">
        <v>1878</v>
      </c>
      <c r="C50" s="439">
        <v>1816</v>
      </c>
      <c r="D50" s="439">
        <v>1880</v>
      </c>
      <c r="E50" s="439">
        <v>1236</v>
      </c>
      <c r="F50" s="439">
        <v>829</v>
      </c>
      <c r="G50" s="439">
        <v>808</v>
      </c>
      <c r="H50" s="439">
        <v>1108</v>
      </c>
      <c r="I50" s="439">
        <v>913.88099999999997</v>
      </c>
      <c r="J50" s="439">
        <v>948.83199999999999</v>
      </c>
      <c r="K50" s="439">
        <v>717.72</v>
      </c>
      <c r="L50" s="439">
        <v>624.94799999999998</v>
      </c>
    </row>
    <row r="51" spans="1:12">
      <c r="A51" s="449" t="s">
        <v>405</v>
      </c>
      <c r="B51" s="447">
        <v>32.268040999999997</v>
      </c>
      <c r="C51" s="447">
        <v>31.202749000000001</v>
      </c>
      <c r="D51" s="447">
        <v>32.525951999999997</v>
      </c>
      <c r="E51" s="447">
        <v>21.608391999999998</v>
      </c>
      <c r="F51" s="447">
        <v>14.243986</v>
      </c>
      <c r="G51" s="447">
        <v>13.835616</v>
      </c>
      <c r="H51" s="447">
        <v>19.336824</v>
      </c>
      <c r="I51" s="447">
        <v>16.242442</v>
      </c>
      <c r="J51" s="447">
        <v>17.066244999999999</v>
      </c>
      <c r="K51" s="447">
        <v>12.924905000000001</v>
      </c>
      <c r="L51" s="447">
        <v>11.128586</v>
      </c>
    </row>
    <row r="52" spans="1:12">
      <c r="A52" s="442" t="s">
        <v>406</v>
      </c>
      <c r="B52" s="459">
        <v>2.464639</v>
      </c>
      <c r="C52" s="459">
        <v>2.3673959999999998</v>
      </c>
      <c r="D52" s="459">
        <v>2.2791160000000001</v>
      </c>
      <c r="E52" s="459">
        <v>2.562878</v>
      </c>
      <c r="F52" s="459">
        <v>2.7140710000000001</v>
      </c>
      <c r="G52" s="459">
        <v>2.2152229999999999</v>
      </c>
      <c r="H52" s="459">
        <v>4.0698819999999998</v>
      </c>
      <c r="I52" s="459">
        <v>3.1195270000000002</v>
      </c>
      <c r="J52" s="459">
        <v>4.584003</v>
      </c>
      <c r="K52" s="459">
        <v>5.0557030000000003</v>
      </c>
      <c r="L52" s="459">
        <v>3.8491240000000002</v>
      </c>
    </row>
    <row r="53" spans="1:12">
      <c r="A53" s="464" t="s">
        <v>367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2B49-E8E8-4143-B43C-5BBBD776C2EA}">
  <dimension ref="A1:K73"/>
  <sheetViews>
    <sheetView topLeftCell="A24" workbookViewId="0">
      <selection activeCell="E77" sqref="E77"/>
    </sheetView>
  </sheetViews>
  <sheetFormatPr defaultRowHeight="15"/>
  <cols>
    <col min="1" max="1" width="39.28515625" customWidth="1"/>
  </cols>
  <sheetData>
    <row r="1" spans="1:11">
      <c r="A1" s="437" t="s">
        <v>313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</row>
    <row r="2" spans="1:11">
      <c r="A2" s="437" t="s">
        <v>314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</row>
    <row r="3" spans="1:11">
      <c r="A3" s="437" t="s">
        <v>315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</row>
    <row r="4" spans="1:11">
      <c r="A4" s="437"/>
      <c r="B4" s="437" t="s">
        <v>317</v>
      </c>
      <c r="C4" s="437" t="s">
        <v>318</v>
      </c>
      <c r="D4" s="437" t="s">
        <v>319</v>
      </c>
      <c r="E4" s="437" t="s">
        <v>320</v>
      </c>
      <c r="F4" s="437" t="s">
        <v>321</v>
      </c>
      <c r="G4" s="437" t="s">
        <v>322</v>
      </c>
      <c r="H4" s="437" t="s">
        <v>323</v>
      </c>
      <c r="I4" s="437" t="s">
        <v>324</v>
      </c>
      <c r="J4" s="437" t="s">
        <v>325</v>
      </c>
      <c r="K4" s="437" t="s">
        <v>326</v>
      </c>
    </row>
    <row r="5" spans="1:11">
      <c r="A5" s="451" t="s">
        <v>407</v>
      </c>
      <c r="B5" s="451"/>
      <c r="C5" s="451"/>
      <c r="D5" s="451"/>
      <c r="E5" s="451"/>
      <c r="F5" s="451"/>
      <c r="G5" s="451"/>
      <c r="H5" s="451"/>
      <c r="I5" s="451"/>
      <c r="J5" s="451"/>
      <c r="K5" s="451"/>
    </row>
    <row r="6" spans="1:11">
      <c r="A6" s="457" t="s">
        <v>408</v>
      </c>
      <c r="B6" s="461">
        <v>2808</v>
      </c>
      <c r="C6" s="461">
        <v>6261</v>
      </c>
      <c r="D6" s="461">
        <v>3472</v>
      </c>
      <c r="E6" s="461">
        <v>3001</v>
      </c>
      <c r="F6" s="461">
        <v>4787</v>
      </c>
      <c r="G6" s="461">
        <v>4717</v>
      </c>
      <c r="H6" s="461">
        <v>1467.4860000000001</v>
      </c>
      <c r="I6" s="461">
        <v>2073.0169999999998</v>
      </c>
      <c r="J6" s="461">
        <v>650.56100000000004</v>
      </c>
      <c r="K6" s="461">
        <v>1586.9939999999999</v>
      </c>
    </row>
    <row r="7" spans="1:11">
      <c r="A7" s="449" t="s">
        <v>409</v>
      </c>
      <c r="B7" s="462">
        <v>2808</v>
      </c>
      <c r="C7" s="462">
        <v>6261</v>
      </c>
      <c r="D7" s="462">
        <v>3472</v>
      </c>
      <c r="E7" s="462">
        <v>3001</v>
      </c>
      <c r="F7" s="462">
        <v>4787</v>
      </c>
      <c r="G7" s="462">
        <v>4717</v>
      </c>
      <c r="H7" s="462">
        <v>1467.4860000000001</v>
      </c>
      <c r="I7" s="462">
        <v>2073.0169999999998</v>
      </c>
      <c r="J7" s="462">
        <v>650.56100000000004</v>
      </c>
      <c r="K7" s="462">
        <v>1586.9939999999999</v>
      </c>
    </row>
    <row r="8" spans="1:11">
      <c r="A8" s="457" t="s">
        <v>229</v>
      </c>
      <c r="B8" s="461">
        <v>1897</v>
      </c>
      <c r="C8" s="461">
        <v>1651</v>
      </c>
      <c r="D8" s="461">
        <v>1421</v>
      </c>
      <c r="E8" s="461">
        <v>1086</v>
      </c>
      <c r="F8" s="461">
        <v>861</v>
      </c>
      <c r="G8" s="461">
        <v>756</v>
      </c>
      <c r="H8" s="461">
        <v>1111.7</v>
      </c>
      <c r="I8" s="461">
        <v>704.31</v>
      </c>
      <c r="J8" s="461">
        <v>636.12699999999995</v>
      </c>
      <c r="K8" s="461">
        <v>576.33900000000006</v>
      </c>
    </row>
    <row r="9" spans="1:11">
      <c r="A9" s="444" t="s">
        <v>410</v>
      </c>
      <c r="B9" s="465">
        <v>1897</v>
      </c>
      <c r="C9" s="465">
        <v>1651</v>
      </c>
      <c r="D9" s="465">
        <v>1421</v>
      </c>
      <c r="E9" s="465">
        <v>1086</v>
      </c>
      <c r="F9" s="465">
        <v>861</v>
      </c>
      <c r="G9" s="465">
        <v>756</v>
      </c>
      <c r="H9" s="465">
        <v>1111.7</v>
      </c>
      <c r="I9" s="465">
        <v>704.31</v>
      </c>
      <c r="J9" s="465">
        <v>636.12699999999995</v>
      </c>
      <c r="K9" s="465">
        <v>576.33900000000006</v>
      </c>
    </row>
    <row r="10" spans="1:11">
      <c r="A10" s="445" t="s">
        <v>411</v>
      </c>
      <c r="B10" s="463">
        <v>1922</v>
      </c>
      <c r="C10" s="463">
        <v>1683</v>
      </c>
      <c r="D10" s="463">
        <v>1452</v>
      </c>
      <c r="E10" s="463">
        <v>1121</v>
      </c>
      <c r="F10" s="463">
        <v>891</v>
      </c>
      <c r="G10" s="463">
        <v>793</v>
      </c>
      <c r="H10" s="463">
        <v>1129.1020000000001</v>
      </c>
      <c r="I10" s="463">
        <v>708.98400000000004</v>
      </c>
      <c r="J10" s="463">
        <v>639.94600000000003</v>
      </c>
      <c r="K10" s="463">
        <v>580.75300000000004</v>
      </c>
    </row>
    <row r="11" spans="1:11">
      <c r="A11" s="446" t="s">
        <v>412</v>
      </c>
      <c r="B11" s="468">
        <v>-25</v>
      </c>
      <c r="C11" s="468">
        <v>-32</v>
      </c>
      <c r="D11" s="468">
        <v>-31</v>
      </c>
      <c r="E11" s="468">
        <v>-35</v>
      </c>
      <c r="F11" s="468">
        <v>-30</v>
      </c>
      <c r="G11" s="468">
        <v>-37</v>
      </c>
      <c r="H11" s="468">
        <v>-17.402000000000001</v>
      </c>
      <c r="I11" s="468">
        <v>-4.6740000000000004</v>
      </c>
      <c r="J11" s="468">
        <v>-3.819</v>
      </c>
      <c r="K11" s="468">
        <v>-4.4139999999999997</v>
      </c>
    </row>
    <row r="12" spans="1:11">
      <c r="A12" s="457" t="s">
        <v>379</v>
      </c>
      <c r="B12" s="461">
        <v>2095</v>
      </c>
      <c r="C12" s="461">
        <v>1876</v>
      </c>
      <c r="D12" s="461">
        <v>1616</v>
      </c>
      <c r="E12" s="461">
        <v>1332</v>
      </c>
      <c r="F12" s="461">
        <v>1185</v>
      </c>
      <c r="G12" s="461">
        <v>1283</v>
      </c>
      <c r="H12" s="461">
        <v>1232.6489999999999</v>
      </c>
      <c r="I12" s="461">
        <v>805.29200000000003</v>
      </c>
      <c r="J12" s="461">
        <v>730.68100000000004</v>
      </c>
      <c r="K12" s="461">
        <v>724.01099999999997</v>
      </c>
    </row>
    <row r="13" spans="1:11">
      <c r="A13" s="449" t="s">
        <v>413</v>
      </c>
      <c r="B13" s="462">
        <v>288</v>
      </c>
      <c r="C13" s="462">
        <v>290</v>
      </c>
      <c r="D13" s="462">
        <v>226</v>
      </c>
      <c r="E13" s="462">
        <v>210</v>
      </c>
      <c r="F13" s="462">
        <v>207</v>
      </c>
      <c r="G13" s="462">
        <v>222</v>
      </c>
      <c r="H13" s="462">
        <v>191.535</v>
      </c>
      <c r="I13" s="462">
        <v>127.018</v>
      </c>
      <c r="J13" s="462">
        <v>131.548</v>
      </c>
      <c r="K13" s="462">
        <v>153.25299999999999</v>
      </c>
    </row>
    <row r="14" spans="1:11">
      <c r="A14" s="442" t="s">
        <v>414</v>
      </c>
      <c r="B14" s="463">
        <v>555</v>
      </c>
      <c r="C14" s="463">
        <v>508</v>
      </c>
      <c r="D14" s="463">
        <v>455</v>
      </c>
      <c r="E14" s="463">
        <v>359</v>
      </c>
      <c r="F14" s="463">
        <v>322</v>
      </c>
      <c r="G14" s="463">
        <v>358</v>
      </c>
      <c r="H14" s="463">
        <v>360.23</v>
      </c>
      <c r="I14" s="463">
        <v>237.33500000000001</v>
      </c>
      <c r="J14" s="463">
        <v>187.00899999999999</v>
      </c>
      <c r="K14" s="463">
        <v>188.417</v>
      </c>
    </row>
    <row r="15" spans="1:11">
      <c r="A15" s="449" t="s">
        <v>415</v>
      </c>
      <c r="B15" s="462">
        <v>1522</v>
      </c>
      <c r="C15" s="462">
        <v>1314</v>
      </c>
      <c r="D15" s="462">
        <v>1144</v>
      </c>
      <c r="E15" s="462">
        <v>959</v>
      </c>
      <c r="F15" s="462">
        <v>850</v>
      </c>
      <c r="G15" s="462">
        <v>881</v>
      </c>
      <c r="H15" s="462">
        <v>804.68700000000001</v>
      </c>
      <c r="I15" s="462">
        <v>540.29</v>
      </c>
      <c r="J15" s="462">
        <v>496.899</v>
      </c>
      <c r="K15" s="462">
        <v>464.41</v>
      </c>
    </row>
    <row r="16" spans="1:11">
      <c r="A16" s="442" t="s">
        <v>416</v>
      </c>
      <c r="B16" s="466">
        <v>-270</v>
      </c>
      <c r="C16" s="466">
        <v>-236</v>
      </c>
      <c r="D16" s="466">
        <v>-209</v>
      </c>
      <c r="E16" s="466">
        <v>-196</v>
      </c>
      <c r="F16" s="466">
        <v>-194</v>
      </c>
      <c r="G16" s="466">
        <v>-178</v>
      </c>
      <c r="H16" s="466">
        <v>-123.803</v>
      </c>
      <c r="I16" s="466">
        <v>-99.350999999999999</v>
      </c>
      <c r="J16" s="466">
        <v>-84.775000000000006</v>
      </c>
      <c r="K16" s="466">
        <v>-82.069000000000003</v>
      </c>
    </row>
    <row r="17" spans="1:11">
      <c r="A17" s="440" t="s">
        <v>233</v>
      </c>
      <c r="B17" s="465">
        <v>212</v>
      </c>
      <c r="C17" s="465">
        <v>241</v>
      </c>
      <c r="D17" s="465">
        <v>229</v>
      </c>
      <c r="E17" s="465">
        <v>230</v>
      </c>
      <c r="F17" s="465">
        <v>197</v>
      </c>
      <c r="G17" s="465">
        <v>204</v>
      </c>
      <c r="H17" s="465">
        <v>1053.412</v>
      </c>
      <c r="I17" s="465">
        <v>74.668000000000006</v>
      </c>
      <c r="J17" s="465">
        <v>116.18300000000001</v>
      </c>
      <c r="K17" s="465">
        <v>43.353000000000002</v>
      </c>
    </row>
    <row r="18" spans="1:11">
      <c r="A18" s="442" t="s">
        <v>417</v>
      </c>
      <c r="B18" s="463">
        <v>212</v>
      </c>
      <c r="C18" s="463">
        <v>241</v>
      </c>
      <c r="D18" s="463">
        <v>229</v>
      </c>
      <c r="E18" s="463">
        <v>230</v>
      </c>
      <c r="F18" s="463">
        <v>197</v>
      </c>
      <c r="G18" s="463">
        <v>204</v>
      </c>
      <c r="H18" s="463">
        <v>1053.412</v>
      </c>
      <c r="I18" s="463">
        <v>74.668000000000006</v>
      </c>
      <c r="J18" s="463">
        <v>116.18300000000001</v>
      </c>
      <c r="K18" s="463">
        <v>43.353000000000002</v>
      </c>
    </row>
    <row r="19" spans="1:11">
      <c r="A19" s="455" t="s">
        <v>418</v>
      </c>
      <c r="B19" s="462">
        <v>7012</v>
      </c>
      <c r="C19" s="462">
        <v>10029</v>
      </c>
      <c r="D19" s="462">
        <v>6738</v>
      </c>
      <c r="E19" s="462">
        <v>5649</v>
      </c>
      <c r="F19" s="462">
        <v>7030</v>
      </c>
      <c r="G19" s="462">
        <v>6960</v>
      </c>
      <c r="H19" s="462">
        <v>4865.2470000000003</v>
      </c>
      <c r="I19" s="462">
        <v>3657.2869999999998</v>
      </c>
      <c r="J19" s="462">
        <v>2133.5520000000001</v>
      </c>
      <c r="K19" s="462">
        <v>2930.6970000000001</v>
      </c>
    </row>
    <row r="20" spans="1:11">
      <c r="A20" s="457" t="s">
        <v>419</v>
      </c>
      <c r="B20" s="461">
        <v>1644</v>
      </c>
      <c r="C20" s="461">
        <v>1549</v>
      </c>
      <c r="D20" s="461">
        <v>1319</v>
      </c>
      <c r="E20" s="461">
        <v>892</v>
      </c>
      <c r="F20" s="461">
        <v>864</v>
      </c>
      <c r="G20" s="461">
        <v>855</v>
      </c>
      <c r="H20" s="461">
        <v>756.75699999999995</v>
      </c>
      <c r="I20" s="461">
        <v>388.33300000000003</v>
      </c>
      <c r="J20" s="461">
        <v>324.92399999999998</v>
      </c>
      <c r="K20" s="461">
        <v>310.58</v>
      </c>
    </row>
    <row r="21" spans="1:11">
      <c r="A21" s="444" t="s">
        <v>420</v>
      </c>
      <c r="B21" s="465">
        <v>2835</v>
      </c>
      <c r="C21" s="465">
        <v>2566</v>
      </c>
      <c r="D21" s="465">
        <v>2189</v>
      </c>
      <c r="E21" s="465">
        <v>1672</v>
      </c>
      <c r="F21" s="465">
        <v>1499</v>
      </c>
      <c r="G21" s="465">
        <v>1395</v>
      </c>
      <c r="H21" s="465">
        <v>1183.3340000000001</v>
      </c>
      <c r="I21" s="465">
        <v>727.97500000000002</v>
      </c>
      <c r="J21" s="465">
        <v>617.24</v>
      </c>
      <c r="K21" s="465">
        <v>565.68600000000004</v>
      </c>
    </row>
    <row r="22" spans="1:11">
      <c r="A22" s="445" t="s">
        <v>421</v>
      </c>
      <c r="B22" s="463">
        <v>794</v>
      </c>
      <c r="C22" s="463">
        <v>733</v>
      </c>
      <c r="D22" s="463">
        <v>567</v>
      </c>
      <c r="E22" s="463">
        <v>461</v>
      </c>
      <c r="F22" s="463">
        <v>409</v>
      </c>
      <c r="G22" s="463">
        <v>350</v>
      </c>
      <c r="H22" s="463">
        <v>407.46100000000001</v>
      </c>
      <c r="I22" s="463">
        <v>171.26900000000001</v>
      </c>
      <c r="J22" s="463">
        <v>161.99</v>
      </c>
      <c r="K22" s="463">
        <v>153.691</v>
      </c>
    </row>
    <row r="23" spans="1:11">
      <c r="A23" s="446" t="s">
        <v>422</v>
      </c>
      <c r="B23" s="462">
        <v>192</v>
      </c>
      <c r="C23" s="462">
        <v>186</v>
      </c>
      <c r="D23" s="462">
        <v>119</v>
      </c>
      <c r="E23" s="462">
        <v>103</v>
      </c>
      <c r="F23" s="462">
        <v>103</v>
      </c>
      <c r="G23" s="462">
        <v>103</v>
      </c>
      <c r="H23" s="462">
        <v>95.536000000000001</v>
      </c>
      <c r="I23" s="462">
        <v>77.454999999999998</v>
      </c>
      <c r="J23" s="462">
        <v>56.554000000000002</v>
      </c>
      <c r="K23" s="462">
        <v>57.51</v>
      </c>
    </row>
    <row r="24" spans="1:11">
      <c r="A24" s="445" t="s">
        <v>423</v>
      </c>
      <c r="B24" s="463">
        <v>1621</v>
      </c>
      <c r="C24" s="463">
        <v>1445</v>
      </c>
      <c r="D24" s="463">
        <v>1334</v>
      </c>
      <c r="E24" s="463">
        <v>945</v>
      </c>
      <c r="F24" s="463">
        <v>832</v>
      </c>
      <c r="G24" s="463">
        <v>782</v>
      </c>
      <c r="H24" s="463">
        <v>628.096</v>
      </c>
      <c r="I24" s="463">
        <v>448.01400000000001</v>
      </c>
      <c r="J24" s="463">
        <v>376.65899999999999</v>
      </c>
      <c r="K24" s="463">
        <v>338.52699999999999</v>
      </c>
    </row>
    <row r="25" spans="1:11">
      <c r="A25" s="446" t="s">
        <v>424</v>
      </c>
      <c r="B25" s="462">
        <v>163</v>
      </c>
      <c r="C25" s="462">
        <v>141</v>
      </c>
      <c r="D25" s="462">
        <v>105</v>
      </c>
      <c r="E25" s="462">
        <v>78</v>
      </c>
      <c r="F25" s="462">
        <v>61</v>
      </c>
      <c r="G25" s="462">
        <v>57</v>
      </c>
      <c r="H25" s="462">
        <v>52.241</v>
      </c>
      <c r="I25" s="462">
        <v>31.236999999999998</v>
      </c>
      <c r="J25" s="462">
        <v>22.036999999999999</v>
      </c>
      <c r="K25" s="462">
        <v>15.958</v>
      </c>
    </row>
    <row r="26" spans="1:11">
      <c r="A26" s="445" t="s">
        <v>425</v>
      </c>
      <c r="B26" s="463">
        <v>65</v>
      </c>
      <c r="C26" s="463">
        <v>61</v>
      </c>
      <c r="D26" s="463">
        <v>64</v>
      </c>
      <c r="E26" s="463">
        <v>85</v>
      </c>
      <c r="F26" s="463">
        <v>94</v>
      </c>
      <c r="G26" s="463">
        <v>103</v>
      </c>
      <c r="H26" s="448"/>
      <c r="I26" s="448"/>
      <c r="J26" s="448"/>
      <c r="K26" s="448"/>
    </row>
    <row r="27" spans="1:11">
      <c r="A27" s="449" t="s">
        <v>426</v>
      </c>
      <c r="B27" s="462">
        <v>1191</v>
      </c>
      <c r="C27" s="462">
        <v>1017</v>
      </c>
      <c r="D27" s="462">
        <v>870</v>
      </c>
      <c r="E27" s="462">
        <v>780</v>
      </c>
      <c r="F27" s="462">
        <v>635</v>
      </c>
      <c r="G27" s="462">
        <v>540</v>
      </c>
      <c r="H27" s="462">
        <v>426.577</v>
      </c>
      <c r="I27" s="462">
        <v>339.642</v>
      </c>
      <c r="J27" s="462">
        <v>292.31599999999997</v>
      </c>
      <c r="K27" s="462">
        <v>255.10599999999999</v>
      </c>
    </row>
    <row r="28" spans="1:11">
      <c r="A28" s="457" t="s">
        <v>427</v>
      </c>
      <c r="B28" s="461">
        <v>102</v>
      </c>
      <c r="C28" s="461">
        <v>34</v>
      </c>
      <c r="D28" s="461">
        <v>112</v>
      </c>
      <c r="E28" s="461">
        <v>69</v>
      </c>
      <c r="F28" s="461">
        <v>10</v>
      </c>
      <c r="G28" s="461">
        <v>6</v>
      </c>
      <c r="H28" s="461">
        <v>8.484</v>
      </c>
      <c r="I28" s="461">
        <v>97.286000000000001</v>
      </c>
      <c r="J28" s="461">
        <v>0</v>
      </c>
      <c r="K28" s="461">
        <v>0</v>
      </c>
    </row>
    <row r="29" spans="1:11">
      <c r="A29" s="449" t="s">
        <v>428</v>
      </c>
      <c r="B29" s="462">
        <v>8</v>
      </c>
      <c r="C29" s="462">
        <v>3</v>
      </c>
      <c r="D29" s="462">
        <v>111</v>
      </c>
      <c r="E29" s="462">
        <v>68</v>
      </c>
      <c r="F29" s="462">
        <v>8</v>
      </c>
      <c r="G29" s="462">
        <v>0</v>
      </c>
      <c r="H29" s="462">
        <v>1.246</v>
      </c>
      <c r="I29" s="462">
        <v>97.286000000000001</v>
      </c>
      <c r="J29" s="462">
        <v>0</v>
      </c>
      <c r="K29" s="462">
        <v>0</v>
      </c>
    </row>
    <row r="30" spans="1:11">
      <c r="A30" s="442" t="s">
        <v>429</v>
      </c>
      <c r="B30" s="463">
        <v>94</v>
      </c>
      <c r="C30" s="463">
        <v>31</v>
      </c>
      <c r="D30" s="463">
        <v>1</v>
      </c>
      <c r="E30" s="463">
        <v>1</v>
      </c>
      <c r="F30" s="463">
        <v>2</v>
      </c>
      <c r="G30" s="463">
        <v>6</v>
      </c>
      <c r="H30" s="463">
        <v>7.2380000000000004</v>
      </c>
      <c r="I30" s="448"/>
      <c r="J30" s="448"/>
      <c r="K30" s="448"/>
    </row>
    <row r="31" spans="1:11">
      <c r="A31" s="440" t="s">
        <v>430</v>
      </c>
      <c r="B31" s="465">
        <v>14066</v>
      </c>
      <c r="C31" s="465">
        <v>13865</v>
      </c>
      <c r="D31" s="465">
        <v>11735</v>
      </c>
      <c r="E31" s="465">
        <v>11391</v>
      </c>
      <c r="F31" s="465">
        <v>11359</v>
      </c>
      <c r="G31" s="465">
        <v>10499</v>
      </c>
      <c r="H31" s="465">
        <v>10563.923000000001</v>
      </c>
      <c r="I31" s="465">
        <v>8011.6940000000004</v>
      </c>
      <c r="J31" s="465">
        <v>7463.2</v>
      </c>
      <c r="K31" s="465">
        <v>7443.7950000000001</v>
      </c>
    </row>
    <row r="32" spans="1:11">
      <c r="A32" s="442" t="s">
        <v>431</v>
      </c>
      <c r="B32" s="463">
        <v>10612</v>
      </c>
      <c r="C32" s="463">
        <v>10419</v>
      </c>
      <c r="D32" s="463">
        <v>8988</v>
      </c>
      <c r="E32" s="463">
        <v>8641</v>
      </c>
      <c r="F32" s="463">
        <v>8568</v>
      </c>
      <c r="G32" s="463">
        <v>7889</v>
      </c>
      <c r="H32" s="463">
        <v>7820.1030000000001</v>
      </c>
      <c r="I32" s="463">
        <v>6223.29</v>
      </c>
      <c r="J32" s="463">
        <v>5745.3379999999997</v>
      </c>
      <c r="K32" s="463">
        <v>5679.4520000000002</v>
      </c>
    </row>
    <row r="33" spans="1:11">
      <c r="A33" s="449" t="s">
        <v>432</v>
      </c>
      <c r="B33" s="462">
        <v>3454</v>
      </c>
      <c r="C33" s="462">
        <v>3446</v>
      </c>
      <c r="D33" s="462">
        <v>2747</v>
      </c>
      <c r="E33" s="462">
        <v>2750</v>
      </c>
      <c r="F33" s="462">
        <v>2791</v>
      </c>
      <c r="G33" s="462">
        <v>2610</v>
      </c>
      <c r="H33" s="462">
        <v>2743.82</v>
      </c>
      <c r="I33" s="462">
        <v>1788.404</v>
      </c>
      <c r="J33" s="462">
        <v>1717.8620000000001</v>
      </c>
      <c r="K33" s="462">
        <v>1764.3430000000001</v>
      </c>
    </row>
    <row r="34" spans="1:11">
      <c r="A34" s="454" t="s">
        <v>433</v>
      </c>
      <c r="B34" s="448"/>
      <c r="C34" s="448"/>
      <c r="D34" s="448"/>
      <c r="E34" s="448"/>
      <c r="F34" s="463">
        <v>0</v>
      </c>
      <c r="G34" s="463">
        <v>17</v>
      </c>
      <c r="H34" s="448"/>
      <c r="I34" s="448"/>
      <c r="J34" s="448"/>
      <c r="K34" s="448"/>
    </row>
    <row r="35" spans="1:11">
      <c r="A35" s="440" t="s">
        <v>434</v>
      </c>
      <c r="B35" s="465">
        <v>85</v>
      </c>
      <c r="C35" s="465">
        <v>109</v>
      </c>
      <c r="D35" s="465">
        <v>66</v>
      </c>
      <c r="E35" s="465">
        <v>106</v>
      </c>
      <c r="F35" s="465">
        <v>52</v>
      </c>
      <c r="G35" s="465">
        <v>58</v>
      </c>
      <c r="H35" s="465">
        <v>60.32</v>
      </c>
      <c r="I35" s="465">
        <v>42.866999999999997</v>
      </c>
      <c r="J35" s="465">
        <v>53.984999999999999</v>
      </c>
      <c r="K35" s="465">
        <v>41.204999999999998</v>
      </c>
    </row>
    <row r="36" spans="1:11">
      <c r="A36" s="442" t="s">
        <v>435</v>
      </c>
      <c r="B36" s="463">
        <v>85</v>
      </c>
      <c r="C36" s="463">
        <v>109</v>
      </c>
      <c r="D36" s="463">
        <v>66</v>
      </c>
      <c r="E36" s="463">
        <v>106</v>
      </c>
      <c r="F36" s="463">
        <v>52</v>
      </c>
      <c r="G36" s="463">
        <v>58</v>
      </c>
      <c r="H36" s="463">
        <v>60.32</v>
      </c>
      <c r="I36" s="463">
        <v>42.866999999999997</v>
      </c>
      <c r="J36" s="463">
        <v>53.984999999999999</v>
      </c>
      <c r="K36" s="463">
        <v>41.204999999999998</v>
      </c>
    </row>
    <row r="37" spans="1:11">
      <c r="A37" s="455" t="s">
        <v>436</v>
      </c>
      <c r="B37" s="462">
        <v>22909</v>
      </c>
      <c r="C37" s="462">
        <v>25586</v>
      </c>
      <c r="D37" s="462">
        <v>19970</v>
      </c>
      <c r="E37" s="462">
        <v>18107</v>
      </c>
      <c r="F37" s="462">
        <v>19315</v>
      </c>
      <c r="G37" s="462">
        <v>18395</v>
      </c>
      <c r="H37" s="462">
        <v>16254.731</v>
      </c>
      <c r="I37" s="462">
        <v>12197.467000000001</v>
      </c>
      <c r="J37" s="462">
        <v>9975.6610000000001</v>
      </c>
      <c r="K37" s="462">
        <v>10726.277</v>
      </c>
    </row>
    <row r="38" spans="1:11">
      <c r="A38" s="438" t="s">
        <v>437</v>
      </c>
      <c r="B38" s="438"/>
      <c r="C38" s="438"/>
      <c r="D38" s="438"/>
      <c r="E38" s="438"/>
      <c r="F38" s="438"/>
      <c r="G38" s="438"/>
      <c r="H38" s="438"/>
      <c r="I38" s="438"/>
      <c r="J38" s="438"/>
      <c r="K38" s="438"/>
    </row>
    <row r="39" spans="1:11">
      <c r="A39" s="440" t="s">
        <v>259</v>
      </c>
      <c r="B39" s="451"/>
      <c r="C39" s="451"/>
      <c r="D39" s="451"/>
      <c r="E39" s="451"/>
      <c r="F39" s="451"/>
      <c r="G39" s="451"/>
      <c r="H39" s="451"/>
      <c r="I39" s="451"/>
      <c r="J39" s="451"/>
      <c r="K39" s="451"/>
    </row>
    <row r="40" spans="1:11">
      <c r="A40" s="442" t="s">
        <v>438</v>
      </c>
      <c r="B40" s="443">
        <v>863</v>
      </c>
      <c r="C40" s="443">
        <v>603</v>
      </c>
      <c r="D40" s="443">
        <v>436</v>
      </c>
      <c r="E40" s="443">
        <v>444</v>
      </c>
      <c r="F40" s="443">
        <v>648</v>
      </c>
      <c r="G40" s="443">
        <v>649</v>
      </c>
      <c r="H40" s="443">
        <v>429.73200000000003</v>
      </c>
      <c r="I40" s="443">
        <v>375.33600000000001</v>
      </c>
      <c r="J40" s="443">
        <v>369.041</v>
      </c>
      <c r="K40" s="443">
        <v>252.416</v>
      </c>
    </row>
    <row r="41" spans="1:11">
      <c r="A41" s="449" t="s">
        <v>236</v>
      </c>
      <c r="B41" s="447">
        <v>368</v>
      </c>
      <c r="C41" s="447">
        <v>323</v>
      </c>
      <c r="D41" s="447">
        <v>305</v>
      </c>
      <c r="E41" s="447">
        <v>279</v>
      </c>
      <c r="F41" s="447">
        <v>227</v>
      </c>
      <c r="G41" s="447">
        <v>218</v>
      </c>
      <c r="H41" s="447">
        <v>276.58999999999997</v>
      </c>
      <c r="I41" s="447">
        <v>173.60300000000001</v>
      </c>
      <c r="J41" s="447">
        <v>148.761</v>
      </c>
      <c r="K41" s="447">
        <v>156.07499999999999</v>
      </c>
    </row>
    <row r="42" spans="1:11">
      <c r="A42" s="442" t="s">
        <v>439</v>
      </c>
      <c r="B42" s="443">
        <v>40</v>
      </c>
      <c r="C42" s="443">
        <v>108</v>
      </c>
      <c r="D42" s="443">
        <v>138</v>
      </c>
      <c r="E42" s="448"/>
      <c r="F42" s="448"/>
      <c r="G42" s="443">
        <v>19</v>
      </c>
      <c r="H42" s="443">
        <v>44.37</v>
      </c>
      <c r="I42" s="448"/>
      <c r="J42" s="448"/>
      <c r="K42" s="448"/>
    </row>
    <row r="43" spans="1:11">
      <c r="A43" s="444" t="s">
        <v>238</v>
      </c>
      <c r="B43" s="441">
        <v>911</v>
      </c>
      <c r="C43" s="441">
        <v>5305</v>
      </c>
      <c r="D43" s="441">
        <v>700</v>
      </c>
      <c r="E43" s="441">
        <v>703</v>
      </c>
      <c r="F43" s="441">
        <v>788</v>
      </c>
      <c r="G43" s="441">
        <v>730</v>
      </c>
      <c r="H43" s="441">
        <v>788.06399999999996</v>
      </c>
      <c r="I43" s="441">
        <v>351.44299999999998</v>
      </c>
      <c r="J43" s="441">
        <v>353.19200000000001</v>
      </c>
      <c r="K43" s="441">
        <v>344.11200000000002</v>
      </c>
    </row>
    <row r="44" spans="1:11">
      <c r="A44" s="445" t="s">
        <v>440</v>
      </c>
      <c r="B44" s="443">
        <v>59</v>
      </c>
      <c r="C44" s="443">
        <v>4396</v>
      </c>
      <c r="D44" s="443">
        <v>19</v>
      </c>
      <c r="E44" s="443">
        <v>39</v>
      </c>
      <c r="F44" s="443">
        <v>45.9</v>
      </c>
      <c r="G44" s="443">
        <v>72</v>
      </c>
      <c r="H44" s="443">
        <v>63.795999999999999</v>
      </c>
      <c r="I44" s="443">
        <v>24.2</v>
      </c>
      <c r="J44" s="443">
        <v>56.506</v>
      </c>
      <c r="K44" s="443">
        <v>0</v>
      </c>
    </row>
    <row r="45" spans="1:11">
      <c r="A45" s="446" t="s">
        <v>441</v>
      </c>
      <c r="B45" s="447">
        <v>235</v>
      </c>
      <c r="C45" s="447">
        <v>256</v>
      </c>
      <c r="D45" s="447">
        <v>217</v>
      </c>
      <c r="E45" s="447">
        <v>168</v>
      </c>
      <c r="F45" s="447">
        <v>167</v>
      </c>
      <c r="G45" s="447">
        <v>173</v>
      </c>
      <c r="H45" s="447">
        <v>177.86199999999999</v>
      </c>
      <c r="I45" s="447">
        <v>81.034999999999997</v>
      </c>
      <c r="J45" s="447">
        <v>68.944999999999993</v>
      </c>
      <c r="K45" s="447">
        <v>88.825999999999993</v>
      </c>
    </row>
    <row r="46" spans="1:11">
      <c r="A46" s="445" t="s">
        <v>442</v>
      </c>
      <c r="B46" s="443">
        <v>617</v>
      </c>
      <c r="C46" s="443">
        <v>653</v>
      </c>
      <c r="D46" s="443">
        <v>464</v>
      </c>
      <c r="E46" s="443">
        <v>496</v>
      </c>
      <c r="F46" s="443">
        <v>575.1</v>
      </c>
      <c r="G46" s="443">
        <v>485</v>
      </c>
      <c r="H46" s="443">
        <v>546.40599999999995</v>
      </c>
      <c r="I46" s="443">
        <v>246.208</v>
      </c>
      <c r="J46" s="443">
        <v>227.74100000000001</v>
      </c>
      <c r="K46" s="443">
        <v>255.286</v>
      </c>
    </row>
    <row r="47" spans="1:11">
      <c r="A47" s="449" t="s">
        <v>443</v>
      </c>
      <c r="B47" s="447">
        <v>2182</v>
      </c>
      <c r="C47" s="447">
        <v>6339</v>
      </c>
      <c r="D47" s="447">
        <v>1579</v>
      </c>
      <c r="E47" s="447">
        <v>1426</v>
      </c>
      <c r="F47" s="447">
        <v>1663</v>
      </c>
      <c r="G47" s="447">
        <v>1616</v>
      </c>
      <c r="H47" s="447">
        <v>1538.7560000000001</v>
      </c>
      <c r="I47" s="447">
        <v>900.38199999999995</v>
      </c>
      <c r="J47" s="447">
        <v>870.99400000000003</v>
      </c>
      <c r="K47" s="447">
        <v>752.60299999999995</v>
      </c>
    </row>
    <row r="48" spans="1:11">
      <c r="A48" s="457" t="s">
        <v>444</v>
      </c>
      <c r="B48" s="438"/>
      <c r="C48" s="438"/>
      <c r="D48" s="438"/>
      <c r="E48" s="438"/>
      <c r="F48" s="438"/>
      <c r="G48" s="438"/>
      <c r="H48" s="438"/>
      <c r="I48" s="438"/>
      <c r="J48" s="438"/>
      <c r="K48" s="438"/>
    </row>
    <row r="49" spans="1:11">
      <c r="A49" s="444" t="s">
        <v>445</v>
      </c>
      <c r="B49" s="465">
        <v>29218</v>
      </c>
      <c r="C49" s="465">
        <v>24339</v>
      </c>
      <c r="D49" s="465">
        <v>19381</v>
      </c>
      <c r="E49" s="465">
        <v>19440</v>
      </c>
      <c r="F49" s="465">
        <v>19549</v>
      </c>
      <c r="G49" s="465">
        <v>19526</v>
      </c>
      <c r="H49" s="465">
        <v>16469.221000000001</v>
      </c>
      <c r="I49" s="465">
        <v>12501.946</v>
      </c>
      <c r="J49" s="465">
        <v>11393.62</v>
      </c>
      <c r="K49" s="465">
        <v>9943.1910000000007</v>
      </c>
    </row>
    <row r="50" spans="1:11">
      <c r="A50" s="445" t="s">
        <v>446</v>
      </c>
      <c r="B50" s="463">
        <v>28891</v>
      </c>
      <c r="C50" s="463">
        <v>24040</v>
      </c>
      <c r="D50" s="463">
        <v>19142</v>
      </c>
      <c r="E50" s="463">
        <v>19225</v>
      </c>
      <c r="F50" s="463">
        <v>19372</v>
      </c>
      <c r="G50" s="463">
        <v>19384</v>
      </c>
      <c r="H50" s="463">
        <v>16469.221000000001</v>
      </c>
      <c r="I50" s="463">
        <v>12501.946</v>
      </c>
      <c r="J50" s="463">
        <v>11393.62</v>
      </c>
      <c r="K50" s="463">
        <v>9943.1910000000007</v>
      </c>
    </row>
    <row r="51" spans="1:11">
      <c r="A51" s="446" t="s">
        <v>447</v>
      </c>
      <c r="B51" s="462">
        <v>327</v>
      </c>
      <c r="C51" s="462">
        <v>299</v>
      </c>
      <c r="D51" s="462">
        <v>239</v>
      </c>
      <c r="E51" s="462">
        <v>215</v>
      </c>
      <c r="F51" s="462">
        <v>177</v>
      </c>
      <c r="G51" s="462">
        <v>142</v>
      </c>
      <c r="H51" s="462">
        <v>0</v>
      </c>
      <c r="I51" s="462">
        <v>0</v>
      </c>
      <c r="J51" s="462">
        <v>0</v>
      </c>
      <c r="K51" s="462">
        <v>0</v>
      </c>
    </row>
    <row r="52" spans="1:11">
      <c r="A52" s="442" t="s">
        <v>448</v>
      </c>
      <c r="B52" s="463">
        <v>33</v>
      </c>
      <c r="C52" s="463">
        <v>36</v>
      </c>
      <c r="D52" s="463">
        <v>41</v>
      </c>
      <c r="E52" s="463">
        <v>38.299999999999997</v>
      </c>
      <c r="F52" s="463">
        <v>40.700000000000003</v>
      </c>
      <c r="G52" s="463">
        <v>43.1</v>
      </c>
      <c r="H52" s="463">
        <v>32.700000000000003</v>
      </c>
      <c r="I52" s="463">
        <v>39.1</v>
      </c>
      <c r="J52" s="463">
        <v>39.9</v>
      </c>
      <c r="K52" s="463">
        <v>0</v>
      </c>
    </row>
    <row r="53" spans="1:11">
      <c r="A53" s="449" t="s">
        <v>449</v>
      </c>
      <c r="B53" s="462">
        <v>759</v>
      </c>
      <c r="C53" s="462">
        <v>766</v>
      </c>
      <c r="D53" s="462">
        <v>627</v>
      </c>
      <c r="E53" s="462">
        <v>596</v>
      </c>
      <c r="F53" s="462">
        <v>485</v>
      </c>
      <c r="G53" s="462">
        <v>430</v>
      </c>
      <c r="H53" s="462">
        <v>440.81700000000001</v>
      </c>
      <c r="I53" s="462">
        <v>399.49599999999998</v>
      </c>
      <c r="J53" s="462">
        <v>500.94900000000001</v>
      </c>
      <c r="K53" s="462">
        <v>492.255</v>
      </c>
    </row>
    <row r="54" spans="1:11">
      <c r="A54" s="467" t="s">
        <v>450</v>
      </c>
      <c r="B54" s="461">
        <v>396</v>
      </c>
      <c r="C54" s="461">
        <v>389</v>
      </c>
      <c r="D54" s="461">
        <v>320</v>
      </c>
      <c r="E54" s="461">
        <v>372.7</v>
      </c>
      <c r="F54" s="461">
        <v>487.3</v>
      </c>
      <c r="G54" s="461">
        <v>747.9</v>
      </c>
      <c r="H54" s="461">
        <v>658.32</v>
      </c>
      <c r="I54" s="461">
        <v>165.01400000000001</v>
      </c>
      <c r="J54" s="461">
        <v>121.402</v>
      </c>
      <c r="K54" s="461">
        <v>189.71799999999999</v>
      </c>
    </row>
    <row r="55" spans="1:11">
      <c r="A55" s="446" t="s">
        <v>451</v>
      </c>
      <c r="B55" s="462">
        <v>389</v>
      </c>
      <c r="C55" s="462">
        <v>380</v>
      </c>
      <c r="D55" s="462">
        <v>312</v>
      </c>
      <c r="E55" s="462">
        <v>363.7</v>
      </c>
      <c r="F55" s="462">
        <v>482.3</v>
      </c>
      <c r="G55" s="462">
        <v>738.9</v>
      </c>
      <c r="H55" s="462">
        <v>645.08600000000001</v>
      </c>
      <c r="I55" s="462">
        <v>165.01400000000001</v>
      </c>
      <c r="J55" s="462">
        <v>121.402</v>
      </c>
      <c r="K55" s="462">
        <v>189.71799999999999</v>
      </c>
    </row>
    <row r="56" spans="1:11">
      <c r="A56" s="445" t="s">
        <v>452</v>
      </c>
      <c r="B56" s="463">
        <v>7</v>
      </c>
      <c r="C56" s="463">
        <v>9</v>
      </c>
      <c r="D56" s="463">
        <v>8</v>
      </c>
      <c r="E56" s="463">
        <v>9</v>
      </c>
      <c r="F56" s="463">
        <v>5</v>
      </c>
      <c r="G56" s="463">
        <v>9</v>
      </c>
      <c r="H56" s="463">
        <v>13.234</v>
      </c>
      <c r="I56" s="448"/>
      <c r="J56" s="448"/>
      <c r="K56" s="448"/>
    </row>
    <row r="57" spans="1:11">
      <c r="A57" s="449" t="s">
        <v>453</v>
      </c>
      <c r="B57" s="462">
        <v>32588</v>
      </c>
      <c r="C57" s="462">
        <v>31869</v>
      </c>
      <c r="D57" s="462">
        <v>21948</v>
      </c>
      <c r="E57" s="462">
        <v>21873</v>
      </c>
      <c r="F57" s="462">
        <v>22225</v>
      </c>
      <c r="G57" s="462">
        <v>22363</v>
      </c>
      <c r="H57" s="462">
        <v>19139.813999999998</v>
      </c>
      <c r="I57" s="462">
        <v>14005.938</v>
      </c>
      <c r="J57" s="462">
        <v>12926.865</v>
      </c>
      <c r="K57" s="462">
        <v>11377.767</v>
      </c>
    </row>
    <row r="58" spans="1:11">
      <c r="A58" s="457" t="s">
        <v>147</v>
      </c>
      <c r="B58" s="438"/>
      <c r="C58" s="438"/>
      <c r="D58" s="438"/>
      <c r="E58" s="438"/>
      <c r="F58" s="438"/>
      <c r="G58" s="438"/>
      <c r="H58" s="438"/>
      <c r="I58" s="438"/>
      <c r="J58" s="438"/>
      <c r="K58" s="438"/>
    </row>
    <row r="59" spans="1:11">
      <c r="A59" s="444" t="s">
        <v>454</v>
      </c>
      <c r="B59" s="465">
        <v>-9686</v>
      </c>
      <c r="C59" s="465">
        <v>-6290</v>
      </c>
      <c r="D59" s="465">
        <v>-1984</v>
      </c>
      <c r="E59" s="465">
        <v>-3773</v>
      </c>
      <c r="F59" s="465">
        <v>-2916</v>
      </c>
      <c r="G59" s="465">
        <v>-3972</v>
      </c>
      <c r="H59" s="465">
        <v>-2894.9050000000002</v>
      </c>
      <c r="I59" s="465">
        <v>-1808.471</v>
      </c>
      <c r="J59" s="465">
        <v>-2951.2040000000002</v>
      </c>
      <c r="K59" s="465">
        <v>-651.49</v>
      </c>
    </row>
    <row r="60" spans="1:11">
      <c r="A60" s="445" t="s">
        <v>455</v>
      </c>
      <c r="B60" s="463">
        <v>1</v>
      </c>
      <c r="C60" s="463">
        <v>1</v>
      </c>
      <c r="D60" s="463">
        <v>1</v>
      </c>
      <c r="E60" s="463">
        <v>1</v>
      </c>
      <c r="F60" s="463">
        <v>1</v>
      </c>
      <c r="G60" s="463">
        <v>1</v>
      </c>
      <c r="H60" s="463">
        <v>0.57599999999999996</v>
      </c>
      <c r="I60" s="463">
        <v>0.56899999999999995</v>
      </c>
      <c r="J60" s="463">
        <v>0.56100000000000005</v>
      </c>
      <c r="K60" s="463">
        <v>0.55800000000000005</v>
      </c>
    </row>
    <row r="61" spans="1:11">
      <c r="A61" s="446" t="s">
        <v>456</v>
      </c>
      <c r="B61" s="462">
        <v>3135</v>
      </c>
      <c r="C61" s="462">
        <v>2819</v>
      </c>
      <c r="D61" s="462">
        <v>2440</v>
      </c>
      <c r="E61" s="462">
        <v>2113</v>
      </c>
      <c r="F61" s="462">
        <v>1830</v>
      </c>
      <c r="G61" s="462">
        <v>1581</v>
      </c>
      <c r="H61" s="462">
        <v>1378.76</v>
      </c>
      <c r="I61" s="462">
        <v>1208.742</v>
      </c>
      <c r="J61" s="462">
        <v>1095.319</v>
      </c>
      <c r="K61" s="462">
        <v>1028.972</v>
      </c>
    </row>
    <row r="62" spans="1:11">
      <c r="A62" s="445" t="s">
        <v>457</v>
      </c>
      <c r="B62" s="466">
        <v>-10606</v>
      </c>
      <c r="C62" s="466">
        <v>-7362</v>
      </c>
      <c r="D62" s="466">
        <v>-2621</v>
      </c>
      <c r="E62" s="466">
        <v>-3914</v>
      </c>
      <c r="F62" s="466">
        <v>-3705</v>
      </c>
      <c r="G62" s="466">
        <v>-4359</v>
      </c>
      <c r="H62" s="466">
        <v>-3119.9560000000001</v>
      </c>
      <c r="I62" s="466">
        <v>-2246.578</v>
      </c>
      <c r="J62" s="466">
        <v>-3187.22</v>
      </c>
      <c r="K62" s="466">
        <v>-1146.963</v>
      </c>
    </row>
    <row r="63" spans="1:11">
      <c r="A63" s="446" t="s">
        <v>458</v>
      </c>
      <c r="B63" s="468">
        <v>-4</v>
      </c>
      <c r="C63" s="468">
        <v>-62</v>
      </c>
      <c r="D63" s="468">
        <v>-243</v>
      </c>
      <c r="E63" s="468">
        <v>-380</v>
      </c>
      <c r="F63" s="468">
        <v>-1</v>
      </c>
      <c r="G63" s="468">
        <v>-91</v>
      </c>
      <c r="H63" s="468">
        <v>-167.21799999999999</v>
      </c>
      <c r="I63" s="468">
        <v>-52.362000000000002</v>
      </c>
      <c r="J63" s="468">
        <v>-42.109000000000002</v>
      </c>
      <c r="K63" s="468">
        <v>-64.349999999999994</v>
      </c>
    </row>
    <row r="64" spans="1:11">
      <c r="A64" s="445" t="s">
        <v>459</v>
      </c>
      <c r="B64" s="466">
        <v>-6</v>
      </c>
      <c r="C64" s="463">
        <v>20</v>
      </c>
      <c r="D64" s="463">
        <v>145</v>
      </c>
      <c r="E64" s="463">
        <v>113</v>
      </c>
      <c r="F64" s="466">
        <v>-247</v>
      </c>
      <c r="G64" s="466">
        <v>-310</v>
      </c>
      <c r="H64" s="466">
        <v>-211.76300000000001</v>
      </c>
      <c r="I64" s="463">
        <v>56.462000000000003</v>
      </c>
      <c r="J64" s="466">
        <v>-43.033999999999999</v>
      </c>
      <c r="K64" s="466">
        <v>-85.436999999999998</v>
      </c>
    </row>
    <row r="65" spans="1:11">
      <c r="A65" s="446" t="s">
        <v>460</v>
      </c>
      <c r="B65" s="468">
        <v>-2206</v>
      </c>
      <c r="C65" s="468">
        <v>-1706</v>
      </c>
      <c r="D65" s="468">
        <v>-1706</v>
      </c>
      <c r="E65" s="468">
        <v>-1706</v>
      </c>
      <c r="F65" s="468">
        <v>-794</v>
      </c>
      <c r="G65" s="468">
        <v>-794</v>
      </c>
      <c r="H65" s="468">
        <v>-775.30399999999997</v>
      </c>
      <c r="I65" s="468">
        <v>-775.30399999999997</v>
      </c>
      <c r="J65" s="468">
        <v>-774.721</v>
      </c>
      <c r="K65" s="468">
        <v>-384.27</v>
      </c>
    </row>
    <row r="66" spans="1:11">
      <c r="A66" s="442" t="s">
        <v>461</v>
      </c>
      <c r="B66" s="466">
        <v>-9686</v>
      </c>
      <c r="C66" s="466">
        <v>-6290</v>
      </c>
      <c r="D66" s="466">
        <v>-1984</v>
      </c>
      <c r="E66" s="466">
        <v>-3773</v>
      </c>
      <c r="F66" s="466">
        <v>-2916</v>
      </c>
      <c r="G66" s="466">
        <v>-3972</v>
      </c>
      <c r="H66" s="466">
        <v>-2894.9050000000002</v>
      </c>
      <c r="I66" s="466">
        <v>-1808.471</v>
      </c>
      <c r="J66" s="466">
        <v>-2951.2040000000002</v>
      </c>
      <c r="K66" s="466">
        <v>-651.49</v>
      </c>
    </row>
    <row r="67" spans="1:11">
      <c r="A67" s="449" t="s">
        <v>462</v>
      </c>
      <c r="B67" s="462">
        <v>7</v>
      </c>
      <c r="C67" s="462">
        <v>7</v>
      </c>
      <c r="D67" s="462">
        <v>6</v>
      </c>
      <c r="E67" s="462">
        <v>7</v>
      </c>
      <c r="F67" s="462">
        <v>6</v>
      </c>
      <c r="G67" s="462">
        <v>4</v>
      </c>
      <c r="H67" s="462">
        <v>9.8219999999999992</v>
      </c>
      <c r="I67" s="462">
        <v>0</v>
      </c>
      <c r="J67" s="462">
        <v>0</v>
      </c>
      <c r="K67" s="462">
        <v>0</v>
      </c>
    </row>
    <row r="68" spans="1:11">
      <c r="A68" s="442" t="s">
        <v>463</v>
      </c>
      <c r="B68" s="466">
        <v>-9679</v>
      </c>
      <c r="C68" s="466">
        <v>-6283</v>
      </c>
      <c r="D68" s="466">
        <v>-1978</v>
      </c>
      <c r="E68" s="466">
        <v>-3766</v>
      </c>
      <c r="F68" s="466">
        <v>-2910</v>
      </c>
      <c r="G68" s="466">
        <v>-3968</v>
      </c>
      <c r="H68" s="466">
        <v>-2885.0830000000001</v>
      </c>
      <c r="I68" s="466">
        <v>-1808.471</v>
      </c>
      <c r="J68" s="466">
        <v>-2951.2040000000002</v>
      </c>
      <c r="K68" s="466">
        <v>-651.49</v>
      </c>
    </row>
    <row r="69" spans="1:11">
      <c r="A69" s="455" t="s">
        <v>464</v>
      </c>
      <c r="B69" s="462">
        <v>22909</v>
      </c>
      <c r="C69" s="462">
        <v>25586</v>
      </c>
      <c r="D69" s="462">
        <v>19970</v>
      </c>
      <c r="E69" s="462">
        <v>18107</v>
      </c>
      <c r="F69" s="462">
        <v>19315</v>
      </c>
      <c r="G69" s="462">
        <v>18395</v>
      </c>
      <c r="H69" s="462">
        <v>16254.731</v>
      </c>
      <c r="I69" s="462">
        <v>12197.467000000001</v>
      </c>
      <c r="J69" s="462">
        <v>9975.6610000000001</v>
      </c>
      <c r="K69" s="462">
        <v>10726.277</v>
      </c>
    </row>
    <row r="70" spans="1:11">
      <c r="A70" s="438" t="s">
        <v>359</v>
      </c>
      <c r="B70" s="438"/>
      <c r="C70" s="438"/>
      <c r="D70" s="438"/>
      <c r="E70" s="438"/>
      <c r="F70" s="438"/>
      <c r="G70" s="438"/>
      <c r="H70" s="438"/>
      <c r="I70" s="438"/>
      <c r="J70" s="438"/>
      <c r="K70" s="438"/>
    </row>
    <row r="71" spans="1:11">
      <c r="A71" s="455" t="s">
        <v>465</v>
      </c>
      <c r="B71" s="453">
        <v>-171.81179</v>
      </c>
      <c r="C71" s="453">
        <v>-111.88947</v>
      </c>
      <c r="D71" s="453">
        <v>-35.872579999999999</v>
      </c>
      <c r="E71" s="453">
        <v>-69.406319999999994</v>
      </c>
      <c r="F71" s="453">
        <v>-52.821420000000003</v>
      </c>
      <c r="G71" s="453">
        <v>-72.996189999999999</v>
      </c>
      <c r="H71" s="453">
        <v>-54.148850000000003</v>
      </c>
      <c r="I71" s="453">
        <v>-34.293979999999998</v>
      </c>
      <c r="J71" s="453">
        <v>-56.82555</v>
      </c>
      <c r="K71" s="453">
        <v>-12.215120000000001</v>
      </c>
    </row>
    <row r="72" spans="1:11">
      <c r="A72" s="454" t="s">
        <v>466</v>
      </c>
      <c r="B72" s="450">
        <v>-421.31671</v>
      </c>
      <c r="C72" s="450">
        <v>-358.52658400000001</v>
      </c>
      <c r="D72" s="450">
        <v>-248.05234899999999</v>
      </c>
      <c r="E72" s="450">
        <v>-278.949746</v>
      </c>
      <c r="F72" s="450">
        <v>-258.58224000000001</v>
      </c>
      <c r="G72" s="450">
        <v>-265.943556</v>
      </c>
      <c r="H72" s="450">
        <v>-251.74575899999999</v>
      </c>
      <c r="I72" s="450">
        <v>-186.21947800000001</v>
      </c>
      <c r="J72" s="450">
        <v>-200.529775</v>
      </c>
      <c r="K72" s="450">
        <v>-151.782613</v>
      </c>
    </row>
    <row r="73" spans="1:11">
      <c r="A73" s="464" t="s">
        <v>367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900d02-bfa4-4031-90cf-f140c05c28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589CED3A06E479A109998C02F4E5E" ma:contentTypeVersion="5" ma:contentTypeDescription="Create a new document." ma:contentTypeScope="" ma:versionID="a04da67be9e4c411e06746a62a1ec587">
  <xsd:schema xmlns:xsd="http://www.w3.org/2001/XMLSchema" xmlns:xs="http://www.w3.org/2001/XMLSchema" xmlns:p="http://schemas.microsoft.com/office/2006/metadata/properties" xmlns:ns3="5a900d02-bfa4-4031-90cf-f140c05c2832" targetNamespace="http://schemas.microsoft.com/office/2006/metadata/properties" ma:root="true" ma:fieldsID="fef140ca7880a354a0e51644bba34970" ns3:_="">
    <xsd:import namespace="5a900d02-bfa4-4031-90cf-f140c05c28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00d02-bfa4-4031-90cf-f140c05c28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D8F9B3-AE37-4015-9FAF-A53B626DB60F}"/>
</file>

<file path=customXml/itemProps2.xml><?xml version="1.0" encoding="utf-8"?>
<ds:datastoreItem xmlns:ds="http://schemas.openxmlformats.org/officeDocument/2006/customXml" ds:itemID="{714BD508-7539-431F-A3A6-30DC5BE8A57C}"/>
</file>

<file path=customXml/itemProps3.xml><?xml version="1.0" encoding="utf-8"?>
<ds:datastoreItem xmlns:ds="http://schemas.openxmlformats.org/officeDocument/2006/customXml" ds:itemID="{223ABABF-9396-45D7-8762-FF739018B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Cheung</dc:creator>
  <cp:keywords/>
  <dc:description/>
  <cp:lastModifiedBy/>
  <cp:revision/>
  <dcterms:created xsi:type="dcterms:W3CDTF">2022-03-15T03:19:17Z</dcterms:created>
  <dcterms:modified xsi:type="dcterms:W3CDTF">2026-04-08T04:58:19Z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0x010100FDD589CED3A06E479A109998C02F4E5E</vt:lpwstr>
  </property>
</Properties>
</file>