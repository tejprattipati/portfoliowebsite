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66925"/>
  <mc:AlternateContent xmlns:mc="http://schemas.openxmlformats.org/markup-compatibility/2006">
    <mc:Choice Requires="x15">
      <x15ac:absPath xmlns:x15ac="http://schemas.microsoft.com/office/spreadsheetml/2010/11/ac" url="/Users/Eddie/Downloads/"/>
    </mc:Choice>
  </mc:AlternateContent>
  <xr:revisionPtr revIDLastSave="0" documentId="8_{DCAB045F-9407-C440-8DF8-A6F7D25B7F9A}" xr6:coauthVersionLast="47" xr6:coauthVersionMax="47" xr10:uidLastSave="{00000000-0000-0000-0000-000000000000}"/>
  <bookViews>
    <workbookView xWindow="0" yWindow="660" windowWidth="30240" windowHeight="17660" activeTab="7" xr2:uid="{0278CD55-8866-460C-98E7-B5D1C9FEDCB3}"/>
  </bookViews>
  <sheets>
    <sheet name="Cover Pg." sheetId="9" r:id="rId1"/>
    <sheet name="IS" sheetId="25" r:id="rId2"/>
    <sheet name="BS" sheetId="30" r:id="rId3"/>
    <sheet name="CFS" sheetId="26" r:id="rId4"/>
    <sheet name="Revenue Build" sheetId="20" r:id="rId5"/>
    <sheet name="Case Assumptions" sheetId="13" r:id="rId6"/>
    <sheet name="Operating Model" sheetId="24" r:id="rId7"/>
    <sheet name="Working Cap Schedule" sheetId="27" r:id="rId8"/>
    <sheet name="Public Comps Analysis" sheetId="10" r:id="rId9"/>
    <sheet name="WACC" sheetId="6" r:id="rId10"/>
    <sheet name="DCF" sheetId="7" r:id="rId11"/>
    <sheet name="Consensus" sheetId="28" r:id="rId12"/>
  </sheets>
  <definedNames>
    <definedName name="__FDS_HYPERLINK_TOGGLE_STATE__" hidden="1">"ON"</definedName>
    <definedName name="_Key1" hidden="1">#REF!</definedName>
    <definedName name="_Order1" hidden="1">255</definedName>
    <definedName name="_Sort" hidden="1">#REF!</definedName>
    <definedName name="_Table2_In1" hidden="1">#REF!</definedName>
    <definedName name="_Table2_In2" hidden="1">#REF!</definedName>
    <definedName name="_Table2_Out" hidden="1">#REF!</definedName>
    <definedName name="adjebitda">#REF!</definedName>
    <definedName name="Annualization_Factor">#REF!</definedName>
    <definedName name="Aple">#REF!</definedName>
    <definedName name="arn.sale" localSheetId="8" hidden="1">{"sales",#N/A,FALSE,"Sales";"sales existing",#N/A,FALSE,"Sales";"sales rd1",#N/A,FALSE,"Sales";"sales rd2",#N/A,FALSE,"Sales"}</definedName>
    <definedName name="arn.sale" hidden="1">{"sales",#N/A,FALSE,"Sales";"sales existing",#N/A,FALSE,"Sales";"sales rd1",#N/A,FALSE,"Sales";"sales rd2",#N/A,FALSE,"Sales"}</definedName>
    <definedName name="cc">#REF!</definedName>
    <definedName name="ccc">#REF!</definedName>
    <definedName name="ccccc">#REF!</definedName>
    <definedName name="cccccc">#REF!</definedName>
    <definedName name="ccccccccccccc">#REF!</definedName>
    <definedName name="ccccccccccccccc">#REF!</definedName>
    <definedName name="ccccccccccccccccccccc">#REF!</definedName>
    <definedName name="ccccccccccccccccccccccccccc">#REF!</definedName>
    <definedName name="CIQWBGuid" hidden="1">"Copy of PCVR Working Comps_1249511_14 (CFFP_Chicago).xlsx"</definedName>
    <definedName name="Comps"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Comps"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#REF!</definedName>
    <definedName name="dadf">#REF!</definedName>
    <definedName name="DATA_01">#REF!</definedName>
    <definedName name="DATA_02">#REF!</definedName>
    <definedName name="DATA_03">#REF!</definedName>
    <definedName name="DATA_04">#REF!</definedName>
    <definedName name="DATA_05">#REF!</definedName>
    <definedName name="DATA_06">#REF!</definedName>
    <definedName name="DCF">#REF!</definedName>
    <definedName name="dddd">#REF!</definedName>
    <definedName name="f">#REF!</definedName>
    <definedName name="fafdssadf">#REF!</definedName>
    <definedName name="h">#REF!</definedName>
    <definedName name="Help">#REF!</definedName>
    <definedName name="hh">#REF!</definedName>
    <definedName name="hhhhh">#REF!</definedName>
    <definedName name="hhhhhhhhhhhhhhhhh">#REF!</definedName>
    <definedName name="i">#REF!</definedName>
    <definedName name="IntroPrintArea">#REF!</definedName>
    <definedName name="IntroPrintArea2">#REF!</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EXPENSE_CODE_" hidden="1">"Business Development"</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44511.8700578704</definedName>
    <definedName name="IQ_NTM">6000</definedName>
    <definedName name="IQ_OG_TOTAL_OIL_PRODUCTON" hidden="1">"c2059"</definedName>
    <definedName name="IQ_OPENED55" hidden="1">1</definedName>
    <definedName name="IQ_QTD" hidden="1">750000</definedName>
    <definedName name="IQ_SHAREOUTSTANDING" hidden="1">"c1347"</definedName>
    <definedName name="IQ_TODAY" hidden="1">0</definedName>
    <definedName name="IQ_TOTAL_PENSION_OBLIGATION" hidden="1">"c1292"</definedName>
    <definedName name="IQ_WEEK">50000</definedName>
    <definedName name="IQ_YTD">3000</definedName>
    <definedName name="IQ_YTDMONTH" hidden="1">130000</definedName>
    <definedName name="IQRAB9" hidden="1">"$AB$10:$AB$13"</definedName>
    <definedName name="j">#REF!</definedName>
    <definedName name="lkjh">#REF!</definedName>
    <definedName name="Look1Area">#REF!</definedName>
    <definedName name="Look1Area2">#REF!</definedName>
    <definedName name="Look2Area">#REF!</definedName>
    <definedName name="Look2Area2">#REF!</definedName>
    <definedName name="Look3Area">#REF!</definedName>
    <definedName name="Look3Area3">#REF!</definedName>
    <definedName name="Look4Area">#REF!</definedName>
    <definedName name="Look4Area2">#REF!</definedName>
    <definedName name="Look5Area">#REF!</definedName>
    <definedName name="Look5Area2">#REF!</definedName>
    <definedName name="m">#REF!</definedName>
    <definedName name="ODEAaldksf">#REF!</definedName>
    <definedName name="PurchasePrice">#REF!</definedName>
    <definedName name="q">#REF!</definedName>
    <definedName name="qq">#REF!</definedName>
    <definedName name="qqq">#REF!</definedName>
    <definedName name="qqqq">#REF!</definedName>
    <definedName name="qqqqqq">#REF!</definedName>
    <definedName name="rr">#REF!</definedName>
    <definedName name="rrrrrrr">#REF!</definedName>
    <definedName name="rrrrrrrrrrr">#REF!</definedName>
    <definedName name="rrrrrrrrrrrrrrrrrr">#REF!</definedName>
    <definedName name="sdf">#REF!</definedName>
    <definedName name="SelTrans_DE">#REF!</definedName>
    <definedName name="SelTrans_Price">#REF!</definedName>
    <definedName name="SelTrans_PriceToDE">#REF!</definedName>
    <definedName name="SelTrans_PriceToSales">#REF!</definedName>
    <definedName name="SelTrans_Sales">#REF!</definedName>
    <definedName name="t">#REF!</definedName>
    <definedName name="TemplatePrintArea">#REF!</definedName>
    <definedName name="TemplatePrintArea2">#REF!</definedName>
    <definedName name="tgr">DCF!#REF!</definedName>
    <definedName name="TransSel_DE">#REF!</definedName>
    <definedName name="TransSel_Price">#REF!</definedName>
    <definedName name="TransSel_PriceToDE">#REF!</definedName>
    <definedName name="TransSel_PriceToSales">#REF!</definedName>
    <definedName name="TransSel_Sales">#REF!</definedName>
    <definedName name="w">#REF!</definedName>
    <definedName name="wacc">DCF!#REF!</definedName>
    <definedName name="wrn.balance._.sheet." localSheetId="8" hidden="1">{"bs",#N/A,FALSE,"SCF"}</definedName>
    <definedName name="wrn.balance._.sheet." hidden="1">{"bs",#N/A,FALSE,"SCF"}</definedName>
    <definedName name="wrn.full._.report."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b"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b"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LBO._.Model._.Output." localSheetId="8" hidden="1">{#N/A,#N/A,FALSE,"Cover";#N/A,#N/A,FALSE,"Summary";#N/A,#N/A,FALSE,"IS";#N/A,#N/A,FALSE,"CF";#N/A,#N/A,FALSE,"BS";#N/A,#N/A,FALSE,"Detail";#N/A,#N/A,FALSE,"IRR"}</definedName>
    <definedName name="wrn.LBO._.Model._.Output." hidden="1">{#N/A,#N/A,FALSE,"Cover";#N/A,#N/A,FALSE,"Summary";#N/A,#N/A,FALSE,"IS";#N/A,#N/A,FALSE,"CF";#N/A,#N/A,FALSE,"BS";#N/A,#N/A,FALSE,"Detail";#N/A,#N/A,FALSE,"IRR"}</definedName>
    <definedName name="wrn.sales." localSheetId="8" hidden="1">{"sales",#N/A,FALSE,"Sales";"sales existing",#N/A,FALSE,"Sales";"sales rd1",#N/A,FALSE,"Sales";"sales rd2",#N/A,FALSE,"Sales"}</definedName>
    <definedName name="wrn.sales." hidden="1">{"sales",#N/A,FALSE,"Sales";"sales existing",#N/A,FALSE,"Sales";"sales rd1",#N/A,FALSE,"Sales";"sales rd2",#N/A,FALSE,"Sales"}</definedName>
    <definedName name="wrn.sales.b" localSheetId="8" hidden="1">{"sales",#N/A,FALSE,"Sales";"sales existing",#N/A,FALSE,"Sales";"sales rd1",#N/A,FALSE,"Sales";"sales rd2",#N/A,FALSE,"Sales"}</definedName>
    <definedName name="wrn.sales.b" hidden="1">{"sales",#N/A,FALSE,"Sales";"sales existing",#N/A,FALSE,"Sales";"sales rd1",#N/A,FALSE,"Sales";"sales rd2",#N/A,FALSE,"Sales"}</definedName>
    <definedName name="x">#REF!</definedName>
    <definedName name="xx">#REF!</definedName>
    <definedName name="xxx">#REF!</definedName>
    <definedName name="xxxx">#REF!</definedName>
    <definedName name="xxxxx">#REF!</definedName>
    <definedName name="xxxxxx">#REF!</definedName>
    <definedName name="xxxxxxx" localSheetId="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xxxxxxx"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xxxxxxxxx" localSheetId="8" hidden="1">{"sales",#N/A,FALSE,"Sales";"sales existing",#N/A,FALSE,"Sales";"sales rd1",#N/A,FALSE,"Sales";"sales rd2",#N/A,FALSE,"Sales"}</definedName>
    <definedName name="xxxxxxxxx" hidden="1">{"sales",#N/A,FALSE,"Sales";"sales existing",#N/A,FALSE,"Sales";"sales rd1",#N/A,FALSE,"Sales";"sales rd2",#N/A,FALSE,"Sales"}</definedName>
    <definedName name="xxxxxxxxxxxx">#REF!</definedName>
    <definedName name="Years_of_projection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9" i="28" l="1"/>
  <c r="F10" i="6"/>
  <c r="AE24" i="10" a="1"/>
  <c r="AE24" i="10" s="1"/>
  <c r="O16" i="7"/>
  <c r="F13" i="6"/>
  <c r="S41" i="7"/>
  <c r="R41" i="7"/>
  <c r="Q41" i="7"/>
  <c r="P41" i="7"/>
  <c r="O41" i="7"/>
  <c r="S48" i="7"/>
  <c r="M6" i="7"/>
  <c r="L19" i="27"/>
  <c r="M19" i="27"/>
  <c r="N19" i="27"/>
  <c r="K19" i="27"/>
  <c r="L16" i="27"/>
  <c r="M16" i="27"/>
  <c r="N16" i="27"/>
  <c r="K16" i="27"/>
  <c r="L10" i="27"/>
  <c r="M10" i="27"/>
  <c r="N10" i="27"/>
  <c r="K10" i="27"/>
  <c r="L7" i="27"/>
  <c r="M7" i="27"/>
  <c r="N7" i="27"/>
  <c r="K7" i="27"/>
  <c r="D39" i="24"/>
  <c r="E39" i="24"/>
  <c r="F39" i="24"/>
  <c r="G39" i="24"/>
  <c r="H39" i="24"/>
  <c r="I39" i="24"/>
  <c r="J39" i="24"/>
  <c r="K39" i="24"/>
  <c r="L39" i="24"/>
  <c r="C39" i="24"/>
  <c r="C38" i="24"/>
  <c r="J33" i="24"/>
  <c r="D33" i="24"/>
  <c r="E33" i="24"/>
  <c r="F33" i="24"/>
  <c r="G33" i="24"/>
  <c r="H33" i="24"/>
  <c r="I33" i="24"/>
  <c r="K33" i="24"/>
  <c r="L33" i="24"/>
  <c r="C33" i="24"/>
  <c r="D35" i="24"/>
  <c r="E35" i="24"/>
  <c r="F35" i="24"/>
  <c r="G35" i="24"/>
  <c r="H35" i="24"/>
  <c r="I35" i="24"/>
  <c r="J35" i="24"/>
  <c r="K35" i="24"/>
  <c r="L35" i="24"/>
  <c r="C35" i="24"/>
  <c r="F44" i="13"/>
  <c r="G44" i="13"/>
  <c r="H44" i="13"/>
  <c r="I44" i="13"/>
  <c r="J44" i="13"/>
  <c r="K44" i="13"/>
  <c r="L44" i="13"/>
  <c r="M44" i="13"/>
  <c r="N44" i="13"/>
  <c r="E44" i="13"/>
  <c r="F33" i="13"/>
  <c r="G33" i="13"/>
  <c r="H33" i="13"/>
  <c r="I33" i="13"/>
  <c r="J33" i="13"/>
  <c r="K33" i="13"/>
  <c r="L33" i="13"/>
  <c r="M33" i="13"/>
  <c r="N33" i="13"/>
  <c r="E33" i="13"/>
  <c r="N21" i="13"/>
  <c r="M21" i="13"/>
  <c r="L21" i="13"/>
  <c r="K21" i="13"/>
  <c r="J21" i="13"/>
  <c r="I21" i="13"/>
  <c r="H21" i="13"/>
  <c r="G21" i="13"/>
  <c r="F21" i="13"/>
  <c r="E21" i="13"/>
  <c r="N15" i="13"/>
  <c r="M15" i="13"/>
  <c r="L15" i="13"/>
  <c r="K15" i="13"/>
  <c r="J15" i="13"/>
  <c r="I15" i="13"/>
  <c r="H15" i="13"/>
  <c r="G15" i="13"/>
  <c r="F15" i="13"/>
  <c r="E15" i="13"/>
  <c r="N9" i="13"/>
  <c r="M9" i="13"/>
  <c r="L9" i="13"/>
  <c r="K9" i="13"/>
  <c r="J9" i="13"/>
  <c r="I9" i="13"/>
  <c r="H9" i="13"/>
  <c r="G9" i="13"/>
  <c r="F9" i="13"/>
  <c r="E9" i="13"/>
  <c r="B32" i="10" l="1" a="1"/>
  <c r="B32" i="10" s="1"/>
  <c r="B33" i="10" a="1"/>
  <c r="B33" i="10" s="1"/>
  <c r="Q32" i="10" a="1"/>
  <c r="Q32" i="10" s="1"/>
  <c r="N32" i="10" a="1"/>
  <c r="N32" i="10" s="1"/>
  <c r="N33" i="10" a="1"/>
  <c r="N33" i="10" s="1"/>
  <c r="L32" i="10" a="1"/>
  <c r="L32" i="10" s="1"/>
  <c r="K32" i="10" a="1"/>
  <c r="K32" i="10" s="1"/>
  <c r="J32" i="10" a="1"/>
  <c r="J32" i="10" s="1"/>
  <c r="G32" i="10" a="1"/>
  <c r="G32" i="10" s="1"/>
  <c r="F32" i="10" a="1"/>
  <c r="F32" i="10" s="1"/>
  <c r="E32" i="10" a="1"/>
  <c r="E32" i="10" s="1"/>
  <c r="AF32" i="10" s="1" a="1"/>
  <c r="AF32" i="10" s="1"/>
  <c r="E33" i="10" a="1"/>
  <c r="E33" i="10" s="1"/>
  <c r="AF33" i="10" s="1" a="1"/>
  <c r="AF33" i="10" s="1"/>
  <c r="D31" i="10"/>
  <c r="R31" i="10" s="1" a="1"/>
  <c r="R31" i="10" s="1"/>
  <c r="D32" i="10"/>
  <c r="R32" i="10" s="1" a="1"/>
  <c r="R32" i="10" s="1"/>
  <c r="D33" i="10"/>
  <c r="R33" i="10" s="1" a="1"/>
  <c r="R33" i="10" s="1"/>
  <c r="AC53" i="10" a="1"/>
  <c r="AC53" i="10" s="1"/>
  <c r="AA53" i="10"/>
  <c r="AE53" i="10" s="1" a="1"/>
  <c r="AE53" i="10" s="1"/>
  <c r="O40" i="7"/>
  <c r="Q57" i="7"/>
  <c r="R57" i="7" s="1"/>
  <c r="S57" i="7" s="1"/>
  <c r="S47" i="7"/>
  <c r="J27" i="27"/>
  <c r="X32" i="10" l="1"/>
  <c r="U32" i="10"/>
  <c r="AE33" i="10" a="1"/>
  <c r="AE33" i="10" s="1"/>
  <c r="AE32" i="10" a="1"/>
  <c r="AE32" i="10" s="1"/>
  <c r="Y32" i="10"/>
  <c r="T32" i="10"/>
  <c r="K31" i="10" a="1"/>
  <c r="K31" i="10" s="1"/>
  <c r="F31" i="10" a="1"/>
  <c r="F31" i="10" s="1"/>
  <c r="B31" i="10" a="1"/>
  <c r="B31" i="10" s="1"/>
  <c r="P33" i="10" a="1"/>
  <c r="P33" i="10" s="1"/>
  <c r="E31" i="10" a="1"/>
  <c r="E31" i="10" s="1"/>
  <c r="H32" i="10" a="1"/>
  <c r="H32" i="10" s="1"/>
  <c r="L33" i="10" a="1"/>
  <c r="L33" i="10" s="1"/>
  <c r="N31" i="10" a="1"/>
  <c r="N31" i="10" s="1"/>
  <c r="P32" i="10" a="1"/>
  <c r="P32" i="10" s="1"/>
  <c r="W32" i="10" s="1"/>
  <c r="H31" i="10" a="1"/>
  <c r="H31" i="10" s="1"/>
  <c r="O33" i="10" a="1"/>
  <c r="O33" i="10" s="1"/>
  <c r="P31" i="10" a="1"/>
  <c r="P31" i="10" s="1"/>
  <c r="H33" i="10" a="1"/>
  <c r="H33" i="10" s="1"/>
  <c r="F33" i="10" a="1"/>
  <c r="F33" i="10" s="1"/>
  <c r="AA54" i="10"/>
  <c r="J33" i="10" a="1"/>
  <c r="J33" i="10" s="1"/>
  <c r="L31" i="10" a="1"/>
  <c r="L31" i="10" s="1"/>
  <c r="O32" i="10" a="1"/>
  <c r="O32" i="10" s="1"/>
  <c r="V32" i="10" s="1"/>
  <c r="Q33" i="10" a="1"/>
  <c r="Q33" i="10" s="1"/>
  <c r="G31" i="10" a="1"/>
  <c r="G31" i="10" s="1"/>
  <c r="M33" i="10" a="1"/>
  <c r="M33" i="10" s="1"/>
  <c r="O31" i="10" a="1"/>
  <c r="O31" i="10" s="1"/>
  <c r="AA52" i="10"/>
  <c r="G33" i="10" a="1"/>
  <c r="G33" i="10" s="1"/>
  <c r="J31" i="10" a="1"/>
  <c r="J31" i="10" s="1"/>
  <c r="M32" i="10" a="1"/>
  <c r="M32" i="10" s="1"/>
  <c r="Q31" i="10" a="1"/>
  <c r="Q31" i="10" s="1"/>
  <c r="K33" i="10" a="1"/>
  <c r="K33" i="10" s="1"/>
  <c r="M31" i="10" a="1"/>
  <c r="M31" i="10" s="1"/>
  <c r="AF53" i="10"/>
  <c r="P57" i="7"/>
  <c r="O57" i="7" s="1"/>
  <c r="V31" i="10" l="1"/>
  <c r="U31" i="10"/>
  <c r="T31" i="10"/>
  <c r="U33" i="10"/>
  <c r="W33" i="10"/>
  <c r="X31" i="10"/>
  <c r="AC32" i="10"/>
  <c r="AD32" i="10"/>
  <c r="AC33" i="10"/>
  <c r="AD33" i="10"/>
  <c r="AC31" i="10"/>
  <c r="AD31" i="10"/>
  <c r="AF31" i="10" a="1"/>
  <c r="AF31" i="10" s="1"/>
  <c r="AE31" i="10" a="1"/>
  <c r="AE31" i="10" s="1"/>
  <c r="W31" i="10"/>
  <c r="AB32" i="10"/>
  <c r="AA32" i="10"/>
  <c r="AB33" i="10"/>
  <c r="AA33" i="10"/>
  <c r="AC52" i="10" a="1"/>
  <c r="AC52" i="10" s="1"/>
  <c r="AE52" i="10" a="1"/>
  <c r="AE52" i="10" s="1"/>
  <c r="AC54" i="10" a="1"/>
  <c r="AC54" i="10" s="1"/>
  <c r="AE54" i="10" a="1"/>
  <c r="AE54" i="10" s="1"/>
  <c r="T33" i="10"/>
  <c r="X33" i="10"/>
  <c r="V33" i="10"/>
  <c r="AB31" i="10"/>
  <c r="AA31" i="10"/>
  <c r="Y31" i="10"/>
  <c r="Y33" i="10"/>
  <c r="AF54" i="10" l="1"/>
  <c r="AF52" i="10"/>
  <c r="L13" i="27" l="1"/>
  <c r="M13" i="27"/>
  <c r="N13" i="27"/>
  <c r="B22" i="27"/>
  <c r="E18" i="7"/>
  <c r="O24" i="7"/>
  <c r="J23" i="7"/>
  <c r="O5" i="20"/>
  <c r="N5" i="20" s="1"/>
  <c r="H38" i="24"/>
  <c r="F23" i="7"/>
  <c r="G23" i="7"/>
  <c r="K23" i="7"/>
  <c r="L23" i="7"/>
  <c r="M23" i="7"/>
  <c r="N23" i="7"/>
  <c r="E23" i="7"/>
  <c r="G38" i="24"/>
  <c r="F27" i="24"/>
  <c r="O28" i="13"/>
  <c r="J27" i="24"/>
  <c r="D25" i="24"/>
  <c r="E25" i="24"/>
  <c r="F25" i="24"/>
  <c r="G25" i="24"/>
  <c r="H25" i="24"/>
  <c r="I25" i="24"/>
  <c r="J25" i="24"/>
  <c r="K25" i="24"/>
  <c r="L25" i="24"/>
  <c r="C25" i="24"/>
  <c r="S45" i="13"/>
  <c r="R45" i="13"/>
  <c r="Q45" i="13"/>
  <c r="P45" i="13"/>
  <c r="O45" i="13"/>
  <c r="F31" i="7"/>
  <c r="G31" i="7"/>
  <c r="H31" i="7"/>
  <c r="I31" i="7"/>
  <c r="J31" i="7"/>
  <c r="K31" i="7"/>
  <c r="L31" i="7"/>
  <c r="M31" i="7"/>
  <c r="N31" i="7"/>
  <c r="E31" i="7"/>
  <c r="S22" i="13"/>
  <c r="R22" i="13"/>
  <c r="Q22" i="13"/>
  <c r="P22" i="13"/>
  <c r="E18" i="24"/>
  <c r="F18" i="24"/>
  <c r="G18" i="24"/>
  <c r="H18" i="24"/>
  <c r="I18" i="24"/>
  <c r="L18" i="24"/>
  <c r="C18" i="24"/>
  <c r="S10" i="13"/>
  <c r="P10" i="13"/>
  <c r="Q10" i="13"/>
  <c r="R10" i="13"/>
  <c r="D15" i="24"/>
  <c r="F28" i="7" s="1"/>
  <c r="E15" i="24"/>
  <c r="G28" i="7" s="1"/>
  <c r="F15" i="24"/>
  <c r="G15" i="24"/>
  <c r="I28" i="7" s="1"/>
  <c r="H15" i="24"/>
  <c r="J28" i="7" s="1"/>
  <c r="I15" i="24"/>
  <c r="K28" i="7" s="1"/>
  <c r="J15" i="24"/>
  <c r="L28" i="7" s="1"/>
  <c r="K15" i="24"/>
  <c r="M28" i="7" s="1"/>
  <c r="L15" i="24"/>
  <c r="N28" i="7" s="1"/>
  <c r="C15" i="24"/>
  <c r="E28" i="7" s="1"/>
  <c r="P13" i="13"/>
  <c r="Q13" i="13"/>
  <c r="R13" i="13"/>
  <c r="S13" i="13"/>
  <c r="P11" i="13"/>
  <c r="Q11" i="13"/>
  <c r="R11" i="13"/>
  <c r="S11" i="13"/>
  <c r="D9" i="24"/>
  <c r="E9" i="24"/>
  <c r="F9" i="24"/>
  <c r="G9" i="24"/>
  <c r="H9" i="24"/>
  <c r="I9" i="24"/>
  <c r="K9" i="24"/>
  <c r="L9" i="24"/>
  <c r="C9" i="24"/>
  <c r="P7" i="20"/>
  <c r="Q7" i="20"/>
  <c r="R7" i="20"/>
  <c r="S7" i="20"/>
  <c r="O7" i="20"/>
  <c r="K13" i="27" l="1"/>
  <c r="E38" i="24"/>
  <c r="K38" i="24"/>
  <c r="F38" i="24"/>
  <c r="J38" i="24"/>
  <c r="L38" i="24"/>
  <c r="I38" i="24"/>
  <c r="F16" i="24"/>
  <c r="L10" i="24"/>
  <c r="L25" i="27"/>
  <c r="L27" i="27" s="1"/>
  <c r="M25" i="27"/>
  <c r="M27" i="27" s="1"/>
  <c r="K25" i="27"/>
  <c r="K27" i="27" s="1"/>
  <c r="N25" i="27"/>
  <c r="N27" i="27" s="1"/>
  <c r="J36" i="24"/>
  <c r="L24" i="7" s="1"/>
  <c r="I34" i="13"/>
  <c r="I36" i="24"/>
  <c r="K24" i="7" s="1"/>
  <c r="H36" i="24"/>
  <c r="J24" i="7" s="1"/>
  <c r="G36" i="24"/>
  <c r="I24" i="7" s="1"/>
  <c r="F36" i="24"/>
  <c r="H24" i="7" s="1"/>
  <c r="M34" i="13"/>
  <c r="D38" i="24"/>
  <c r="F19" i="24"/>
  <c r="K34" i="13"/>
  <c r="N34" i="13"/>
  <c r="K27" i="24"/>
  <c r="E36" i="24"/>
  <c r="G24" i="7" s="1"/>
  <c r="C36" i="24"/>
  <c r="E24" i="7" s="1"/>
  <c r="L36" i="24"/>
  <c r="N24" i="7" s="1"/>
  <c r="I23" i="7"/>
  <c r="G19" i="24"/>
  <c r="J34" i="13"/>
  <c r="K36" i="24"/>
  <c r="H23" i="7"/>
  <c r="D36" i="24"/>
  <c r="F24" i="7" s="1"/>
  <c r="I16" i="24"/>
  <c r="N20" i="27"/>
  <c r="N17" i="27"/>
  <c r="N23" i="27"/>
  <c r="H34" i="13"/>
  <c r="H28" i="7"/>
  <c r="G34" i="13"/>
  <c r="F34" i="13"/>
  <c r="K20" i="27"/>
  <c r="K17" i="27"/>
  <c r="K23" i="27"/>
  <c r="E34" i="13"/>
  <c r="P16" i="7"/>
  <c r="Q16" i="7" s="1"/>
  <c r="R16" i="7" s="1"/>
  <c r="S16" i="7" s="1"/>
  <c r="H41" i="10"/>
  <c r="D41" i="10"/>
  <c r="O5" i="27"/>
  <c r="O5" i="13"/>
  <c r="M5" i="24"/>
  <c r="L5" i="24" s="1"/>
  <c r="N16" i="7"/>
  <c r="L20" i="10"/>
  <c r="I27" i="24"/>
  <c r="C27" i="24"/>
  <c r="H27" i="24"/>
  <c r="L34" i="13"/>
  <c r="G27" i="24"/>
  <c r="E16" i="24"/>
  <c r="E27" i="24"/>
  <c r="I10" i="24"/>
  <c r="I19" i="24"/>
  <c r="L27" i="24"/>
  <c r="D27" i="24"/>
  <c r="D10" i="24"/>
  <c r="D16" i="24"/>
  <c r="E10" i="24"/>
  <c r="G16" i="24"/>
  <c r="H10" i="24"/>
  <c r="J16" i="24"/>
  <c r="H19" i="24"/>
  <c r="G10" i="24"/>
  <c r="L16" i="24"/>
  <c r="F10" i="24"/>
  <c r="H16" i="24"/>
  <c r="K16" i="24"/>
  <c r="D18" i="24"/>
  <c r="K18" i="24"/>
  <c r="J18" i="24"/>
  <c r="J9" i="24"/>
  <c r="N28" i="27" l="1"/>
  <c r="M28" i="27"/>
  <c r="L28" i="27"/>
  <c r="L19" i="24"/>
  <c r="M17" i="27"/>
  <c r="M20" i="27"/>
  <c r="M23" i="27"/>
  <c r="J19" i="24"/>
  <c r="L17" i="27"/>
  <c r="L23" i="27"/>
  <c r="L20" i="27"/>
  <c r="N36" i="24"/>
  <c r="M24" i="7"/>
  <c r="P5" i="27"/>
  <c r="Q5" i="27" s="1"/>
  <c r="R5" i="27" s="1"/>
  <c r="S5" i="27" s="1"/>
  <c r="N5" i="27"/>
  <c r="M5" i="27" s="1"/>
  <c r="L5" i="27" s="1"/>
  <c r="K5" i="27" s="1"/>
  <c r="J5" i="27" s="1"/>
  <c r="I5" i="27" s="1"/>
  <c r="H5" i="27" s="1"/>
  <c r="G5" i="27" s="1"/>
  <c r="F5" i="27" s="1"/>
  <c r="E5" i="27" s="1"/>
  <c r="M16" i="7"/>
  <c r="K20" i="10"/>
  <c r="K19" i="24"/>
  <c r="D19" i="24"/>
  <c r="E19" i="24"/>
  <c r="K10" i="24"/>
  <c r="J10" i="24"/>
  <c r="D4" i="7"/>
  <c r="D29" i="10"/>
  <c r="B29" i="10" s="1" a="1"/>
  <c r="B29" i="10" s="1"/>
  <c r="D30" i="10"/>
  <c r="D28" i="10"/>
  <c r="B28" i="10" s="1" a="1"/>
  <c r="B28" i="10" s="1"/>
  <c r="D25" i="10"/>
  <c r="F25" i="10" s="1" a="1"/>
  <c r="F25" i="10" s="1"/>
  <c r="D26" i="10"/>
  <c r="B26" i="10" s="1" a="1"/>
  <c r="B26" i="10" s="1"/>
  <c r="D27" i="10"/>
  <c r="AA48" i="10" s="1"/>
  <c r="D24" i="10"/>
  <c r="O23" i="27" l="1"/>
  <c r="O17" i="27"/>
  <c r="P17" i="27" s="1"/>
  <c r="Q17" i="27" s="1"/>
  <c r="O20" i="27"/>
  <c r="P20" i="27" s="1"/>
  <c r="O36" i="24"/>
  <c r="Q24" i="7" s="1"/>
  <c r="P24" i="7"/>
  <c r="B30" i="10" a="1"/>
  <c r="B30" i="10" s="1"/>
  <c r="Q30" i="10" a="1"/>
  <c r="Q30" i="10" s="1"/>
  <c r="R30" i="10" a="1"/>
  <c r="R30" i="10" s="1"/>
  <c r="P30" i="10" a="1"/>
  <c r="P30" i="10" s="1"/>
  <c r="P26" i="10" a="1"/>
  <c r="P26" i="10" s="1"/>
  <c r="L16" i="7"/>
  <c r="K16" i="7" s="1"/>
  <c r="J16" i="7" s="1"/>
  <c r="I16" i="7" s="1"/>
  <c r="H16" i="7" s="1"/>
  <c r="G16" i="7" s="1"/>
  <c r="F16" i="7" s="1"/>
  <c r="E16" i="7" s="1"/>
  <c r="J20" i="10"/>
  <c r="G24" i="10" a="1"/>
  <c r="G24" i="10" s="1"/>
  <c r="M25" i="10" a="1"/>
  <c r="M25" i="10" s="1"/>
  <c r="K6" i="13" a="1"/>
  <c r="K6" i="13" s="1"/>
  <c r="K12" i="20" s="1"/>
  <c r="K6" i="20" s="1"/>
  <c r="J6" i="13" a="1"/>
  <c r="J6" i="13" s="1"/>
  <c r="J13" i="27" s="1"/>
  <c r="I6" i="13" a="1"/>
  <c r="I6" i="13" s="1"/>
  <c r="I12" i="20" s="1"/>
  <c r="I6" i="20" s="1"/>
  <c r="N6" i="13" a="1"/>
  <c r="N6" i="13" s="1"/>
  <c r="N16" i="13" s="1"/>
  <c r="G6" i="13" a="1"/>
  <c r="G6" i="13" s="1"/>
  <c r="G12" i="20" s="1"/>
  <c r="G6" i="20" s="1"/>
  <c r="F6" i="13" a="1"/>
  <c r="F6" i="13" s="1"/>
  <c r="F12" i="20" s="1"/>
  <c r="F6" i="20" s="1"/>
  <c r="H6" i="13" a="1"/>
  <c r="H6" i="13" s="1"/>
  <c r="H12" i="20" s="1"/>
  <c r="H6" i="20" s="1"/>
  <c r="M6" i="13" a="1"/>
  <c r="M6" i="13" s="1"/>
  <c r="M12" i="20" s="1"/>
  <c r="M6" i="20" s="1"/>
  <c r="L6" i="13" a="1"/>
  <c r="L6" i="13" s="1"/>
  <c r="L12" i="20" s="1"/>
  <c r="L6" i="20" s="1"/>
  <c r="E6" i="13" a="1"/>
  <c r="E6" i="13" s="1"/>
  <c r="E12" i="20" s="1"/>
  <c r="E6" i="20" s="1"/>
  <c r="D22" i="10"/>
  <c r="F22" i="10" s="1" a="1"/>
  <c r="F22" i="10" s="1"/>
  <c r="O34" i="13"/>
  <c r="B24" i="10" a="1"/>
  <c r="B24" i="10" s="1"/>
  <c r="AA45" i="10"/>
  <c r="AE45" i="10" s="1" a="1"/>
  <c r="AE45" i="10" s="1"/>
  <c r="AA51" i="10"/>
  <c r="AC51" i="10" s="1" a="1"/>
  <c r="AC51" i="10" s="1"/>
  <c r="AA49" i="10"/>
  <c r="L27" i="10" a="1"/>
  <c r="L27" i="10" s="1"/>
  <c r="AA50" i="10"/>
  <c r="AC50" i="10" s="1" a="1"/>
  <c r="AC50" i="10" s="1"/>
  <c r="AC48" i="10" a="1"/>
  <c r="AC48" i="10" s="1"/>
  <c r="AA47" i="10"/>
  <c r="AA46" i="10"/>
  <c r="AE46" i="10" s="1" a="1"/>
  <c r="AE46" i="10" s="1"/>
  <c r="Q29" i="10" a="1"/>
  <c r="Q29" i="10" s="1"/>
  <c r="L28" i="10" a="1"/>
  <c r="L28" i="10" s="1"/>
  <c r="O30" i="10" a="1"/>
  <c r="O30" i="10" s="1"/>
  <c r="J25" i="10" a="1"/>
  <c r="J25" i="10" s="1"/>
  <c r="K30" i="10" a="1"/>
  <c r="K30" i="10" s="1"/>
  <c r="Q25" i="10" a="1"/>
  <c r="Q25" i="10" s="1"/>
  <c r="K25" i="10" a="1"/>
  <c r="K25" i="10" s="1"/>
  <c r="L25" i="10" a="1"/>
  <c r="L25" i="10" s="1"/>
  <c r="O29" i="10" a="1"/>
  <c r="O29" i="10" s="1"/>
  <c r="O25" i="10" a="1"/>
  <c r="O25" i="10" s="1"/>
  <c r="J27" i="10" a="1"/>
  <c r="J27" i="10" s="1"/>
  <c r="L29" i="10" a="1"/>
  <c r="L29" i="10" s="1"/>
  <c r="O28" i="10" a="1"/>
  <c r="O28" i="10" s="1"/>
  <c r="Q27" i="10" a="1"/>
  <c r="Q27" i="10" s="1"/>
  <c r="K29" i="10" a="1"/>
  <c r="K29" i="10" s="1"/>
  <c r="M29" i="10" a="1"/>
  <c r="M29" i="10" s="1"/>
  <c r="K28" i="10" a="1"/>
  <c r="K28" i="10" s="1"/>
  <c r="P29" i="10" a="1"/>
  <c r="P29" i="10" s="1"/>
  <c r="R29" i="10" a="1"/>
  <c r="R29" i="10" s="1"/>
  <c r="J30" i="10" a="1"/>
  <c r="J30" i="10" s="1"/>
  <c r="N30" i="10" a="1"/>
  <c r="N30" i="10" s="1"/>
  <c r="P25" i="10" a="1"/>
  <c r="P25" i="10" s="1"/>
  <c r="R26" i="10" a="1"/>
  <c r="R26" i="10" s="1"/>
  <c r="J29" i="10" a="1"/>
  <c r="J29" i="10" s="1"/>
  <c r="L30" i="10" a="1"/>
  <c r="L30" i="10" s="1"/>
  <c r="N27" i="10" a="1"/>
  <c r="N27" i="10" s="1"/>
  <c r="M30" i="10" a="1"/>
  <c r="M30" i="10" s="1"/>
  <c r="N29" i="10" a="1"/>
  <c r="N29" i="10" s="1"/>
  <c r="J28" i="10" a="1"/>
  <c r="J28" i="10" s="1"/>
  <c r="M28" i="10" a="1"/>
  <c r="M28" i="10" s="1"/>
  <c r="P28" i="10" a="1"/>
  <c r="P28" i="10" s="1"/>
  <c r="R28" i="10" a="1"/>
  <c r="R28" i="10" s="1"/>
  <c r="Q28" i="10" a="1"/>
  <c r="Q28" i="10" s="1"/>
  <c r="N28" i="10" a="1"/>
  <c r="N28" i="10" s="1"/>
  <c r="M27" i="10" a="1"/>
  <c r="M27" i="10" s="1"/>
  <c r="P27" i="10" a="1"/>
  <c r="P27" i="10" s="1"/>
  <c r="K27" i="10" a="1"/>
  <c r="K27" i="10" s="1"/>
  <c r="O27" i="10" a="1"/>
  <c r="O27" i="10" s="1"/>
  <c r="R27" i="10" a="1"/>
  <c r="R27" i="10" s="1"/>
  <c r="O26" i="10" a="1"/>
  <c r="O26" i="10" s="1"/>
  <c r="N26" i="10" a="1"/>
  <c r="N26" i="10" s="1"/>
  <c r="L26" i="10" a="1"/>
  <c r="L26" i="10" s="1"/>
  <c r="M26" i="10" a="1"/>
  <c r="M26" i="10" s="1"/>
  <c r="K26" i="10" a="1"/>
  <c r="K26" i="10" s="1"/>
  <c r="J26" i="10" a="1"/>
  <c r="J26" i="10" s="1"/>
  <c r="Q26" i="10" a="1"/>
  <c r="Q26" i="10" s="1"/>
  <c r="R25" i="10" a="1"/>
  <c r="R25" i="10" s="1"/>
  <c r="N25" i="10" a="1"/>
  <c r="N25" i="10" s="1"/>
  <c r="J24" i="10" a="1"/>
  <c r="J24" i="10" s="1"/>
  <c r="M24" i="10" a="1"/>
  <c r="M24" i="10" s="1"/>
  <c r="O24" i="10" a="1"/>
  <c r="O24" i="10" s="1"/>
  <c r="P24" i="10" a="1"/>
  <c r="P24" i="10" s="1"/>
  <c r="L24" i="10" a="1"/>
  <c r="L24" i="10" s="1"/>
  <c r="N24" i="10" a="1"/>
  <c r="N24" i="10" s="1"/>
  <c r="Q24" i="10" a="1"/>
  <c r="Q24" i="10" s="1"/>
  <c r="R24" i="10" a="1"/>
  <c r="R24" i="10" s="1"/>
  <c r="K24" i="10" a="1"/>
  <c r="K24" i="10" s="1"/>
  <c r="F30" i="10" a="1"/>
  <c r="F30" i="10" s="1"/>
  <c r="F29" i="10" a="1"/>
  <c r="F29" i="10" s="1"/>
  <c r="G30" i="10" a="1"/>
  <c r="G30" i="10" s="1"/>
  <c r="G29" i="10" a="1"/>
  <c r="G29" i="10" s="1"/>
  <c r="H30" i="10" a="1"/>
  <c r="H30" i="10" s="1"/>
  <c r="H29" i="10" a="1"/>
  <c r="H29" i="10" s="1"/>
  <c r="F28" i="10" a="1"/>
  <c r="F28" i="10" s="1"/>
  <c r="B27" i="10" a="1"/>
  <c r="B27" i="10" s="1"/>
  <c r="B25" i="10" a="1"/>
  <c r="B25" i="10" s="1"/>
  <c r="H26" i="10" a="1"/>
  <c r="H26" i="10" s="1"/>
  <c r="G28" i="10" a="1"/>
  <c r="G28" i="10" s="1"/>
  <c r="H25" i="10" a="1"/>
  <c r="H25" i="10" s="1"/>
  <c r="G27" i="10" a="1"/>
  <c r="G27" i="10" s="1"/>
  <c r="H24" i="10" a="1"/>
  <c r="H24" i="10" s="1"/>
  <c r="G26" i="10" a="1"/>
  <c r="G26" i="10" s="1"/>
  <c r="G25" i="10" a="1"/>
  <c r="G25" i="10" s="1"/>
  <c r="F27" i="10" a="1"/>
  <c r="F27" i="10" s="1"/>
  <c r="F26" i="10" a="1"/>
  <c r="F26" i="10" s="1"/>
  <c r="F24" i="10" a="1"/>
  <c r="F24" i="10" s="1"/>
  <c r="S50" i="7" l="1"/>
  <c r="L12" i="28"/>
  <c r="H7" i="20"/>
  <c r="P23" i="27"/>
  <c r="I7" i="20"/>
  <c r="F7" i="20"/>
  <c r="G7" i="20"/>
  <c r="N12" i="20"/>
  <c r="N6" i="20" s="1"/>
  <c r="N10" i="13"/>
  <c r="P36" i="24"/>
  <c r="R24" i="7" s="1"/>
  <c r="Q20" i="27"/>
  <c r="R20" i="27" s="1"/>
  <c r="R17" i="27"/>
  <c r="S17" i="27" s="1"/>
  <c r="V26" i="10"/>
  <c r="U24" i="10"/>
  <c r="AC27" i="10"/>
  <c r="AD27" i="10"/>
  <c r="AB27" i="10"/>
  <c r="P34" i="13"/>
  <c r="R22" i="10" a="1"/>
  <c r="R22" i="10" s="1"/>
  <c r="O22" i="10" a="1"/>
  <c r="O22" i="10" s="1"/>
  <c r="B22" i="10" a="1"/>
  <c r="B22" i="10" s="1"/>
  <c r="E22" i="10" a="1"/>
  <c r="E22" i="10" s="1"/>
  <c r="J5" i="7" s="1"/>
  <c r="P41" i="10"/>
  <c r="N22" i="10" a="1"/>
  <c r="N22" i="10" s="1"/>
  <c r="J22" i="10" a="1"/>
  <c r="J22" i="10" s="1"/>
  <c r="K22" i="10" a="1"/>
  <c r="K22" i="10" s="1"/>
  <c r="Q22" i="10" a="1"/>
  <c r="Q22" i="10" s="1"/>
  <c r="J45" i="10" a="1"/>
  <c r="J45" i="10" s="1"/>
  <c r="L22" i="10" a="1"/>
  <c r="L22" i="10" s="1"/>
  <c r="H45" i="10" s="1"/>
  <c r="J44" i="10" a="1"/>
  <c r="J44" i="10" s="1"/>
  <c r="M22" i="10" a="1"/>
  <c r="M22" i="10" s="1"/>
  <c r="P22" i="10" a="1"/>
  <c r="P22" i="10" s="1"/>
  <c r="I43" i="10" s="1"/>
  <c r="AA44" i="10"/>
  <c r="AC44" i="10" s="1" a="1"/>
  <c r="AC44" i="10" s="1"/>
  <c r="J43" i="10" a="1"/>
  <c r="J43" i="10" s="1"/>
  <c r="J46" i="10" a="1"/>
  <c r="J46" i="10" s="1"/>
  <c r="M45" i="13"/>
  <c r="M22" i="13"/>
  <c r="M16" i="13"/>
  <c r="M10" i="13"/>
  <c r="M28" i="13"/>
  <c r="K6" i="24"/>
  <c r="H28" i="13"/>
  <c r="F6" i="24"/>
  <c r="H17" i="7" s="1"/>
  <c r="H22" i="13"/>
  <c r="H45" i="13"/>
  <c r="H16" i="13"/>
  <c r="H10" i="13"/>
  <c r="F28" i="13"/>
  <c r="F16" i="13"/>
  <c r="F22" i="13"/>
  <c r="F45" i="13"/>
  <c r="D6" i="24"/>
  <c r="F17" i="7" s="1"/>
  <c r="F10" i="13"/>
  <c r="G28" i="13"/>
  <c r="G16" i="13"/>
  <c r="G10" i="13"/>
  <c r="G22" i="13"/>
  <c r="E6" i="24"/>
  <c r="G17" i="7" s="1"/>
  <c r="G45" i="13"/>
  <c r="N22" i="13"/>
  <c r="N28" i="13"/>
  <c r="L6" i="24"/>
  <c r="N45" i="13"/>
  <c r="I45" i="13"/>
  <c r="G6" i="24"/>
  <c r="I17" i="7" s="1"/>
  <c r="I16" i="13"/>
  <c r="I10" i="13"/>
  <c r="I28" i="13"/>
  <c r="I22" i="13"/>
  <c r="C6" i="24"/>
  <c r="E16" i="13"/>
  <c r="E10" i="13"/>
  <c r="E28" i="13"/>
  <c r="E22" i="13"/>
  <c r="E45" i="13"/>
  <c r="J12" i="20"/>
  <c r="J6" i="20" s="1"/>
  <c r="J7" i="20" s="1"/>
  <c r="J16" i="13"/>
  <c r="J22" i="13"/>
  <c r="J25" i="27" s="1"/>
  <c r="J45" i="13"/>
  <c r="J10" i="13"/>
  <c r="J28" i="13"/>
  <c r="H6" i="24"/>
  <c r="J17" i="7" s="1"/>
  <c r="L10" i="13"/>
  <c r="J6" i="24"/>
  <c r="L16" i="13"/>
  <c r="L45" i="13"/>
  <c r="L22" i="13"/>
  <c r="L28" i="13"/>
  <c r="K22" i="13"/>
  <c r="K16" i="13"/>
  <c r="K28" i="13"/>
  <c r="I6" i="24"/>
  <c r="K10" i="13"/>
  <c r="K45" i="13"/>
  <c r="AF27" i="10" a="1"/>
  <c r="AF27" i="10" s="1"/>
  <c r="AE27" i="10" a="1"/>
  <c r="AE27" i="10" s="1"/>
  <c r="AE51" i="10" a="1"/>
  <c r="AE51" i="10" s="1"/>
  <c r="AF51" i="10" s="1"/>
  <c r="AE50" i="10" a="1"/>
  <c r="AE50" i="10" s="1"/>
  <c r="AF50" i="10" s="1"/>
  <c r="W29" i="10"/>
  <c r="X29" i="10"/>
  <c r="W25" i="10"/>
  <c r="V30" i="10"/>
  <c r="AC49" i="10" a="1"/>
  <c r="AC49" i="10" s="1"/>
  <c r="AE49" i="10" a="1"/>
  <c r="AE49" i="10" s="1"/>
  <c r="AE48" i="10" a="1"/>
  <c r="AE48" i="10" s="1"/>
  <c r="AC47" i="10" a="1"/>
  <c r="AC47" i="10" s="1"/>
  <c r="AE47" i="10" a="1"/>
  <c r="AE47" i="10" s="1"/>
  <c r="AC46" i="10" a="1"/>
  <c r="AC46" i="10" s="1"/>
  <c r="AC45" i="10" a="1"/>
  <c r="AC45" i="10" s="1"/>
  <c r="AF45" i="10" s="1"/>
  <c r="U30" i="10"/>
  <c r="Y26" i="10"/>
  <c r="Y29" i="10"/>
  <c r="X25" i="10"/>
  <c r="Y28" i="10"/>
  <c r="W28" i="10"/>
  <c r="U28" i="10"/>
  <c r="V27" i="10"/>
  <c r="T30" i="10"/>
  <c r="T28" i="10"/>
  <c r="T24" i="10"/>
  <c r="X30" i="10"/>
  <c r="T25" i="10"/>
  <c r="V25" i="10"/>
  <c r="U25" i="10"/>
  <c r="Y30" i="10"/>
  <c r="X26" i="10"/>
  <c r="T27" i="10"/>
  <c r="X28" i="10"/>
  <c r="X24" i="10"/>
  <c r="Y25" i="10"/>
  <c r="W30" i="10"/>
  <c r="W26" i="10"/>
  <c r="T29" i="10"/>
  <c r="U29" i="10"/>
  <c r="Y27" i="10"/>
  <c r="V28" i="10"/>
  <c r="V29" i="10"/>
  <c r="AC30" i="10"/>
  <c r="AB30" i="10"/>
  <c r="AA30" i="10"/>
  <c r="AD30" i="10"/>
  <c r="AF30" i="10" a="1"/>
  <c r="AF30" i="10" s="1"/>
  <c r="AE30" i="10" a="1"/>
  <c r="AE30" i="10" s="1"/>
  <c r="AB29" i="10"/>
  <c r="AA29" i="10"/>
  <c r="AC29" i="10"/>
  <c r="AD29" i="10"/>
  <c r="AF29" i="10" a="1"/>
  <c r="AF29" i="10" s="1"/>
  <c r="AE29" i="10" a="1"/>
  <c r="AE29" i="10" s="1"/>
  <c r="Y24" i="10"/>
  <c r="X27" i="10"/>
  <c r="W24" i="10"/>
  <c r="T26" i="10"/>
  <c r="W27" i="10"/>
  <c r="V24" i="10"/>
  <c r="U27" i="10"/>
  <c r="U26" i="10"/>
  <c r="AA27" i="10"/>
  <c r="AD28" i="10"/>
  <c r="AB28" i="10"/>
  <c r="AC28" i="10"/>
  <c r="AA28" i="10"/>
  <c r="AF28" i="10" a="1"/>
  <c r="AF28" i="10" s="1"/>
  <c r="AE28" i="10" a="1"/>
  <c r="AE28" i="10" s="1"/>
  <c r="AE26" i="10" a="1"/>
  <c r="AE26" i="10" s="1"/>
  <c r="AF26" i="10" a="1"/>
  <c r="AF26" i="10" s="1"/>
  <c r="AA26" i="10"/>
  <c r="AB26" i="10"/>
  <c r="AD26" i="10"/>
  <c r="AC26" i="10"/>
  <c r="AC25" i="10"/>
  <c r="AD25" i="10"/>
  <c r="AA25" i="10"/>
  <c r="AB25" i="10"/>
  <c r="AE25" i="10" a="1"/>
  <c r="AE25" i="10" s="1"/>
  <c r="AF25" i="10" a="1"/>
  <c r="AF25" i="10" s="1"/>
  <c r="AC24" i="10"/>
  <c r="AA24" i="10"/>
  <c r="AD24" i="10"/>
  <c r="AB24" i="10"/>
  <c r="AF24" i="10" a="1"/>
  <c r="AF24" i="10" s="1"/>
  <c r="O12" i="13" l="1"/>
  <c r="O13" i="13" s="1"/>
  <c r="Q23" i="27"/>
  <c r="R23" i="27" s="1"/>
  <c r="S23" i="27" s="1"/>
  <c r="K7" i="20"/>
  <c r="Q36" i="24"/>
  <c r="S24" i="7" s="1"/>
  <c r="S20" i="27"/>
  <c r="H44" i="10"/>
  <c r="AE44" i="10" a="1"/>
  <c r="AE44" i="10" s="1"/>
  <c r="AF44" i="10" s="1"/>
  <c r="AE59" i="10"/>
  <c r="K17" i="7"/>
  <c r="K32" i="7" s="1"/>
  <c r="K11" i="27"/>
  <c r="K8" i="27"/>
  <c r="N17" i="7"/>
  <c r="N32" i="7" s="1"/>
  <c r="N11" i="27"/>
  <c r="O11" i="27" s="1"/>
  <c r="P11" i="27" s="1"/>
  <c r="Q11" i="27" s="1"/>
  <c r="R11" i="27" s="1"/>
  <c r="S11" i="27" s="1"/>
  <c r="N8" i="27"/>
  <c r="O8" i="27" s="1"/>
  <c r="P8" i="27" s="1"/>
  <c r="Q8" i="27" s="1"/>
  <c r="R8" i="27" s="1"/>
  <c r="S8" i="27" s="1"/>
  <c r="M17" i="7"/>
  <c r="M29" i="7" s="1"/>
  <c r="M11" i="27"/>
  <c r="M8" i="27"/>
  <c r="M1048576" i="27" s="1"/>
  <c r="L17" i="7"/>
  <c r="L29" i="7" s="1"/>
  <c r="L11" i="27"/>
  <c r="L8" i="27"/>
  <c r="AE57" i="10"/>
  <c r="J32" i="7"/>
  <c r="J29" i="7"/>
  <c r="F8" i="6"/>
  <c r="F20" i="6" s="1"/>
  <c r="F9" i="6" s="1"/>
  <c r="I32" i="7"/>
  <c r="I29" i="7"/>
  <c r="F32" i="7"/>
  <c r="F29" i="7"/>
  <c r="H29" i="7"/>
  <c r="H32" i="7"/>
  <c r="G32" i="7"/>
  <c r="G29" i="7"/>
  <c r="C12" i="24"/>
  <c r="E17" i="7"/>
  <c r="V22" i="10"/>
  <c r="AE58" i="10"/>
  <c r="Q34" i="13"/>
  <c r="H46" i="10"/>
  <c r="AF22" i="10" a="1"/>
  <c r="AF22" i="10" s="1"/>
  <c r="AF37" i="10" s="1"/>
  <c r="F45" i="10" s="1"/>
  <c r="AE22" i="10" a="1"/>
  <c r="AE22" i="10" s="1"/>
  <c r="AE38" i="10" s="1"/>
  <c r="T22" i="10"/>
  <c r="P43" i="10"/>
  <c r="AC22" i="10"/>
  <c r="AC38" i="10" s="1"/>
  <c r="AB22" i="10"/>
  <c r="D43" i="10" s="1"/>
  <c r="U22" i="10"/>
  <c r="H43" i="10"/>
  <c r="P45" i="10"/>
  <c r="AA22" i="10"/>
  <c r="AA36" i="10" s="1"/>
  <c r="X22" i="10"/>
  <c r="P46" i="10"/>
  <c r="P44" i="10"/>
  <c r="I46" i="10"/>
  <c r="I45" i="10"/>
  <c r="Y22" i="10"/>
  <c r="AD22" i="10"/>
  <c r="E46" i="10" s="1"/>
  <c r="W22" i="10"/>
  <c r="I44" i="10"/>
  <c r="O11" i="13"/>
  <c r="E12" i="24"/>
  <c r="E7" i="24"/>
  <c r="G18" i="7" s="1"/>
  <c r="I12" i="24"/>
  <c r="I7" i="24"/>
  <c r="K18" i="7" s="1"/>
  <c r="K12" i="24"/>
  <c r="K7" i="24"/>
  <c r="M18" i="7" s="1"/>
  <c r="J12" i="24"/>
  <c r="J7" i="24"/>
  <c r="L18" i="7" s="1"/>
  <c r="L7" i="24"/>
  <c r="N18" i="7" s="1"/>
  <c r="L12" i="24"/>
  <c r="H12" i="24"/>
  <c r="H7" i="24"/>
  <c r="J18" i="7" s="1"/>
  <c r="G12" i="24"/>
  <c r="G7" i="24"/>
  <c r="I18" i="7" s="1"/>
  <c r="D7" i="24"/>
  <c r="F18" i="7" s="1"/>
  <c r="D12" i="24"/>
  <c r="F7" i="24"/>
  <c r="H18" i="7" s="1"/>
  <c r="F12" i="24"/>
  <c r="P28" i="13"/>
  <c r="AF49" i="10"/>
  <c r="AF48" i="10"/>
  <c r="AF47" i="10"/>
  <c r="AF46" i="10"/>
  <c r="C24" i="24" l="1"/>
  <c r="C13" i="24"/>
  <c r="AD36" i="10"/>
  <c r="E44" i="10" s="1"/>
  <c r="M44" i="10" s="1"/>
  <c r="S44" i="10" s="1"/>
  <c r="W44" i="10" s="1"/>
  <c r="AF57" i="10"/>
  <c r="AF61" i="10" s="1"/>
  <c r="K29" i="7"/>
  <c r="E43" i="10"/>
  <c r="M43" i="10" s="1"/>
  <c r="S43" i="10" s="1"/>
  <c r="W43" i="10" s="1"/>
  <c r="L32" i="7"/>
  <c r="M32" i="7"/>
  <c r="I24" i="24"/>
  <c r="K20" i="7" s="1"/>
  <c r="I13" i="24"/>
  <c r="E24" i="24"/>
  <c r="E30" i="24" s="1"/>
  <c r="E13" i="24"/>
  <c r="N29" i="7"/>
  <c r="J24" i="24"/>
  <c r="J30" i="24" s="1"/>
  <c r="J13" i="24"/>
  <c r="D24" i="24"/>
  <c r="D30" i="24" s="1"/>
  <c r="D13" i="24"/>
  <c r="L24" i="24"/>
  <c r="L30" i="24" s="1"/>
  <c r="L13" i="24"/>
  <c r="K24" i="24"/>
  <c r="M20" i="7" s="1"/>
  <c r="K13" i="24"/>
  <c r="F24" i="24"/>
  <c r="F30" i="24" s="1"/>
  <c r="F13" i="24"/>
  <c r="H24" i="24"/>
  <c r="H30" i="24" s="1"/>
  <c r="H13" i="24"/>
  <c r="G24" i="24"/>
  <c r="I20" i="7" s="1"/>
  <c r="G13" i="24"/>
  <c r="E29" i="7"/>
  <c r="E32" i="7"/>
  <c r="C30" i="24"/>
  <c r="E20" i="7"/>
  <c r="AF59" i="10"/>
  <c r="AF38" i="10"/>
  <c r="AA38" i="10"/>
  <c r="AD38" i="10"/>
  <c r="AB38" i="10"/>
  <c r="R34" i="13"/>
  <c r="AB37" i="10"/>
  <c r="D45" i="10" s="1"/>
  <c r="L45" i="10" s="1"/>
  <c r="R45" i="10" s="1"/>
  <c r="V45" i="10" s="1"/>
  <c r="AC37" i="10"/>
  <c r="AE37" i="10"/>
  <c r="AE36" i="10"/>
  <c r="D46" i="10"/>
  <c r="L46" i="10" s="1"/>
  <c r="R46" i="10" s="1"/>
  <c r="V46" i="10" s="1"/>
  <c r="AC36" i="10"/>
  <c r="AB36" i="10"/>
  <c r="D44" i="10" s="1"/>
  <c r="L44" i="10" s="1"/>
  <c r="R44" i="10" s="1"/>
  <c r="V44" i="10" s="1"/>
  <c r="F46" i="10"/>
  <c r="T46" i="10" s="1"/>
  <c r="X46" i="10" s="1"/>
  <c r="AA37" i="10"/>
  <c r="AF36" i="10"/>
  <c r="F44" i="10" s="1"/>
  <c r="T44" i="10" s="1"/>
  <c r="X44" i="10" s="1"/>
  <c r="F43" i="10"/>
  <c r="T43" i="10" s="1"/>
  <c r="X43" i="10" s="1"/>
  <c r="O22" i="13"/>
  <c r="M46" i="10"/>
  <c r="S46" i="10" s="1"/>
  <c r="W46" i="10" s="1"/>
  <c r="L43" i="10"/>
  <c r="R43" i="10" s="1"/>
  <c r="V43" i="10" s="1"/>
  <c r="AD37" i="10"/>
  <c r="E45" i="10" s="1"/>
  <c r="M45" i="10" s="1"/>
  <c r="S45" i="10" s="1"/>
  <c r="W45" i="10" s="1"/>
  <c r="O10" i="13"/>
  <c r="O16" i="13"/>
  <c r="T45" i="10"/>
  <c r="X45" i="10" s="1"/>
  <c r="AF58" i="10"/>
  <c r="N20" i="7" l="1"/>
  <c r="N21" i="7" s="1"/>
  <c r="F20" i="7"/>
  <c r="F21" i="7" s="1"/>
  <c r="G30" i="24"/>
  <c r="I30" i="24"/>
  <c r="G20" i="7"/>
  <c r="G26" i="7" s="1"/>
  <c r="H20" i="7"/>
  <c r="H26" i="7" s="1"/>
  <c r="L20" i="7"/>
  <c r="L26" i="7" s="1"/>
  <c r="K30" i="24"/>
  <c r="J20" i="7"/>
  <c r="J21" i="7" s="1"/>
  <c r="E21" i="7"/>
  <c r="E26" i="7"/>
  <c r="M21" i="7"/>
  <c r="M26" i="7"/>
  <c r="K26" i="7"/>
  <c r="K21" i="7"/>
  <c r="I26" i="7"/>
  <c r="I21" i="7"/>
  <c r="S34" i="13"/>
  <c r="P16" i="13"/>
  <c r="Q28" i="13"/>
  <c r="F16" i="6"/>
  <c r="F22" i="6" s="1"/>
  <c r="N26" i="7" l="1"/>
  <c r="F26" i="7"/>
  <c r="G21" i="7"/>
  <c r="L21" i="7"/>
  <c r="H21" i="7"/>
  <c r="J26" i="7"/>
  <c r="Q16" i="13"/>
  <c r="R28" i="13"/>
  <c r="R16" i="13" l="1"/>
  <c r="N5" i="24"/>
  <c r="O5" i="24" s="1"/>
  <c r="P5" i="24" s="1"/>
  <c r="Q5" i="24" s="1"/>
  <c r="K5" i="24"/>
  <c r="J5" i="24" s="1"/>
  <c r="I5" i="24" s="1"/>
  <c r="H5" i="24" s="1"/>
  <c r="G5" i="24" s="1"/>
  <c r="F5" i="24" s="1"/>
  <c r="E5" i="24" s="1"/>
  <c r="D5" i="24" s="1"/>
  <c r="C5" i="24" s="1"/>
  <c r="S28" i="13"/>
  <c r="N20" i="10"/>
  <c r="P20" i="10" s="1"/>
  <c r="S16" i="13" l="1"/>
  <c r="R20" i="10"/>
  <c r="Y20" i="10"/>
  <c r="AB20" i="10" s="1"/>
  <c r="AD20" i="10" s="1"/>
  <c r="AF20" i="10" s="1"/>
  <c r="W20" i="10"/>
  <c r="N5" i="13"/>
  <c r="M5" i="13" s="1"/>
  <c r="L5" i="13" s="1"/>
  <c r="K5" i="13" s="1"/>
  <c r="J5" i="13" s="1"/>
  <c r="I5" i="13" s="1"/>
  <c r="H5" i="13" s="1"/>
  <c r="G5" i="13" s="1"/>
  <c r="F5" i="13" s="1"/>
  <c r="E5" i="13" s="1"/>
  <c r="P5" i="13"/>
  <c r="Q5" i="13" s="1"/>
  <c r="R5" i="13" s="1"/>
  <c r="S5" i="13" s="1"/>
  <c r="P5" i="20"/>
  <c r="Q5" i="20" s="1"/>
  <c r="R5" i="20" s="1"/>
  <c r="S5" i="20" s="1"/>
  <c r="M5" i="20"/>
  <c r="L5" i="20" s="1"/>
  <c r="M20" i="10"/>
  <c r="O20" i="10" s="1"/>
  <c r="U20" i="10"/>
  <c r="T20" i="10"/>
  <c r="K5" i="20" l="1"/>
  <c r="J5" i="20" s="1"/>
  <c r="I5" i="20" s="1"/>
  <c r="H5" i="20" s="1"/>
  <c r="Q20" i="10"/>
  <c r="V20" i="10"/>
  <c r="AA20" i="10" s="1"/>
  <c r="AC20" i="10" s="1"/>
  <c r="AE20" i="10" s="1"/>
  <c r="X20" i="10"/>
  <c r="G5" i="20" l="1"/>
  <c r="F5" i="20" s="1"/>
  <c r="E5" i="20" s="1"/>
  <c r="N12" i="7" l="1"/>
  <c r="M5" i="7" s="1"/>
  <c r="S12" i="7" l="1"/>
  <c r="I12" i="7"/>
  <c r="N60" i="7" l="1"/>
  <c r="N59" i="7" s="1"/>
  <c r="N58" i="7" s="1"/>
  <c r="N61" i="7" l="1"/>
  <c r="N62" i="7" s="1"/>
  <c r="L7" i="20" l="1"/>
  <c r="M7" i="20" l="1"/>
  <c r="N7" i="20"/>
  <c r="O6" i="20"/>
  <c r="O12" i="20" s="1"/>
  <c r="P6" i="20" l="1"/>
  <c r="P12" i="20" s="1"/>
  <c r="O6" i="13"/>
  <c r="O44" i="13" l="1"/>
  <c r="O31" i="7" s="1"/>
  <c r="O9" i="13"/>
  <c r="O15" i="13"/>
  <c r="M15" i="24" s="1"/>
  <c r="O21" i="13"/>
  <c r="M18" i="24" s="1"/>
  <c r="M6" i="24"/>
  <c r="P6" i="13"/>
  <c r="Q6" i="20"/>
  <c r="Q12" i="20" s="1"/>
  <c r="P44" i="13" l="1"/>
  <c r="P31" i="7" s="1"/>
  <c r="P9" i="13"/>
  <c r="N9" i="24" s="1"/>
  <c r="P15" i="13"/>
  <c r="N15" i="24" s="1"/>
  <c r="P21" i="13"/>
  <c r="N18" i="24" s="1"/>
  <c r="N6" i="24"/>
  <c r="M16" i="24"/>
  <c r="O28" i="7"/>
  <c r="O16" i="27"/>
  <c r="M19" i="24"/>
  <c r="O22" i="27"/>
  <c r="O19" i="27"/>
  <c r="Q33" i="13"/>
  <c r="O27" i="24" s="1"/>
  <c r="O33" i="13"/>
  <c r="M27" i="24" s="1"/>
  <c r="P33" i="13"/>
  <c r="N27" i="24" s="1"/>
  <c r="M9" i="24"/>
  <c r="M12" i="24" s="1"/>
  <c r="R33" i="13"/>
  <c r="P27" i="24" s="1"/>
  <c r="S33" i="13"/>
  <c r="Q27" i="24" s="1"/>
  <c r="Q6" i="13"/>
  <c r="R6" i="20"/>
  <c r="R12" i="20" s="1"/>
  <c r="M7" i="24"/>
  <c r="O18" i="7" s="1"/>
  <c r="O17" i="7"/>
  <c r="O32" i="7" s="1"/>
  <c r="O10" i="27"/>
  <c r="O7" i="27"/>
  <c r="O13" i="27" l="1"/>
  <c r="M28" i="24"/>
  <c r="O29" i="7"/>
  <c r="M13" i="24"/>
  <c r="M24" i="24"/>
  <c r="P28" i="24"/>
  <c r="O25" i="27"/>
  <c r="N7" i="24"/>
  <c r="P18" i="7" s="1"/>
  <c r="P10" i="27"/>
  <c r="N12" i="24"/>
  <c r="P17" i="7"/>
  <c r="P32" i="7" s="1"/>
  <c r="P7" i="27"/>
  <c r="P22" i="27"/>
  <c r="P19" i="27"/>
  <c r="N19" i="24"/>
  <c r="P16" i="27"/>
  <c r="O28" i="24"/>
  <c r="S6" i="20"/>
  <c r="R6" i="13"/>
  <c r="N16" i="24"/>
  <c r="P28" i="7"/>
  <c r="P29" i="7" s="1"/>
  <c r="Q44" i="13"/>
  <c r="Q31" i="7" s="1"/>
  <c r="Q21" i="13"/>
  <c r="O18" i="24" s="1"/>
  <c r="O6" i="24"/>
  <c r="Q15" i="13"/>
  <c r="O15" i="24" s="1"/>
  <c r="Q9" i="13"/>
  <c r="O9" i="24" s="1"/>
  <c r="N10" i="24"/>
  <c r="N30" i="24"/>
  <c r="H28" i="24"/>
  <c r="L31" i="24"/>
  <c r="J28" i="24"/>
  <c r="L28" i="24"/>
  <c r="I28" i="24"/>
  <c r="F28" i="24"/>
  <c r="H31" i="24"/>
  <c r="M30" i="24"/>
  <c r="D31" i="24"/>
  <c r="G31" i="24"/>
  <c r="K31" i="24"/>
  <c r="K28" i="24"/>
  <c r="F31" i="24"/>
  <c r="M10" i="24"/>
  <c r="E28" i="24"/>
  <c r="I31" i="24"/>
  <c r="J31" i="24"/>
  <c r="G28" i="24"/>
  <c r="D28" i="24"/>
  <c r="E31" i="24"/>
  <c r="N28" i="24"/>
  <c r="Q28" i="24"/>
  <c r="O27" i="27" l="1"/>
  <c r="S12" i="20"/>
  <c r="S6" i="13" s="1"/>
  <c r="P25" i="27"/>
  <c r="R21" i="13"/>
  <c r="P18" i="24" s="1"/>
  <c r="R44" i="13"/>
  <c r="R31" i="7" s="1"/>
  <c r="R15" i="13"/>
  <c r="P15" i="24" s="1"/>
  <c r="R9" i="13"/>
  <c r="P9" i="24" s="1"/>
  <c r="P6" i="24"/>
  <c r="N24" i="24"/>
  <c r="N13" i="24"/>
  <c r="O10" i="24"/>
  <c r="O30" i="24"/>
  <c r="Q17" i="7"/>
  <c r="Q32" i="7" s="1"/>
  <c r="Q10" i="27"/>
  <c r="Q7" i="27"/>
  <c r="O7" i="24"/>
  <c r="Q18" i="7" s="1"/>
  <c r="O12" i="24"/>
  <c r="O19" i="24"/>
  <c r="Q19" i="27"/>
  <c r="Q22" i="27"/>
  <c r="Q16" i="27"/>
  <c r="O16" i="24"/>
  <c r="Q28" i="7"/>
  <c r="O28" i="27"/>
  <c r="O20" i="7"/>
  <c r="M33" i="24"/>
  <c r="P13" i="27"/>
  <c r="O34" i="7" l="1"/>
  <c r="O35" i="7" s="1"/>
  <c r="P27" i="27"/>
  <c r="P28" i="27" s="1"/>
  <c r="P34" i="7" s="1"/>
  <c r="P35" i="7" s="1"/>
  <c r="S21" i="13"/>
  <c r="Q18" i="24" s="1"/>
  <c r="Q19" i="24" s="1"/>
  <c r="S9" i="13"/>
  <c r="Q9" i="24" s="1"/>
  <c r="Q30" i="24" s="1"/>
  <c r="S44" i="13"/>
  <c r="S31" i="7" s="1"/>
  <c r="S15" i="13"/>
  <c r="Q15" i="24" s="1"/>
  <c r="S28" i="7" s="1"/>
  <c r="Q6" i="24"/>
  <c r="S10" i="27" s="1"/>
  <c r="Q13" i="27"/>
  <c r="Q29" i="7"/>
  <c r="O21" i="7"/>
  <c r="O13" i="24"/>
  <c r="O24" i="24"/>
  <c r="P20" i="7"/>
  <c r="N33" i="24"/>
  <c r="P7" i="24"/>
  <c r="R18" i="7" s="1"/>
  <c r="R17" i="7"/>
  <c r="R32" i="7" s="1"/>
  <c r="P12" i="24"/>
  <c r="R7" i="27"/>
  <c r="R10" i="27"/>
  <c r="P10" i="24"/>
  <c r="P30" i="24"/>
  <c r="R28" i="7"/>
  <c r="P16" i="24"/>
  <c r="Q25" i="27"/>
  <c r="M35" i="24"/>
  <c r="O23" i="7" s="1"/>
  <c r="O26" i="7" s="1"/>
  <c r="R19" i="27"/>
  <c r="R16" i="27"/>
  <c r="P19" i="24"/>
  <c r="R22" i="27"/>
  <c r="S16" i="27" l="1"/>
  <c r="S22" i="27"/>
  <c r="S19" i="27"/>
  <c r="O37" i="7"/>
  <c r="O38" i="7" s="1"/>
  <c r="Q27" i="27"/>
  <c r="Q28" i="27" s="1"/>
  <c r="Q34" i="7" s="1"/>
  <c r="S7" i="27"/>
  <c r="S13" i="27" s="1"/>
  <c r="S17" i="7"/>
  <c r="S32" i="7" s="1"/>
  <c r="Q7" i="24"/>
  <c r="S18" i="7" s="1"/>
  <c r="Q12" i="24"/>
  <c r="Q13" i="24" s="1"/>
  <c r="Q16" i="24"/>
  <c r="Q10" i="24"/>
  <c r="M38" i="24"/>
  <c r="R13" i="27"/>
  <c r="R25" i="27"/>
  <c r="N35" i="24"/>
  <c r="P23" i="7" s="1"/>
  <c r="P26" i="7" s="1"/>
  <c r="P37" i="7" s="1"/>
  <c r="P38" i="7" s="1"/>
  <c r="P21" i="7"/>
  <c r="Q20" i="7"/>
  <c r="O33" i="24"/>
  <c r="P24" i="24"/>
  <c r="P13" i="24"/>
  <c r="R29" i="7"/>
  <c r="S25" i="27" l="1"/>
  <c r="S27" i="27" s="1"/>
  <c r="S29" i="7"/>
  <c r="Q35" i="7"/>
  <c r="Q24" i="24"/>
  <c r="L3" i="28" s="1"/>
  <c r="L5" i="28" s="1"/>
  <c r="R27" i="27"/>
  <c r="O35" i="24"/>
  <c r="Q23" i="7" s="1"/>
  <c r="Q26" i="7" s="1"/>
  <c r="Q37" i="7" s="1"/>
  <c r="Q38" i="7" s="1"/>
  <c r="Q21" i="7"/>
  <c r="P33" i="24"/>
  <c r="R20" i="7"/>
  <c r="N38" i="24"/>
  <c r="S20" i="7" l="1"/>
  <c r="S43" i="7"/>
  <c r="Q33" i="24"/>
  <c r="Q35" i="24" s="1"/>
  <c r="S23" i="7" s="1"/>
  <c r="S26" i="7" s="1"/>
  <c r="S28" i="27"/>
  <c r="S34" i="7" s="1"/>
  <c r="S35" i="7" s="1"/>
  <c r="R28" i="27"/>
  <c r="R34" i="7" s="1"/>
  <c r="R35" i="7" s="1"/>
  <c r="O38" i="24"/>
  <c r="R21" i="7"/>
  <c r="P35" i="24"/>
  <c r="R23" i="7" s="1"/>
  <c r="R26" i="7" s="1"/>
  <c r="S21" i="7"/>
  <c r="S37" i="7" l="1"/>
  <c r="S44" i="7" s="1"/>
  <c r="L7" i="28" s="1"/>
  <c r="R37" i="7"/>
  <c r="R38" i="7" s="1"/>
  <c r="P38" i="24"/>
  <c r="Q38" i="24"/>
  <c r="S38" i="7" l="1"/>
  <c r="S46" i="7" s="1"/>
  <c r="L8" i="28" s="1"/>
  <c r="L10" i="28" s="1"/>
  <c r="L13" i="28" s="1"/>
  <c r="S49" i="7" l="1"/>
  <c r="S51" i="7" s="1"/>
  <c r="J4" i="7" l="1"/>
  <c r="J6" i="7" s="1"/>
  <c r="L14" i="28" s="1"/>
  <c r="N57"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<sst xmlns="http://schemas.openxmlformats.org/spreadsheetml/2006/main" count="506" uniqueCount="353">
  <si>
    <t>x</t>
  </si>
  <si>
    <t>EBIT</t>
  </si>
  <si>
    <t>EBITDA</t>
  </si>
  <si>
    <t>Total</t>
  </si>
  <si>
    <t>WACC</t>
  </si>
  <si>
    <t>WACC = % of equity x cost of equity + % of debt x cost of debt x (1 - Tax Rate)</t>
  </si>
  <si>
    <t>Cost of equity = Risk free rate + Beta x Market Risk Premium</t>
  </si>
  <si>
    <t>Market Cap</t>
  </si>
  <si>
    <t>% of Equity</t>
  </si>
  <si>
    <t>Cost of Equity</t>
  </si>
  <si>
    <t>Risk Free Rate</t>
  </si>
  <si>
    <t>Beta</t>
  </si>
  <si>
    <t>Market Risk Premium</t>
  </si>
  <si>
    <t>Debt</t>
  </si>
  <si>
    <t>% of Debt</t>
  </si>
  <si>
    <t>Cost of Debt</t>
  </si>
  <si>
    <t>Tax Rate</t>
  </si>
  <si>
    <t>Ticker</t>
  </si>
  <si>
    <t>Implied price per share</t>
  </si>
  <si>
    <t>Date</t>
  </si>
  <si>
    <t>Current share price</t>
  </si>
  <si>
    <t>Implied upside / (downside)</t>
  </si>
  <si>
    <t>Assumptions</t>
  </si>
  <si>
    <t>Conservative</t>
  </si>
  <si>
    <t>Optimistic</t>
  </si>
  <si>
    <t>Year</t>
  </si>
  <si>
    <t>Metric</t>
  </si>
  <si>
    <t>Revenue</t>
  </si>
  <si>
    <t>TGR</t>
  </si>
  <si>
    <t>% growth</t>
  </si>
  <si>
    <t>% of sales</t>
  </si>
  <si>
    <t>Taxes</t>
  </si>
  <si>
    <t>Tax rate</t>
  </si>
  <si>
    <t>D&amp;A</t>
  </si>
  <si>
    <t>CapEx</t>
  </si>
  <si>
    <t>Change in NWC</t>
  </si>
  <si>
    <t>Base (Street)</t>
  </si>
  <si>
    <t>EBIAT</t>
  </si>
  <si>
    <t>Unlevered FCF</t>
  </si>
  <si>
    <t>PV of Unlevered FCF</t>
  </si>
  <si>
    <t>Period</t>
  </si>
  <si>
    <t>Discount Period</t>
  </si>
  <si>
    <t>Terminal Value</t>
  </si>
  <si>
    <t>PV of Terminal Value</t>
  </si>
  <si>
    <t>(-) Debt</t>
  </si>
  <si>
    <t>(+) Cash</t>
  </si>
  <si>
    <t>Implied Price per Share</t>
  </si>
  <si>
    <t>Conservative (1)</t>
  </si>
  <si>
    <t>Base (2)</t>
  </si>
  <si>
    <t>Optimistic (3)</t>
  </si>
  <si>
    <t>DCF</t>
  </si>
  <si>
    <t>This is a company financial analysis and valuation model.</t>
  </si>
  <si>
    <t>Table of Contents</t>
  </si>
  <si>
    <t>EV/EBITDA</t>
  </si>
  <si>
    <t>Shares Outstanding</t>
  </si>
  <si>
    <t>Year End</t>
  </si>
  <si>
    <t>(+) D&amp;A</t>
  </si>
  <si>
    <t>(-) CapEx</t>
  </si>
  <si>
    <t>(-) Change in NWC</t>
  </si>
  <si>
    <t>Case Assumptions</t>
  </si>
  <si>
    <t>COGS (excl. D&amp;A)</t>
  </si>
  <si>
    <t>SG&amp;A</t>
  </si>
  <si>
    <t>Active Case</t>
  </si>
  <si>
    <t>Operating Expenses</t>
  </si>
  <si>
    <t>Company Name</t>
  </si>
  <si>
    <t>Pull D&amp;A Manually From FactSet</t>
  </si>
  <si>
    <t>Pull COGS Manually From FactSet</t>
  </si>
  <si>
    <t>Pull SG&amp;A Manually From FactSet</t>
  </si>
  <si>
    <t>WACC Calculation</t>
  </si>
  <si>
    <t>Comparable Company 1</t>
  </si>
  <si>
    <t>Comparable Company 2</t>
  </si>
  <si>
    <t>Comparable Company 3</t>
  </si>
  <si>
    <t>Comparable Company 4</t>
  </si>
  <si>
    <t>Comparable Company 5</t>
  </si>
  <si>
    <t>Comparable Company 6</t>
  </si>
  <si>
    <t>Median</t>
  </si>
  <si>
    <t>StDev</t>
  </si>
  <si>
    <t>Debt/Equity</t>
  </si>
  <si>
    <t>Market Data ($)</t>
  </si>
  <si>
    <t>Unlevering and Relevering Beta</t>
  </si>
  <si>
    <t>Find Tax Rate on FactSet</t>
  </si>
  <si>
    <t>10-Year Treasury Yield</t>
  </si>
  <si>
    <t>Factset--&gt;Balance Sheet--&gt;Standardized Tab--&gt;Supplemental Tab--&gt;Total Debt</t>
  </si>
  <si>
    <t>FactSet--&gt;Snapshot--&gt;Click on WACC %--&gt;Click the down arrow for "After Tax Cost of Debt"--&gt;Cost of Debt</t>
  </si>
  <si>
    <t>Comparable Company 7</t>
  </si>
  <si>
    <t>Comparable Company 8</t>
  </si>
  <si>
    <t>Share</t>
  </si>
  <si>
    <t>Price</t>
  </si>
  <si>
    <t>Count</t>
  </si>
  <si>
    <t>Market</t>
  </si>
  <si>
    <t>Cap</t>
  </si>
  <si>
    <t>Enterprise</t>
  </si>
  <si>
    <t>Value</t>
  </si>
  <si>
    <t>Enter Ticker Symbols Below</t>
  </si>
  <si>
    <t>Net Income</t>
  </si>
  <si>
    <t>Financials ($)</t>
  </si>
  <si>
    <t>Revenue Growth</t>
  </si>
  <si>
    <t>EBITDA Margin</t>
  </si>
  <si>
    <t>Profit Margin</t>
  </si>
  <si>
    <t>Valuation Multiples (x)</t>
  </si>
  <si>
    <t>Growth and Margins (%)</t>
  </si>
  <si>
    <t>EV/Revenue</t>
  </si>
  <si>
    <t>P/E</t>
  </si>
  <si>
    <t>Levered</t>
  </si>
  <si>
    <t>Tax</t>
  </si>
  <si>
    <t>Rate</t>
  </si>
  <si>
    <t>Ratio</t>
  </si>
  <si>
    <t>Unlevered</t>
  </si>
  <si>
    <t>Implied Beta:</t>
  </si>
  <si>
    <t>Pull Tax Rate Manually from FactSet</t>
  </si>
  <si>
    <t>Calculating Implied Share Price</t>
  </si>
  <si>
    <t>Minimum</t>
  </si>
  <si>
    <t>Mean</t>
  </si>
  <si>
    <t>Maximum</t>
  </si>
  <si>
    <t>EPS</t>
  </si>
  <si>
    <t>Net Debt</t>
  </si>
  <si>
    <t>Implied Enterprise Value</t>
  </si>
  <si>
    <t>Implied Equity Value</t>
  </si>
  <si>
    <t>Implied Equity Value Per Share</t>
  </si>
  <si>
    <t>Revenue Build</t>
  </si>
  <si>
    <t>Input Stock Ticker Into Yellow Box Below...</t>
  </si>
  <si>
    <t>Must include "-USA" (E.g. AAPL-USA, MSFT-USA)</t>
  </si>
  <si>
    <t>Apex Trading Group Financial Analysis and Modeling Template</t>
  </si>
  <si>
    <t>Required Inputs</t>
  </si>
  <si>
    <t>Case Assumptions (Cont.)</t>
  </si>
  <si>
    <t>Public Comps Analysis</t>
  </si>
  <si>
    <t>% Growth YoY</t>
  </si>
  <si>
    <t>% Sales</t>
  </si>
  <si>
    <t>Gross Profit</t>
  </si>
  <si>
    <t>Margin</t>
  </si>
  <si>
    <t>Depreciation and Amortization</t>
  </si>
  <si>
    <t>Selling, General, and Administrative</t>
  </si>
  <si>
    <t>Operating Profit (EBIT)</t>
  </si>
  <si>
    <t>Nonoperating Income</t>
  </si>
  <si>
    <t>% COGS</t>
  </si>
  <si>
    <t>Pretax Income (Loss)</t>
  </si>
  <si>
    <t>Income Taxes</t>
  </si>
  <si>
    <t>Operating Model</t>
  </si>
  <si>
    <t>Total Revenue</t>
  </si>
  <si>
    <t>Chipotle Mexican Grill, Inc. (CMG)</t>
  </si>
  <si>
    <t>$56.08</t>
  </si>
  <si>
    <t>Source: FactSet Fundamentals</t>
  </si>
  <si>
    <t>DEC '16</t>
  </si>
  <si>
    <t>DEC '17</t>
  </si>
  <si>
    <t>DEC '18</t>
  </si>
  <si>
    <t>DEC '19</t>
  </si>
  <si>
    <t>DEC '20</t>
  </si>
  <si>
    <t>DEC '21</t>
  </si>
  <si>
    <t>DEC '22</t>
  </si>
  <si>
    <t>DEC '23</t>
  </si>
  <si>
    <t>Restate</t>
  </si>
  <si>
    <t>Sales</t>
  </si>
  <si>
    <t>Cost of Goods Sold (COGS) incl. D&amp;A</t>
  </si>
  <si>
    <t>COGS excluding D&amp;A</t>
  </si>
  <si>
    <t>Depreciation &amp; Amortization Expense</t>
  </si>
  <si>
    <t>Depreciation</t>
  </si>
  <si>
    <t>Gross Income</t>
  </si>
  <si>
    <t>SG&amp;A Expense</t>
  </si>
  <si>
    <t>Other SG&amp;A</t>
  </si>
  <si>
    <t>EBIT (Operating Income)</t>
  </si>
  <si>
    <t>Nonoperating Income - Net</t>
  </si>
  <si>
    <t>Other Income (Expense)</t>
  </si>
  <si>
    <t>Unusual Expense - Net</t>
  </si>
  <si>
    <t>Impairments</t>
  </si>
  <si>
    <t>Property,Plant &amp; Equipment</t>
  </si>
  <si>
    <t>Restructuring Expense</t>
  </si>
  <si>
    <t>Pretax Income</t>
  </si>
  <si>
    <t>Income Taxes - Current Domestic</t>
  </si>
  <si>
    <t>Income Taxes - Current Foreign</t>
  </si>
  <si>
    <t>Income Taxes - Deferred Domestic</t>
  </si>
  <si>
    <t>Income Taxes - Deferred Foreign</t>
  </si>
  <si>
    <t>Consolidated Net Income</t>
  </si>
  <si>
    <t>Net Income available to Common</t>
  </si>
  <si>
    <t>Per Share</t>
  </si>
  <si>
    <t>EPS (recurring)</t>
  </si>
  <si>
    <t>EPS (basic)</t>
  </si>
  <si>
    <t>Basic Shares Outstanding</t>
  </si>
  <si>
    <t>Total Shares Outstanding</t>
  </si>
  <si>
    <t>EPS (diluted)</t>
  </si>
  <si>
    <t>Diluted Shares Outstanding</t>
  </si>
  <si>
    <t>Earnings Persistence</t>
  </si>
  <si>
    <t>All figures in millions of U.S. Dollar except per share items.</t>
  </si>
  <si>
    <t>Operating Activities</t>
  </si>
  <si>
    <t>Net Income / Starting Line</t>
  </si>
  <si>
    <t>Depreciation, Depletion &amp; Amortization</t>
  </si>
  <si>
    <t>Depreciation and Depletion</t>
  </si>
  <si>
    <t>Deferred Taxes &amp; Investment Tax Credit</t>
  </si>
  <si>
    <t>Deferred Taxes</t>
  </si>
  <si>
    <t>Other Funds</t>
  </si>
  <si>
    <t>Funds from Operations</t>
  </si>
  <si>
    <t>Changes in Working Capital</t>
  </si>
  <si>
    <t>Receivables</t>
  </si>
  <si>
    <t>Inventories</t>
  </si>
  <si>
    <t>Accounts Payable</t>
  </si>
  <si>
    <t>Other Accruals</t>
  </si>
  <si>
    <t>Other Assets/Liabilities</t>
  </si>
  <si>
    <t>Net Operating Cash Flow</t>
  </si>
  <si>
    <t>Investing Activities</t>
  </si>
  <si>
    <t>Capital Expenditures</t>
  </si>
  <si>
    <t>Capital Expenditures (Fixed Assets)</t>
  </si>
  <si>
    <t>Sale of Fixed Assets &amp; Businesses</t>
  </si>
  <si>
    <t>Purchase/Sale of Investments</t>
  </si>
  <si>
    <t>Purchase of Investments</t>
  </si>
  <si>
    <t>Net Investing Cash Flow</t>
  </si>
  <si>
    <t>Financing Activities</t>
  </si>
  <si>
    <t>Change in Capital Stock</t>
  </si>
  <si>
    <t>Repurchase of Common &amp; Preferred Stk.</t>
  </si>
  <si>
    <t>Sale of Common &amp; Preferred Stock</t>
  </si>
  <si>
    <t>Other Uses</t>
  </si>
  <si>
    <t>Other Sources</t>
  </si>
  <si>
    <t>Net Financing Cash Flow</t>
  </si>
  <si>
    <t>All Activities</t>
  </si>
  <si>
    <t>Exchange Rate Effect</t>
  </si>
  <si>
    <t>Net Change in Cash</t>
  </si>
  <si>
    <t>Free Cash Flow</t>
  </si>
  <si>
    <t>Free Cash Flow per Share</t>
  </si>
  <si>
    <t>Free Cash Flow Yield (%)</t>
  </si>
  <si>
    <t>Pull CapEx Manually from FactSet, THIS IS FOUND ON CASH FLOW STATEMENT</t>
  </si>
  <si>
    <t>CHECK</t>
  </si>
  <si>
    <t>CHECK (HIDE ROW)</t>
  </si>
  <si>
    <t>% of COGS</t>
  </si>
  <si>
    <t>Other Expenses</t>
  </si>
  <si>
    <t xml:space="preserve">Tax Rate (%) </t>
  </si>
  <si>
    <t>Valuation Assumptions</t>
  </si>
  <si>
    <t>From FactSet</t>
  </si>
  <si>
    <t>Working Capital Schedule</t>
  </si>
  <si>
    <t>Working Capital</t>
  </si>
  <si>
    <t>Current Assets</t>
  </si>
  <si>
    <t>Total CA</t>
  </si>
  <si>
    <t>Current Liabilities</t>
  </si>
  <si>
    <t>Total CL</t>
  </si>
  <si>
    <t>Accounts Recievables</t>
  </si>
  <si>
    <t>Net Working Capital</t>
  </si>
  <si>
    <t>% SG&amp;A</t>
  </si>
  <si>
    <t>% Revenue</t>
  </si>
  <si>
    <t>cash from top line of balance sheet</t>
  </si>
  <si>
    <t>Sensitivity Analysis</t>
  </si>
  <si>
    <t>from WACC tab</t>
  </si>
  <si>
    <t>Notes</t>
  </si>
  <si>
    <t>Public Comparable Companies Analysis</t>
  </si>
  <si>
    <t>Discounted Cash Flow Analysis</t>
  </si>
  <si>
    <t xml:space="preserve">You must download FactSet 365 from FactSet.com in order to automate parts of this model. You gain access to the "FactSet 365" tab via the "Add-ins" button in the top right of the Home tab after you have downloaded the software from their website. </t>
  </si>
  <si>
    <t xml:space="preserve">Statement of Confidentiality </t>
  </si>
  <si>
    <t>This financial model is developed for use by Apex Trading Group. Please do not share, distribute, or reproduce this material without prior consent, as it contains  information intended only for authorized individuals.</t>
  </si>
  <si>
    <t>Comparable Company 9</t>
  </si>
  <si>
    <t>Comparable Company 10</t>
  </si>
  <si>
    <t>TTMI-USA</t>
  </si>
  <si>
    <t>TTM Technologies, Inc. (TTMI)</t>
  </si>
  <si>
    <t>TTM Technologies, Inc.</t>
  </si>
  <si>
    <t xml:space="preserve">TTMI   87305R109   2635659   NASDAQ    Common stock    </t>
  </si>
  <si>
    <t>DEC '25</t>
  </si>
  <si>
    <t>DEC '24</t>
  </si>
  <si>
    <t>Amortization of Intangibles</t>
  </si>
  <si>
    <t>Research &amp; Development</t>
  </si>
  <si>
    <t>Interest Expense</t>
  </si>
  <si>
    <t>Gross Interest Expense</t>
  </si>
  <si>
    <t>Interest Capitalized</t>
  </si>
  <si>
    <t>Goodwill</t>
  </si>
  <si>
    <t>Excpl Chrgs - Others</t>
  </si>
  <si>
    <t>Restructuring of Debt</t>
  </si>
  <si>
    <t>Accelerated Depreciation</t>
  </si>
  <si>
    <t>Minority Interest</t>
  </si>
  <si>
    <t>Discontinued Operations</t>
  </si>
  <si>
    <t>Assets</t>
  </si>
  <si>
    <t>Cash &amp; Short-Term Investments</t>
  </si>
  <si>
    <t>Cash Only</t>
  </si>
  <si>
    <t>Short-Term Receivables</t>
  </si>
  <si>
    <t>Accounts Receivables, Net</t>
  </si>
  <si>
    <t>Accounts Receivables, Gross</t>
  </si>
  <si>
    <t>Bad Debt/Doubtful Accounts</t>
  </si>
  <si>
    <t>Other Receivables</t>
  </si>
  <si>
    <t>Finished Goods</t>
  </si>
  <si>
    <t>Work in Progress</t>
  </si>
  <si>
    <t>Raw Materials</t>
  </si>
  <si>
    <t>Other Current Assets</t>
  </si>
  <si>
    <t>Miscellaneous Current Assets</t>
  </si>
  <si>
    <t>Total Current Assets</t>
  </si>
  <si>
    <t>Net Property, Plant &amp; Equipment</t>
  </si>
  <si>
    <t>Property, Plant &amp; Equipment - Gross</t>
  </si>
  <si>
    <t>Buildings</t>
  </si>
  <si>
    <t>Land &amp; Improvements</t>
  </si>
  <si>
    <t>Machinery &amp; Equipment</t>
  </si>
  <si>
    <t>Construction in Progress</t>
  </si>
  <si>
    <t>Other Property, Plant &amp; Equipment</t>
  </si>
  <si>
    <t>Operating Lease Right-of-Use Assets</t>
  </si>
  <si>
    <t>Accumulated Depreciation</t>
  </si>
  <si>
    <t xml:space="preserve">Total Long-Term Investments </t>
  </si>
  <si>
    <t>Other Long-Term Investments</t>
  </si>
  <si>
    <t>Long-Term Note Receivable</t>
  </si>
  <si>
    <t>Intangible Assets</t>
  </si>
  <si>
    <t>Other Intangible Assets</t>
  </si>
  <si>
    <t>Other Assets</t>
  </si>
  <si>
    <t>Deferred Charges</t>
  </si>
  <si>
    <t>Tangible Other Assets</t>
  </si>
  <si>
    <t>Total Assets</t>
  </si>
  <si>
    <t>Liabilities &amp; Shareholders' Equity</t>
  </si>
  <si>
    <t>Current</t>
  </si>
  <si>
    <t>ST Debt &amp; Curr. Portion LT Debt</t>
  </si>
  <si>
    <t>Income Tax Payable</t>
  </si>
  <si>
    <t>Other Current Liabilities</t>
  </si>
  <si>
    <t>Accrued Payroll</t>
  </si>
  <si>
    <t>Miscellaneous Current Liabilities</t>
  </si>
  <si>
    <t>Total Current Liabilities</t>
  </si>
  <si>
    <t>Long-Term</t>
  </si>
  <si>
    <t>Long-Term Debt</t>
  </si>
  <si>
    <t>Long-Term Debt excl Lease Obligations</t>
  </si>
  <si>
    <t>Capital and Operating Lease Obligations</t>
  </si>
  <si>
    <t>Provision for Risks &amp; Charges</t>
  </si>
  <si>
    <t>Deferred Tax Liabilities</t>
  </si>
  <si>
    <t>Other Liabilities</t>
  </si>
  <si>
    <t>Other Liabilities (excl. Deferred Income)</t>
  </si>
  <si>
    <t>Total Liabilities</t>
  </si>
  <si>
    <t>Equity</t>
  </si>
  <si>
    <t>Common Equity</t>
  </si>
  <si>
    <t>Common Stock Par/Carry Value</t>
  </si>
  <si>
    <t>Additional Paid-In Capital/Capital Surplus</t>
  </si>
  <si>
    <t>Retained Earnings</t>
  </si>
  <si>
    <t>Cumulative Translation Adjustment/Unrealized For. Exch. Gain</t>
  </si>
  <si>
    <t>Other Appropriated Reserves</t>
  </si>
  <si>
    <t>Treasury Stock</t>
  </si>
  <si>
    <t>Total Shareholders' Equity</t>
  </si>
  <si>
    <t>Accumulated Minority Interest</t>
  </si>
  <si>
    <t>Total Equity</t>
  </si>
  <si>
    <t>Total Liabilities &amp; Shareholders' Equity</t>
  </si>
  <si>
    <t>Book Value per Share</t>
  </si>
  <si>
    <t>Tangible Book Value per Share</t>
  </si>
  <si>
    <t>Amortization of Intangible Assets</t>
  </si>
  <si>
    <t>Net Assets from Acquisitions</t>
  </si>
  <si>
    <t>Proceeds from Stock Options</t>
  </si>
  <si>
    <t>Issuance/Reduction of Debt, Net</t>
  </si>
  <si>
    <t>Change in Current Debt</t>
  </si>
  <si>
    <t>Change in Long-Term Debt</t>
  </si>
  <si>
    <t>Issuance of Long-Term Debt</t>
  </si>
  <si>
    <t>Reduction in Long-Term Debt</t>
  </si>
  <si>
    <t>--</t>
  </si>
  <si>
    <t>JBL-USA</t>
  </si>
  <si>
    <t>FLEX-USA</t>
  </si>
  <si>
    <t>SANM-USA</t>
  </si>
  <si>
    <t>PLXS-USA</t>
  </si>
  <si>
    <t>BHE-USA</t>
  </si>
  <si>
    <t>CLS-USA</t>
  </si>
  <si>
    <t>FN-USA</t>
  </si>
  <si>
    <t>Exit Multiples Method</t>
  </si>
  <si>
    <t>2030 EBITDA</t>
  </si>
  <si>
    <t>Terminal EBITDA Multiple</t>
  </si>
  <si>
    <t>16.9x</t>
  </si>
  <si>
    <t>TV</t>
  </si>
  <si>
    <t>Years</t>
  </si>
  <si>
    <t>PV of TV</t>
  </si>
  <si>
    <t>Total Enterprise Value</t>
  </si>
  <si>
    <t>Equity Value</t>
  </si>
  <si>
    <t>Implied Share Price</t>
  </si>
  <si>
    <t>Implied Upside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</si>
</sst>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7" formatCode="&quot;$&quot;#,##0.00_);\(&quot;$&quot;#,##0.00\)"/>
    <numFmt numFmtId="44" formatCode="_(&quot;$&quot;* #,##0.00_);_(&quot;$&quot;* \(#,##0.00\);_(&quot;$&quot;* &quot;-&quot;??_);_(@_)"/>
    <numFmt numFmtId="43" formatCode="_(* #,##0.00_);_(* \(#,##0.00\);_(* &quot;-&quot;??_);_(@_)"/>
    <numFmt numFmtId="164" formatCode="0.0%"/>
    <numFmt numFmtId="165" formatCode="0.00000%"/>
    <numFmt numFmtId="166" formatCode="&quot;$&quot;#,##0.00"/>
    <numFmt numFmtId="167" formatCode="0%;\(0%\)"/>
    <numFmt numFmtId="168" formatCode="0\A"/>
    <numFmt numFmtId="169" formatCode="0&quot;E&quot;"/>
    <numFmt numFmtId="170" formatCode="#,##0.00_);\(#,##0.00\);\ \-\ \-\ "/>
    <numFmt numFmtId="171" formatCode="&quot;$&quot;#,##0_);\(&quot;$&quot;#,##0\);\ \-\ \-\ "/>
    <numFmt numFmtId="172" formatCode="&quot;$&quot;#,##0.00_);\(&quot;$&quot;#,##0.00\);\ \-\ \-\ "/>
    <numFmt numFmtId="173" formatCode="#,##0.0\x_);\(#,##0.0\x\);\ \-\ \-\ "/>
    <numFmt numFmtId="174" formatCode="#,##0_);\(#,##0\);\ \-\ \-\ "/>
    <numFmt numFmtId="175" formatCode="&quot;$&quot;#,##0"/>
    <numFmt numFmtId="176" formatCode="#,##0.00\x_);\(#,##0.00\x\);\ \-\ \-\ "/>
    <numFmt numFmtId="177" formatCode="####&quot;E&quot;"/>
    <numFmt numFmtId="178" formatCode="#,##0.0"/>
    <numFmt numFmtId="179" formatCode="_(* #,##0_);_(* \(#,##0\);_(* &quot;-&quot;??_);_(@_)"/>
    <numFmt numFmtId="180" formatCode="0&quot;P&quot;"/>
    <numFmt numFmtId="181" formatCode="0.0"/>
  </numFmts>
  <fonts count="77">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6"/>
      <color theme="1"/>
      <name val="Calibri"/>
      <family val="2"/>
      <scheme val="minor"/>
    </font>
    <font>
      <u/>
      <sz val="11"/>
      <color theme="10"/>
      <name val="Calibri"/>
      <family val="2"/>
      <scheme val="minor"/>
    </font>
    <font>
      <b/>
      <u/>
      <sz val="11"/>
      <color theme="1"/>
      <name val="Calibri"/>
      <family val="2"/>
      <scheme val="minor"/>
    </font>
    <font>
      <sz val="10"/>
      <color theme="1"/>
      <name val="Arial"/>
      <family val="2"/>
    </font>
    <font>
      <sz val="11"/>
      <color theme="9" tint="-0.249977111117893"/>
      <name val="Calibri"/>
      <family val="2"/>
      <scheme val="minor"/>
    </font>
    <font>
      <sz val="11"/>
      <color rgb="FF7030A0"/>
      <name val="Calibri"/>
      <family val="2"/>
      <scheme val="minor"/>
    </font>
    <font>
      <u/>
      <sz val="11"/>
      <color theme="1"/>
      <name val="Calibri"/>
      <family val="2"/>
      <scheme val="minor"/>
    </font>
    <font>
      <sz val="11"/>
      <name val="Calibri"/>
      <family val="2"/>
      <scheme val="minor"/>
    </font>
    <font>
      <sz val="11"/>
      <color theme="9"/>
      <name val="Calibri"/>
      <family val="2"/>
      <scheme val="minor"/>
    </font>
    <font>
      <i/>
      <sz val="11"/>
      <color theme="1"/>
      <name val="Calibri"/>
      <family val="2"/>
      <scheme val="minor"/>
    </font>
    <font>
      <i/>
      <sz val="11"/>
      <color rgb="FF7030A0"/>
      <name val="Calibri"/>
      <family val="2"/>
      <scheme val="minor"/>
    </font>
    <font>
      <i/>
      <sz val="11"/>
      <name val="Calibri"/>
      <family val="2"/>
      <scheme val="minor"/>
    </font>
    <font>
      <i/>
      <sz val="11"/>
      <color rgb="FFC00000"/>
      <name val="Calibri"/>
      <family val="2"/>
      <scheme val="minor"/>
    </font>
    <font>
      <sz val="11"/>
      <color rgb="FF0033CC"/>
      <name val="Calibri"/>
      <family val="2"/>
      <scheme val="minor"/>
    </font>
    <font>
      <sz val="11"/>
      <color theme="1"/>
      <name val="Inter"/>
    </font>
    <font>
      <u/>
      <sz val="10"/>
      <color theme="10"/>
      <name val="Arial"/>
      <family val="2"/>
    </font>
    <font>
      <sz val="10"/>
      <color theme="1"/>
      <name val="Calibri"/>
      <family val="2"/>
    </font>
    <font>
      <sz val="10"/>
      <color rgb="FF0000FF"/>
      <name val="Calibri"/>
      <family val="2"/>
    </font>
    <font>
      <i/>
      <sz val="10"/>
      <color theme="1"/>
      <name val="Calibri"/>
      <family val="2"/>
    </font>
    <font>
      <sz val="10"/>
      <color theme="1" tint="4.9989318521683403E-2"/>
      <name val="Calibri"/>
      <family val="2"/>
    </font>
    <font>
      <u/>
      <sz val="10"/>
      <color theme="1"/>
      <name val="Calibri"/>
      <family val="2"/>
    </font>
    <font>
      <b/>
      <u/>
      <sz val="10"/>
      <color theme="0"/>
      <name val="Calibri"/>
      <family val="2"/>
    </font>
    <font>
      <b/>
      <sz val="10"/>
      <color theme="0"/>
      <name val="Calibri"/>
      <family val="2"/>
    </font>
    <font>
      <b/>
      <u/>
      <sz val="10"/>
      <color rgb="FFFFFFFF"/>
      <name val="Calibri"/>
      <family val="2"/>
    </font>
    <font>
      <b/>
      <sz val="18"/>
      <color theme="1"/>
      <name val="Calibri"/>
      <family val="2"/>
      <scheme val="minor"/>
    </font>
    <font>
      <sz val="8"/>
      <name val="Calibri"/>
      <family val="2"/>
      <scheme val="minor"/>
    </font>
    <font>
      <b/>
      <i/>
      <sz val="10"/>
      <color theme="1"/>
      <name val="Calibri"/>
      <family val="2"/>
    </font>
    <font>
      <b/>
      <sz val="10"/>
      <color theme="1"/>
      <name val="Calibri"/>
      <family val="2"/>
    </font>
    <font>
      <sz val="11"/>
      <color theme="1" tint="4.9989318521683403E-2"/>
      <name val="Calibri"/>
      <family val="2"/>
      <scheme val="minor"/>
    </font>
    <font>
      <b/>
      <u/>
      <sz val="10"/>
      <name val="Calibri"/>
      <family val="2"/>
    </font>
    <font>
      <b/>
      <sz val="10"/>
      <name val="Calibri"/>
      <family val="2"/>
    </font>
    <font>
      <sz val="10"/>
      <name val="Calibri"/>
      <family val="2"/>
    </font>
    <font>
      <b/>
      <i/>
      <sz val="10"/>
      <color theme="0"/>
      <name val="Calibri"/>
      <family val="2"/>
    </font>
    <font>
      <b/>
      <i/>
      <sz val="10"/>
      <color theme="3" tint="0.79998168889431442"/>
      <name val="Calibri"/>
      <family val="2"/>
    </font>
    <font>
      <sz val="12"/>
      <color theme="1"/>
      <name val="Calibri"/>
      <family val="2"/>
    </font>
    <font>
      <b/>
      <sz val="12"/>
      <color theme="1"/>
      <name val="Calibri"/>
      <family val="2"/>
    </font>
    <font>
      <b/>
      <sz val="12"/>
      <color theme="0"/>
      <name val="Calibri"/>
      <family val="2"/>
    </font>
    <font>
      <sz val="12"/>
      <name val="Calibri"/>
      <family val="2"/>
    </font>
    <font>
      <sz val="12"/>
      <color theme="9"/>
      <name val="Calibri"/>
      <family val="2"/>
    </font>
    <font>
      <i/>
      <sz val="12"/>
      <color theme="1"/>
      <name val="Calibri"/>
      <family val="2"/>
    </font>
    <font>
      <i/>
      <sz val="12"/>
      <name val="Calibri"/>
      <family val="2"/>
    </font>
    <font>
      <i/>
      <sz val="12"/>
      <color rgb="FF7030A0"/>
      <name val="Calibri"/>
      <family val="2"/>
    </font>
    <font>
      <i/>
      <sz val="12"/>
      <color rgb="FFC00000"/>
      <name val="Calibri"/>
      <family val="2"/>
    </font>
    <font>
      <b/>
      <i/>
      <sz val="11"/>
      <color theme="1"/>
      <name val="Calibri"/>
      <family val="2"/>
      <scheme val="minor"/>
    </font>
    <font>
      <b/>
      <sz val="10"/>
      <color theme="1"/>
      <name val="Arial"/>
      <family val="2"/>
    </font>
    <font>
      <b/>
      <sz val="10"/>
      <color rgb="FF003366"/>
      <name val="Arial"/>
      <family val="2"/>
    </font>
    <font>
      <sz val="10"/>
      <color rgb="FFFF0000"/>
      <name val="Arial"/>
      <family val="2"/>
    </font>
    <font>
      <sz val="10"/>
      <color rgb="FF646464"/>
      <name val="Arial"/>
      <family val="2"/>
    </font>
    <font>
      <sz val="12"/>
      <color rgb="FFFF0000"/>
      <name val="Calibri"/>
      <family val="2"/>
    </font>
    <font>
      <i/>
      <sz val="12"/>
      <color rgb="FFFF0000"/>
      <name val="Calibri"/>
      <family val="2"/>
    </font>
    <font>
      <sz val="15"/>
      <color theme="1"/>
      <name val="Calibri"/>
      <family val="2"/>
      <scheme val="minor"/>
    </font>
    <font>
      <b/>
      <sz val="11"/>
      <color theme="1" tint="4.9989318521683403E-2"/>
      <name val="Calibri"/>
      <family val="2"/>
      <scheme val="minor"/>
    </font>
    <font>
      <b/>
      <sz val="11"/>
      <color theme="1"/>
      <name val="Calibri"/>
      <family val="2"/>
      <scheme val="minor"/>
    </font>
    <font>
      <b/>
      <sz val="24"/>
      <color theme="0"/>
      <name val="Arial"/>
      <family val="2"/>
    </font>
    <font>
      <i/>
      <sz val="10"/>
      <color theme="1"/>
      <name val="Arial"/>
      <family val="2"/>
    </font>
    <font>
      <sz val="11"/>
      <color theme="1"/>
      <name val="Arial"/>
      <family val="2"/>
    </font>
    <font>
      <u/>
      <sz val="10"/>
      <color rgb="FF0070C0"/>
      <name val="Arial"/>
      <family val="2"/>
    </font>
    <font>
      <i/>
      <sz val="11"/>
      <color theme="1"/>
      <name val="Arial"/>
      <family val="2"/>
    </font>
    <font>
      <u/>
      <sz val="10"/>
      <color theme="1"/>
      <name val="Arial"/>
      <family val="2"/>
    </font>
    <font>
      <i/>
      <sz val="10"/>
      <name val="Arial"/>
      <family val="2"/>
    </font>
    <font>
      <sz val="11"/>
      <color theme="0"/>
      <name val="Arial"/>
      <family val="2"/>
    </font>
    <font>
      <b/>
      <sz val="14"/>
      <color theme="1"/>
      <name val="Arial"/>
      <family val="2"/>
    </font>
    <font>
      <b/>
      <sz val="14"/>
      <name val="Arial"/>
      <family val="2"/>
    </font>
    <font>
      <i/>
      <sz val="10"/>
      <color theme="1" tint="4.9989318521683403E-2"/>
      <name val="Calibri"/>
      <family val="2"/>
    </font>
    <font>
      <i/>
      <sz val="10"/>
      <color rgb="FF0000FF"/>
      <name val="Calibri"/>
      <family val="2"/>
    </font>
    <font>
      <u/>
      <sz val="12"/>
      <color rgb="FF0033CC"/>
      <name val="Arial"/>
      <family val="2"/>
    </font>
    <font>
      <sz val="12"/>
      <color rgb="FF0033CC"/>
      <name val="Arial"/>
      <family val="2"/>
    </font>
    <font>
      <b/>
      <i/>
      <sz val="24"/>
      <color theme="0"/>
      <name val="Arial"/>
      <family val="2"/>
    </font>
    <font>
      <sz val="11"/>
      <color theme="1"/>
      <name val="Calibri"/>
      <family val="2"/>
    </font>
    <font>
      <b/>
      <sz val="10"/>
      <color rgb="FF000000"/>
      <name val="Arial"/>
      <family val="2"/>
    </font>
    <font>
      <sz val="10"/>
      <color rgb="FF000000"/>
      <name val="Arial"/>
      <family val="2"/>
    </font>
    <font>
      <sz val="11"/>
      <color rgb="FF0000FF"/>
      <name val="Calibri"/>
      <family val="2"/>
    </font>
    <font>
      <sz val="11"/>
      <color rgb="FF0000FF"/>
      <name val="Calibri"/>
      <family val="2"/>
      <scheme val="minor"/>
    </font>
  </fonts>
  <fills count="29">
    <fill>
      <patternFill patternType="none"/>
    </fill>
    <fill>
      <patternFill patternType="gray125"/>
    </fill>
    <fill>
      <patternFill patternType="solid">
        <fgColor theme="3"/>
        <bgColor indexed="64"/>
      </patternFill>
    </fill>
    <fill>
      <patternFill patternType="solid">
        <fgColor theme="7" tint="0.79998168889431442"/>
        <bgColor indexed="64"/>
      </patternFill>
    </fill>
    <fill>
      <patternFill patternType="solid">
        <fgColor theme="4"/>
        <bgColor indexed="64"/>
      </patternFill>
    </fill>
    <fill>
      <patternFill patternType="solid">
        <fgColor theme="1" tint="0.14999847407452621"/>
        <bgColor indexed="64"/>
      </patternFill>
    </fill>
    <fill>
      <patternFill patternType="solid">
        <fgColor theme="0"/>
        <bgColor indexed="64"/>
      </patternFill>
    </fill>
    <fill>
      <patternFill patternType="solid">
        <fgColor rgb="FFFFFFFF"/>
        <bgColor rgb="FFFFFFFF"/>
      </patternFill>
    </fill>
    <fill>
      <patternFill patternType="solid">
        <fgColor theme="9" tint="0.59999389629810485"/>
        <bgColor indexed="64"/>
      </patternFill>
    </fill>
    <fill>
      <patternFill patternType="solid">
        <fgColor rgb="FFFFFF00"/>
        <bgColor indexed="64"/>
      </patternFill>
    </fill>
    <fill>
      <patternFill patternType="solid">
        <fgColor theme="2"/>
        <bgColor indexed="64"/>
      </patternFill>
    </fill>
    <fill>
      <patternFill patternType="solid">
        <fgColor rgb="FF002060"/>
        <bgColor rgb="FF2F5496"/>
      </patternFill>
    </fill>
    <fill>
      <patternFill patternType="solid">
        <fgColor theme="3" tint="0.79998168889431442"/>
        <bgColor indexed="64"/>
      </patternFill>
    </fill>
    <fill>
      <patternFill patternType="solid">
        <fgColor theme="3" tint="0.79998168889431442"/>
        <bgColor rgb="FFFFFFFF"/>
      </patternFill>
    </fill>
    <fill>
      <patternFill patternType="solid">
        <fgColor theme="0" tint="-0.14999847407452621"/>
        <bgColor indexed="64"/>
      </patternFill>
    </fill>
    <fill>
      <patternFill patternType="solid">
        <fgColor rgb="FF202846"/>
        <bgColor indexed="64"/>
      </patternFill>
    </fill>
    <fill>
      <patternFill patternType="solid">
        <fgColor rgb="FFFF0000"/>
        <bgColor indexed="64"/>
      </patternFill>
    </fill>
    <fill>
      <patternFill patternType="solid">
        <fgColor rgb="FFC8C8C8"/>
        <bgColor indexed="64"/>
      </patternFill>
    </fill>
    <fill>
      <patternFill patternType="solid">
        <fgColor rgb="FFF0F0F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rgb="FFC8C8C8"/>
        <bgColor rgb="FF000000"/>
      </patternFill>
    </fill>
    <fill>
      <patternFill patternType="solid">
        <fgColor rgb="FFF0F0F0"/>
        <bgColor rgb="FF000000"/>
      </patternFill>
    </fill>
    <fill>
      <patternFill patternType="solid">
        <fgColor rgb="FFFFF2CC"/>
      </patternFill>
    </fill>
    <fill>
      <patternFill patternType="solid">
        <fgColor rgb="FFE2F0D9"/>
      </patternFill>
    </fill>
    <fill>
      <patternFill patternType="solid">
        <fgColor rgb="FFFFF2CC"/>
        <bgColor rgb="FF000000"/>
      </patternFill>
    </fill>
    <fill>
      <patternFill patternType="solid">
        <fgColor rgb="FFE2F0D9"/>
        <bgColor rgb="FF000000"/>
      </patternFill>
    </fill>
  </fills>
  <borders count="48">
    <border>
      <left/>
      <right/>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theme="0"/>
      </bottom>
      <diagonal/>
    </border>
    <border>
      <left/>
      <right style="medium">
        <color indexed="64"/>
      </right>
      <top/>
      <bottom style="medium">
        <color theme="0"/>
      </bottom>
      <diagonal/>
    </border>
    <border>
      <left/>
      <right style="medium">
        <color rgb="FF002060"/>
      </right>
      <top style="medium">
        <color theme="0"/>
      </top>
      <bottom/>
      <diagonal/>
    </border>
    <border>
      <left/>
      <right style="thick">
        <color rgb="FF002060"/>
      </right>
      <top/>
      <bottom style="medium">
        <color theme="0"/>
      </bottom>
      <diagonal/>
    </border>
    <border>
      <left style="thick">
        <color rgb="FF002060"/>
      </left>
      <right/>
      <top/>
      <bottom style="medium">
        <color theme="0"/>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right/>
      <top/>
      <bottom style="thin">
        <color rgb="FF000000"/>
      </bottom>
      <diagonal/>
    </border>
    <border>
      <left/>
      <right/>
      <top style="thin">
        <color rgb="FF000000"/>
      </top>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style="hair">
        <color indexed="64"/>
      </top>
      <bottom/>
      <diagonal/>
    </border>
    <border>
      <left/>
      <right/>
      <top style="medium">
        <color indexed="64"/>
      </top>
      <bottom style="medium">
        <color indexed="64"/>
      </bottom>
      <diagonal/>
    </border>
  </borders>
  <cellStyleXfs count="9">
    <xf numFmtId="0" fontId="0" fillId="0" borderId="0"/>
    <xf numFmtId="9" fontId="1" fillId="0" borderId="0" applyFont="0" applyFill="0" applyBorder="0" applyAlignment="0" applyProtection="0"/>
    <xf numFmtId="0" fontId="7" fillId="0" borderId="0"/>
    <xf numFmtId="44" fontId="1" fillId="0" borderId="0" applyFont="0" applyFill="0" applyBorder="0" applyAlignment="0" applyProtection="0"/>
    <xf numFmtId="0" fontId="1" fillId="0" borderId="0"/>
    <xf numFmtId="0" fontId="5" fillId="0" borderId="0" applyNumberFormat="0" applyFill="0" applyBorder="0" applyAlignment="0" applyProtection="0"/>
    <xf numFmtId="0" fontId="19" fillId="0" borderId="0" applyNumberForma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cellStyleXfs>
  <cellXfs count="496">
    <xf numFmtId="0" fontId="0" fillId="0" borderId="0" xfId="0"/>
    <xf numFmtId="0" fontId="4" fillId="0" borderId="1" xfId="0" applyFont="1" applyBorder="1"/>
    <xf numFmtId="0" fontId="0" fillId="0" borderId="1" xfId="0" applyBorder="1"/>
    <xf numFmtId="0" fontId="0" fillId="0" borderId="0" xfId="0" applyAlignment="1">
      <alignment horizontal="center"/>
    </xf>
    <xf numFmtId="0" fontId="2" fillId="2" borderId="0" xfId="0" applyFont="1" applyFill="1"/>
    <xf numFmtId="3" fontId="0" fillId="0" borderId="0" xfId="0" applyNumberFormat="1"/>
    <xf numFmtId="165" fontId="0" fillId="0" borderId="0" xfId="0" applyNumberFormat="1"/>
    <xf numFmtId="0" fontId="0" fillId="3" borderId="2" xfId="0" applyFill="1" applyBorder="1" applyAlignment="1">
      <alignment horizontal="center"/>
    </xf>
    <xf numFmtId="166" fontId="0" fillId="0" borderId="0" xfId="0" applyNumberFormat="1"/>
    <xf numFmtId="14" fontId="0" fillId="3" borderId="2" xfId="0" applyNumberFormat="1" applyFill="1" applyBorder="1" applyAlignment="1">
      <alignment horizontal="center"/>
    </xf>
    <xf numFmtId="167" fontId="0" fillId="0" borderId="0" xfId="1" applyNumberFormat="1" applyFont="1"/>
    <xf numFmtId="168" fontId="2" fillId="2" borderId="0" xfId="0" applyNumberFormat="1" applyFont="1" applyFill="1"/>
    <xf numFmtId="169" fontId="2" fillId="2" borderId="0" xfId="0" applyNumberFormat="1" applyFont="1" applyFill="1"/>
    <xf numFmtId="0" fontId="11" fillId="0" borderId="0" xfId="0" applyFont="1"/>
    <xf numFmtId="0" fontId="13" fillId="0" borderId="0" xfId="0" applyFont="1" applyAlignment="1">
      <alignment horizontal="left" indent="1"/>
    </xf>
    <xf numFmtId="37" fontId="12" fillId="0" borderId="0" xfId="0" applyNumberFormat="1" applyFont="1"/>
    <xf numFmtId="0" fontId="13" fillId="0" borderId="0" xfId="0" applyFont="1"/>
    <xf numFmtId="167" fontId="15" fillId="0" borderId="0" xfId="1" applyNumberFormat="1" applyFont="1" applyFill="1" applyBorder="1" applyAlignment="1"/>
    <xf numFmtId="0" fontId="0" fillId="0" borderId="3" xfId="0" applyBorder="1"/>
    <xf numFmtId="3" fontId="0" fillId="0" borderId="3" xfId="0" applyNumberFormat="1" applyBorder="1"/>
    <xf numFmtId="0" fontId="0" fillId="0" borderId="4" xfId="0" applyBorder="1"/>
    <xf numFmtId="3" fontId="0" fillId="0" borderId="4" xfId="0" applyNumberFormat="1" applyBorder="1"/>
    <xf numFmtId="3" fontId="0" fillId="0" borderId="1" xfId="0" applyNumberFormat="1" applyBorder="1"/>
    <xf numFmtId="167" fontId="9" fillId="0" borderId="0" xfId="0" quotePrefix="1" applyNumberFormat="1" applyFont="1" applyAlignment="1">
      <alignment horizontal="right"/>
    </xf>
    <xf numFmtId="0" fontId="18" fillId="5" borderId="0" xfId="4" applyFont="1" applyFill="1" applyAlignment="1">
      <alignment horizontal="center"/>
    </xf>
    <xf numFmtId="0" fontId="18" fillId="5" borderId="0" xfId="4" applyFont="1" applyFill="1"/>
    <xf numFmtId="0" fontId="18" fillId="6" borderId="0" xfId="4" applyFont="1" applyFill="1" applyAlignment="1">
      <alignment horizontal="center"/>
    </xf>
    <xf numFmtId="0" fontId="20" fillId="0" borderId="0" xfId="0" applyFont="1" applyAlignment="1">
      <alignment horizontal="left"/>
    </xf>
    <xf numFmtId="0" fontId="20" fillId="0" borderId="0" xfId="0" applyFont="1" applyAlignment="1">
      <alignment horizontal="right"/>
    </xf>
    <xf numFmtId="173" fontId="20" fillId="0" borderId="0" xfId="0" applyNumberFormat="1" applyFont="1" applyAlignment="1">
      <alignment horizontal="right"/>
    </xf>
    <xf numFmtId="0" fontId="22" fillId="0" borderId="0" xfId="0" applyFont="1" applyAlignment="1">
      <alignment horizontal="left"/>
    </xf>
    <xf numFmtId="173" fontId="20" fillId="0" borderId="0" xfId="0" applyNumberFormat="1" applyFont="1" applyAlignment="1">
      <alignment horizontal="left"/>
    </xf>
    <xf numFmtId="174" fontId="20" fillId="0" borderId="0" xfId="0" applyNumberFormat="1" applyFont="1" applyAlignment="1">
      <alignment horizontal="left"/>
    </xf>
    <xf numFmtId="174" fontId="21" fillId="7" borderId="0" xfId="0" applyNumberFormat="1" applyFont="1" applyFill="1" applyAlignment="1">
      <alignment horizontal="left"/>
    </xf>
    <xf numFmtId="170" fontId="21" fillId="0" borderId="0" xfId="0" applyNumberFormat="1" applyFont="1" applyAlignment="1">
      <alignment horizontal="left"/>
    </xf>
    <xf numFmtId="175" fontId="20" fillId="0" borderId="6" xfId="3" applyNumberFormat="1" applyFont="1" applyBorder="1" applyAlignment="1">
      <alignment horizontal="right"/>
    </xf>
    <xf numFmtId="175" fontId="20" fillId="0" borderId="0" xfId="3" applyNumberFormat="1" applyFont="1" applyBorder="1" applyAlignment="1">
      <alignment horizontal="right"/>
    </xf>
    <xf numFmtId="0" fontId="20" fillId="0" borderId="8" xfId="0" applyFont="1" applyBorder="1" applyAlignment="1">
      <alignment horizontal="left"/>
    </xf>
    <xf numFmtId="0" fontId="20" fillId="0" borderId="9" xfId="0" applyFont="1" applyBorder="1" applyAlignment="1">
      <alignment horizontal="left"/>
    </xf>
    <xf numFmtId="0" fontId="24" fillId="0" borderId="0" xfId="0" applyFont="1" applyAlignment="1">
      <alignment horizontal="center"/>
    </xf>
    <xf numFmtId="0" fontId="27" fillId="0" borderId="0" xfId="0" applyFont="1" applyAlignment="1">
      <alignment horizontal="center"/>
    </xf>
    <xf numFmtId="0" fontId="20" fillId="0" borderId="0" xfId="0" applyFont="1" applyAlignment="1">
      <alignment horizontal="center"/>
    </xf>
    <xf numFmtId="0" fontId="26" fillId="0" borderId="0" xfId="0" applyFont="1" applyAlignment="1">
      <alignment horizontal="center"/>
    </xf>
    <xf numFmtId="9" fontId="16" fillId="0" borderId="0" xfId="1" applyFont="1" applyFill="1" applyBorder="1" applyAlignment="1">
      <alignment horizontal="right"/>
    </xf>
    <xf numFmtId="9" fontId="13" fillId="0" borderId="0" xfId="1" applyFont="1" applyFill="1" applyBorder="1" applyAlignment="1">
      <alignment horizontal="right"/>
    </xf>
    <xf numFmtId="0" fontId="2" fillId="2" borderId="12" xfId="0" applyFont="1" applyFill="1" applyBorder="1"/>
    <xf numFmtId="0" fontId="2" fillId="2" borderId="11" xfId="0" applyFont="1" applyFill="1" applyBorder="1"/>
    <xf numFmtId="0" fontId="0" fillId="0" borderId="9" xfId="0" applyBorder="1"/>
    <xf numFmtId="0" fontId="13" fillId="0" borderId="9" xfId="0" applyFont="1" applyBorder="1" applyAlignment="1">
      <alignment horizontal="left" indent="1"/>
    </xf>
    <xf numFmtId="0" fontId="0" fillId="0" borderId="8" xfId="0" applyBorder="1"/>
    <xf numFmtId="37" fontId="11" fillId="0" borderId="8" xfId="0" applyNumberFormat="1" applyFont="1" applyBorder="1"/>
    <xf numFmtId="0" fontId="0" fillId="0" borderId="13" xfId="0" applyBorder="1"/>
    <xf numFmtId="3" fontId="0" fillId="0" borderId="14" xfId="0" applyNumberFormat="1" applyBorder="1"/>
    <xf numFmtId="0" fontId="13" fillId="0" borderId="9" xfId="0" applyFont="1" applyBorder="1"/>
    <xf numFmtId="0" fontId="0" fillId="0" borderId="15" xfId="0" applyBorder="1"/>
    <xf numFmtId="3" fontId="0" fillId="0" borderId="16" xfId="0" applyNumberFormat="1" applyBorder="1"/>
    <xf numFmtId="0" fontId="0" fillId="0" borderId="17" xfId="0" applyBorder="1"/>
    <xf numFmtId="3" fontId="0" fillId="0" borderId="18" xfId="0" applyNumberFormat="1" applyBorder="1"/>
    <xf numFmtId="2" fontId="0" fillId="0" borderId="8" xfId="0" applyNumberFormat="1" applyBorder="1"/>
    <xf numFmtId="3" fontId="8" fillId="0" borderId="8" xfId="0" applyNumberFormat="1" applyFont="1" applyBorder="1"/>
    <xf numFmtId="3" fontId="17" fillId="0" borderId="8" xfId="0" applyNumberFormat="1" applyFont="1" applyBorder="1"/>
    <xf numFmtId="3" fontId="0" fillId="0" borderId="8" xfId="0" applyNumberFormat="1" applyBorder="1"/>
    <xf numFmtId="0" fontId="0" fillId="0" borderId="7" xfId="0" applyBorder="1"/>
    <xf numFmtId="0" fontId="0" fillId="0" borderId="6" xfId="0" applyBorder="1"/>
    <xf numFmtId="14" fontId="0" fillId="0" borderId="0" xfId="0" applyNumberFormat="1" applyAlignment="1">
      <alignment horizontal="center"/>
    </xf>
    <xf numFmtId="0" fontId="28" fillId="0" borderId="1" xfId="0" applyFont="1" applyBorder="1"/>
    <xf numFmtId="0" fontId="20" fillId="0" borderId="7" xfId="0" applyFont="1" applyBorder="1" applyAlignment="1">
      <alignment horizontal="left"/>
    </xf>
    <xf numFmtId="0" fontId="20" fillId="0" borderId="6" xfId="0" applyFont="1" applyBorder="1" applyAlignment="1">
      <alignment horizontal="left"/>
    </xf>
    <xf numFmtId="0" fontId="20" fillId="0" borderId="13" xfId="0" applyFont="1" applyBorder="1" applyAlignment="1">
      <alignment horizontal="left"/>
    </xf>
    <xf numFmtId="0" fontId="20" fillId="0" borderId="3" xfId="0" applyFont="1" applyBorder="1" applyAlignment="1">
      <alignment horizontal="left"/>
    </xf>
    <xf numFmtId="175" fontId="20" fillId="0" borderId="3" xfId="3" applyNumberFormat="1" applyFont="1" applyBorder="1" applyAlignment="1">
      <alignment horizontal="right"/>
    </xf>
    <xf numFmtId="0" fontId="30" fillId="0" borderId="0" xfId="0" applyFont="1" applyAlignment="1">
      <alignment horizontal="left"/>
    </xf>
    <xf numFmtId="174" fontId="22" fillId="9" borderId="19" xfId="0" applyNumberFormat="1" applyFont="1" applyFill="1" applyBorder="1" applyAlignment="1">
      <alignment horizontal="left"/>
    </xf>
    <xf numFmtId="172" fontId="23" fillId="7" borderId="3" xfId="0" applyNumberFormat="1" applyFont="1" applyFill="1" applyBorder="1"/>
    <xf numFmtId="174" fontId="23" fillId="7" borderId="3" xfId="0" applyNumberFormat="1" applyFont="1" applyFill="1" applyBorder="1"/>
    <xf numFmtId="5" fontId="20" fillId="0" borderId="3" xfId="0" applyNumberFormat="1" applyFont="1" applyBorder="1"/>
    <xf numFmtId="171" fontId="20" fillId="0" borderId="3" xfId="0" applyNumberFormat="1" applyFont="1" applyBorder="1"/>
    <xf numFmtId="9" fontId="20" fillId="0" borderId="6" xfId="0" applyNumberFormat="1" applyFont="1" applyBorder="1" applyAlignment="1">
      <alignment horizontal="left"/>
    </xf>
    <xf numFmtId="173" fontId="20" fillId="0" borderId="6" xfId="0" applyNumberFormat="1" applyFont="1" applyBorder="1"/>
    <xf numFmtId="173" fontId="20" fillId="0" borderId="5" xfId="0" applyNumberFormat="1" applyFont="1" applyBorder="1"/>
    <xf numFmtId="176" fontId="20" fillId="0" borderId="0" xfId="0" applyNumberFormat="1" applyFont="1" applyAlignment="1">
      <alignment horizontal="left"/>
    </xf>
    <xf numFmtId="173" fontId="22" fillId="0" borderId="0" xfId="0" applyNumberFormat="1" applyFont="1" applyAlignment="1">
      <alignment wrapText="1"/>
    </xf>
    <xf numFmtId="173" fontId="22" fillId="0" borderId="0" xfId="0" applyNumberFormat="1" applyFont="1"/>
    <xf numFmtId="0" fontId="26" fillId="11" borderId="12" xfId="0" applyFont="1" applyFill="1" applyBorder="1" applyAlignment="1">
      <alignment horizontal="center"/>
    </xf>
    <xf numFmtId="0" fontId="26" fillId="11" borderId="11" xfId="0" applyFont="1" applyFill="1" applyBorder="1" applyAlignment="1">
      <alignment horizontal="center"/>
    </xf>
    <xf numFmtId="0" fontId="26" fillId="11" borderId="9" xfId="0" applyFont="1" applyFill="1" applyBorder="1" applyAlignment="1">
      <alignment horizontal="left"/>
    </xf>
    <xf numFmtId="0" fontId="25" fillId="11" borderId="0" xfId="0" applyFont="1" applyFill="1" applyAlignment="1">
      <alignment horizontal="center"/>
    </xf>
    <xf numFmtId="0" fontId="26" fillId="11" borderId="0" xfId="0" applyFont="1" applyFill="1" applyAlignment="1">
      <alignment horizontal="center"/>
    </xf>
    <xf numFmtId="0" fontId="26" fillId="11" borderId="8" xfId="0" applyFont="1" applyFill="1" applyBorder="1" applyAlignment="1">
      <alignment horizontal="center"/>
    </xf>
    <xf numFmtId="170" fontId="21" fillId="0" borderId="6" xfId="0" applyNumberFormat="1" applyFont="1" applyBorder="1" applyAlignment="1">
      <alignment horizontal="left"/>
    </xf>
    <xf numFmtId="174" fontId="21" fillId="7" borderId="6" xfId="0" applyNumberFormat="1" applyFont="1" applyFill="1" applyBorder="1" applyAlignment="1">
      <alignment horizontal="left"/>
    </xf>
    <xf numFmtId="174" fontId="20" fillId="0" borderId="6" xfId="0" applyNumberFormat="1" applyFont="1" applyBorder="1" applyAlignment="1">
      <alignment horizontal="left"/>
    </xf>
    <xf numFmtId="174" fontId="31" fillId="0" borderId="7" xfId="0" applyNumberFormat="1" applyFont="1" applyBorder="1" applyAlignment="1">
      <alignment horizontal="left"/>
    </xf>
    <xf numFmtId="174" fontId="31" fillId="0" borderId="6" xfId="0" applyNumberFormat="1" applyFont="1" applyBorder="1" applyAlignment="1">
      <alignment horizontal="left"/>
    </xf>
    <xf numFmtId="173" fontId="31" fillId="0" borderId="6" xfId="0" applyNumberFormat="1" applyFont="1" applyBorder="1" applyAlignment="1">
      <alignment horizontal="left"/>
    </xf>
    <xf numFmtId="174" fontId="31" fillId="12" borderId="12" xfId="0" applyNumberFormat="1" applyFont="1" applyFill="1" applyBorder="1" applyAlignment="1">
      <alignment horizontal="left"/>
    </xf>
    <xf numFmtId="0" fontId="20" fillId="12" borderId="11" xfId="0" applyFont="1" applyFill="1" applyBorder="1" applyAlignment="1">
      <alignment horizontal="left"/>
    </xf>
    <xf numFmtId="170" fontId="21" fillId="12" borderId="11" xfId="0" applyNumberFormat="1" applyFont="1" applyFill="1" applyBorder="1" applyAlignment="1">
      <alignment horizontal="left"/>
    </xf>
    <xf numFmtId="174" fontId="21" fillId="13" borderId="11" xfId="0" applyNumberFormat="1" applyFont="1" applyFill="1" applyBorder="1" applyAlignment="1">
      <alignment horizontal="left"/>
    </xf>
    <xf numFmtId="174" fontId="20" fillId="12" borderId="11" xfId="0" applyNumberFormat="1" applyFont="1" applyFill="1" applyBorder="1" applyAlignment="1">
      <alignment horizontal="left"/>
    </xf>
    <xf numFmtId="174" fontId="31" fillId="12" borderId="11" xfId="0" applyNumberFormat="1" applyFont="1" applyFill="1" applyBorder="1" applyAlignment="1">
      <alignment horizontal="left"/>
    </xf>
    <xf numFmtId="173" fontId="31" fillId="12" borderId="11" xfId="0" applyNumberFormat="1" applyFont="1" applyFill="1" applyBorder="1" applyAlignment="1">
      <alignment horizontal="left"/>
    </xf>
    <xf numFmtId="173" fontId="31" fillId="12" borderId="11" xfId="0" applyNumberFormat="1" applyFont="1" applyFill="1" applyBorder="1"/>
    <xf numFmtId="173" fontId="31" fillId="12" borderId="10" xfId="0" applyNumberFormat="1" applyFont="1" applyFill="1" applyBorder="1"/>
    <xf numFmtId="174" fontId="31" fillId="12" borderId="9" xfId="0" applyNumberFormat="1" applyFont="1" applyFill="1" applyBorder="1" applyAlignment="1">
      <alignment horizontal="left"/>
    </xf>
    <xf numFmtId="0" fontId="20" fillId="12" borderId="0" xfId="0" applyFont="1" applyFill="1" applyAlignment="1">
      <alignment horizontal="left"/>
    </xf>
    <xf numFmtId="173" fontId="31" fillId="12" borderId="8" xfId="0" applyNumberFormat="1" applyFont="1" applyFill="1" applyBorder="1"/>
    <xf numFmtId="0" fontId="26" fillId="11" borderId="0" xfId="0" applyFont="1" applyFill="1" applyAlignment="1">
      <alignment horizontal="center" vertical="center"/>
    </xf>
    <xf numFmtId="171" fontId="20" fillId="0" borderId="0" xfId="0" applyNumberFormat="1" applyFont="1" applyAlignment="1">
      <alignment horizontal="right"/>
    </xf>
    <xf numFmtId="164" fontId="20" fillId="0" borderId="0" xfId="1" applyNumberFormat="1" applyFont="1" applyBorder="1" applyAlignment="1"/>
    <xf numFmtId="171" fontId="20" fillId="0" borderId="6" xfId="0" applyNumberFormat="1" applyFont="1" applyBorder="1" applyAlignment="1">
      <alignment horizontal="right"/>
    </xf>
    <xf numFmtId="171" fontId="20" fillId="0" borderId="3" xfId="0" applyNumberFormat="1" applyFont="1" applyBorder="1" applyAlignment="1">
      <alignment horizontal="right"/>
    </xf>
    <xf numFmtId="164" fontId="20" fillId="0" borderId="3" xfId="1" applyNumberFormat="1" applyFont="1" applyBorder="1" applyAlignment="1"/>
    <xf numFmtId="0" fontId="22" fillId="0" borderId="9" xfId="0" applyFont="1" applyBorder="1" applyAlignment="1">
      <alignment horizontal="left"/>
    </xf>
    <xf numFmtId="9" fontId="32" fillId="3" borderId="28" xfId="1" applyFont="1" applyFill="1" applyBorder="1" applyAlignment="1">
      <alignment horizontal="center"/>
    </xf>
    <xf numFmtId="9" fontId="32" fillId="3" borderId="29" xfId="1" applyFont="1" applyFill="1" applyBorder="1" applyAlignment="1">
      <alignment horizontal="center"/>
    </xf>
    <xf numFmtId="0" fontId="22" fillId="0" borderId="7" xfId="0" applyFont="1" applyBorder="1" applyAlignment="1">
      <alignment horizontal="left"/>
    </xf>
    <xf numFmtId="9" fontId="32" fillId="3" borderId="30" xfId="1" applyFont="1" applyFill="1" applyBorder="1" applyAlignment="1">
      <alignment horizontal="center"/>
    </xf>
    <xf numFmtId="175" fontId="20" fillId="0" borderId="3" xfId="3" applyNumberFormat="1" applyFont="1" applyFill="1" applyBorder="1" applyAlignment="1"/>
    <xf numFmtId="173" fontId="20" fillId="0" borderId="3" xfId="0" applyNumberFormat="1" applyFont="1" applyBorder="1"/>
    <xf numFmtId="173" fontId="20" fillId="0" borderId="14" xfId="0" applyNumberFormat="1" applyFont="1" applyBorder="1"/>
    <xf numFmtId="175" fontId="20" fillId="0" borderId="0" xfId="3" applyNumberFormat="1" applyFont="1" applyFill="1" applyBorder="1" applyAlignment="1"/>
    <xf numFmtId="173" fontId="20" fillId="0" borderId="8" xfId="0" applyNumberFormat="1" applyFont="1" applyBorder="1"/>
    <xf numFmtId="0" fontId="26" fillId="11" borderId="9" xfId="0" applyFont="1" applyFill="1" applyBorder="1" applyAlignment="1">
      <alignment horizontal="center"/>
    </xf>
    <xf numFmtId="2" fontId="20" fillId="0" borderId="6" xfId="0" applyNumberFormat="1" applyFont="1" applyBorder="1" applyAlignment="1">
      <alignment horizontal="right"/>
    </xf>
    <xf numFmtId="2" fontId="20" fillId="0" borderId="5" xfId="0" applyNumberFormat="1" applyFont="1" applyBorder="1" applyAlignment="1">
      <alignment horizontal="right"/>
    </xf>
    <xf numFmtId="174" fontId="22" fillId="0" borderId="0" xfId="0" applyNumberFormat="1" applyFont="1" applyAlignment="1">
      <alignment horizontal="left"/>
    </xf>
    <xf numFmtId="2" fontId="20" fillId="0" borderId="0" xfId="1" applyNumberFormat="1" applyFont="1" applyBorder="1" applyAlignment="1">
      <alignment horizontal="right"/>
    </xf>
    <xf numFmtId="2" fontId="20" fillId="0" borderId="8" xfId="0" applyNumberFormat="1" applyFont="1" applyBorder="1" applyAlignment="1">
      <alignment horizontal="right"/>
    </xf>
    <xf numFmtId="2" fontId="20" fillId="0" borderId="6" xfId="1" applyNumberFormat="1" applyFont="1" applyBorder="1" applyAlignment="1">
      <alignment horizontal="right"/>
    </xf>
    <xf numFmtId="2" fontId="23" fillId="7" borderId="6" xfId="0" applyNumberFormat="1" applyFont="1" applyFill="1" applyBorder="1" applyAlignment="1">
      <alignment horizontal="right"/>
    </xf>
    <xf numFmtId="174" fontId="21" fillId="0" borderId="0" xfId="0" applyNumberFormat="1" applyFont="1" applyAlignment="1">
      <alignment horizontal="left"/>
    </xf>
    <xf numFmtId="0" fontId="25" fillId="0" borderId="0" xfId="0" applyFont="1"/>
    <xf numFmtId="177" fontId="26" fillId="11" borderId="23" xfId="0" applyNumberFormat="1" applyFont="1" applyFill="1" applyBorder="1" applyAlignment="1">
      <alignment horizontal="center" vertical="center"/>
    </xf>
    <xf numFmtId="177" fontId="26" fillId="11" borderId="8" xfId="0" applyNumberFormat="1" applyFont="1" applyFill="1" applyBorder="1" applyAlignment="1">
      <alignment horizontal="center" vertical="center"/>
    </xf>
    <xf numFmtId="0" fontId="25" fillId="11" borderId="9" xfId="0" applyFont="1" applyFill="1" applyBorder="1" applyAlignment="1">
      <alignment horizontal="center"/>
    </xf>
    <xf numFmtId="9" fontId="20" fillId="0" borderId="9" xfId="0" applyNumberFormat="1" applyFont="1" applyBorder="1" applyAlignment="1">
      <alignment horizontal="left"/>
    </xf>
    <xf numFmtId="9" fontId="20" fillId="0" borderId="7" xfId="0" applyNumberFormat="1" applyFont="1" applyBorder="1" applyAlignment="1">
      <alignment horizontal="left"/>
    </xf>
    <xf numFmtId="0" fontId="34" fillId="0" borderId="0" xfId="0" applyFont="1" applyAlignment="1">
      <alignment horizontal="center"/>
    </xf>
    <xf numFmtId="0" fontId="35" fillId="0" borderId="0" xfId="0" applyFont="1" applyAlignment="1">
      <alignment horizontal="left"/>
    </xf>
    <xf numFmtId="174" fontId="35" fillId="0" borderId="0" xfId="0" applyNumberFormat="1" applyFont="1" applyAlignment="1">
      <alignment horizontal="left"/>
    </xf>
    <xf numFmtId="173" fontId="35" fillId="0" borderId="0" xfId="0" applyNumberFormat="1" applyFont="1" applyAlignment="1">
      <alignment horizontal="left"/>
    </xf>
    <xf numFmtId="0" fontId="26" fillId="0" borderId="0" xfId="0" applyFont="1"/>
    <xf numFmtId="2" fontId="20" fillId="12" borderId="11" xfId="1" applyNumberFormat="1" applyFont="1" applyFill="1" applyBorder="1" applyAlignment="1">
      <alignment horizontal="right"/>
    </xf>
    <xf numFmtId="2" fontId="20" fillId="12" borderId="10" xfId="0" applyNumberFormat="1" applyFont="1" applyFill="1" applyBorder="1" applyAlignment="1">
      <alignment horizontal="right"/>
    </xf>
    <xf numFmtId="2" fontId="20" fillId="12" borderId="0" xfId="1" applyNumberFormat="1" applyFont="1" applyFill="1" applyBorder="1" applyAlignment="1">
      <alignment horizontal="right"/>
    </xf>
    <xf numFmtId="2" fontId="20" fillId="12" borderId="8" xfId="0" applyNumberFormat="1" applyFont="1" applyFill="1" applyBorder="1" applyAlignment="1">
      <alignment horizontal="right"/>
    </xf>
    <xf numFmtId="2" fontId="20" fillId="9" borderId="20" xfId="0" applyNumberFormat="1" applyFont="1" applyFill="1" applyBorder="1" applyAlignment="1">
      <alignment horizontal="right"/>
    </xf>
    <xf numFmtId="0" fontId="26" fillId="0" borderId="0" xfId="0" applyFont="1" applyAlignment="1">
      <alignment horizontal="center" vertical="center"/>
    </xf>
    <xf numFmtId="175" fontId="20" fillId="0" borderId="0" xfId="0" applyNumberFormat="1" applyFont="1" applyAlignment="1">
      <alignment horizontal="right"/>
    </xf>
    <xf numFmtId="176" fontId="20" fillId="0" borderId="0" xfId="1" applyNumberFormat="1" applyFont="1" applyBorder="1" applyAlignment="1">
      <alignment horizontal="right"/>
    </xf>
    <xf numFmtId="0" fontId="25" fillId="11" borderId="11" xfId="0" applyFont="1" applyFill="1" applyBorder="1"/>
    <xf numFmtId="0" fontId="25" fillId="11" borderId="10" xfId="0" applyFont="1" applyFill="1" applyBorder="1"/>
    <xf numFmtId="0" fontId="26" fillId="11" borderId="0" xfId="0" applyFont="1" applyFill="1"/>
    <xf numFmtId="0" fontId="36" fillId="11" borderId="8" xfId="0" applyFont="1" applyFill="1" applyBorder="1" applyAlignment="1">
      <alignment horizontal="center"/>
    </xf>
    <xf numFmtId="0" fontId="37" fillId="11" borderId="8" xfId="0" applyFont="1" applyFill="1" applyBorder="1" applyAlignment="1">
      <alignment horizontal="center"/>
    </xf>
    <xf numFmtId="166" fontId="20" fillId="0" borderId="0" xfId="0" applyNumberFormat="1" applyFont="1" applyAlignment="1">
      <alignment horizontal="right"/>
    </xf>
    <xf numFmtId="5" fontId="20" fillId="0" borderId="0" xfId="0" applyNumberFormat="1" applyFont="1" applyAlignment="1">
      <alignment horizontal="right"/>
    </xf>
    <xf numFmtId="0" fontId="20" fillId="0" borderId="8" xfId="0" applyFont="1" applyBorder="1" applyAlignment="1">
      <alignment horizontal="center"/>
    </xf>
    <xf numFmtId="2" fontId="20" fillId="0" borderId="0" xfId="0" applyNumberFormat="1" applyFont="1" applyAlignment="1">
      <alignment horizontal="right"/>
    </xf>
    <xf numFmtId="2" fontId="20" fillId="0" borderId="8" xfId="3" applyNumberFormat="1" applyFont="1" applyFill="1" applyBorder="1" applyAlignment="1">
      <alignment horizontal="center"/>
    </xf>
    <xf numFmtId="0" fontId="33" fillId="0" borderId="8" xfId="0" applyFont="1" applyBorder="1"/>
    <xf numFmtId="175" fontId="20" fillId="0" borderId="6" xfId="0" applyNumberFormat="1" applyFont="1" applyBorder="1" applyAlignment="1">
      <alignment horizontal="right"/>
    </xf>
    <xf numFmtId="166" fontId="20" fillId="0" borderId="6" xfId="0" applyNumberFormat="1" applyFont="1" applyBorder="1" applyAlignment="1">
      <alignment horizontal="right"/>
    </xf>
    <xf numFmtId="5" fontId="20" fillId="0" borderId="6" xfId="0" applyNumberFormat="1" applyFont="1" applyBorder="1" applyAlignment="1">
      <alignment horizontal="right"/>
    </xf>
    <xf numFmtId="0" fontId="34" fillId="0" borderId="5" xfId="0" applyFont="1" applyBorder="1" applyAlignment="1">
      <alignment horizontal="center"/>
    </xf>
    <xf numFmtId="176" fontId="20" fillId="0" borderId="0" xfId="0" applyNumberFormat="1" applyFont="1" applyAlignment="1">
      <alignment horizontal="right"/>
    </xf>
    <xf numFmtId="175" fontId="0" fillId="0" borderId="0" xfId="0" applyNumberFormat="1" applyAlignment="1">
      <alignment horizontal="right"/>
    </xf>
    <xf numFmtId="7" fontId="20" fillId="0" borderId="0" xfId="0" applyNumberFormat="1" applyFont="1" applyAlignment="1">
      <alignment horizontal="right"/>
    </xf>
    <xf numFmtId="2" fontId="20" fillId="0" borderId="0" xfId="3" applyNumberFormat="1" applyFont="1" applyFill="1" applyBorder="1" applyAlignment="1">
      <alignment horizontal="right"/>
    </xf>
    <xf numFmtId="176" fontId="34" fillId="0" borderId="0" xfId="0" applyNumberFormat="1" applyFont="1" applyAlignment="1">
      <alignment horizontal="right"/>
    </xf>
    <xf numFmtId="0" fontId="33" fillId="0" borderId="0" xfId="0" applyFont="1" applyAlignment="1">
      <alignment horizontal="right"/>
    </xf>
    <xf numFmtId="173" fontId="20" fillId="0" borderId="6" xfId="0" applyNumberFormat="1" applyFont="1" applyBorder="1" applyAlignment="1">
      <alignment horizontal="right"/>
    </xf>
    <xf numFmtId="176" fontId="34" fillId="0" borderId="6" xfId="0" applyNumberFormat="1" applyFont="1" applyBorder="1" applyAlignment="1">
      <alignment horizontal="right"/>
    </xf>
    <xf numFmtId="0" fontId="34" fillId="0" borderId="6" xfId="0" applyFont="1" applyBorder="1" applyAlignment="1">
      <alignment horizontal="right"/>
    </xf>
    <xf numFmtId="175" fontId="0" fillId="0" borderId="6" xfId="0" applyNumberFormat="1" applyBorder="1" applyAlignment="1">
      <alignment horizontal="right"/>
    </xf>
    <xf numFmtId="0" fontId="33" fillId="0" borderId="6" xfId="0" applyFont="1" applyBorder="1" applyAlignment="1">
      <alignment horizontal="right"/>
    </xf>
    <xf numFmtId="7" fontId="20" fillId="0" borderId="6" xfId="0" applyNumberFormat="1" applyFont="1" applyBorder="1" applyAlignment="1">
      <alignment horizontal="right"/>
    </xf>
    <xf numFmtId="174" fontId="31" fillId="12" borderId="0" xfId="0" applyNumberFormat="1" applyFont="1" applyFill="1" applyAlignment="1">
      <alignment horizontal="left"/>
    </xf>
    <xf numFmtId="9" fontId="14" fillId="0" borderId="0" xfId="1" applyFont="1" applyFill="1" applyBorder="1" applyAlignment="1">
      <alignment horizontal="right"/>
    </xf>
    <xf numFmtId="9" fontId="15" fillId="0" borderId="0" xfId="1" applyFont="1" applyFill="1" applyBorder="1" applyAlignment="1">
      <alignment horizontal="right"/>
    </xf>
    <xf numFmtId="0" fontId="0" fillId="0" borderId="0" xfId="0" applyAlignment="1">
      <alignment horizontal="left"/>
    </xf>
    <xf numFmtId="0" fontId="0" fillId="14" borderId="0" xfId="0" applyFill="1"/>
    <xf numFmtId="0" fontId="0" fillId="14" borderId="0" xfId="0" applyFill="1" applyAlignment="1">
      <alignment horizontal="left"/>
    </xf>
    <xf numFmtId="0" fontId="6" fillId="0" borderId="9" xfId="0" applyFont="1" applyBorder="1"/>
    <xf numFmtId="0" fontId="2" fillId="0" borderId="0" xfId="0" applyFont="1"/>
    <xf numFmtId="9" fontId="0" fillId="0" borderId="0" xfId="1" applyFont="1"/>
    <xf numFmtId="0" fontId="18" fillId="0" borderId="0" xfId="4" applyFont="1" applyAlignment="1">
      <alignment horizontal="center"/>
    </xf>
    <xf numFmtId="0" fontId="18" fillId="6" borderId="0" xfId="4" applyFont="1" applyFill="1"/>
    <xf numFmtId="0" fontId="2" fillId="4" borderId="12" xfId="0" applyFont="1" applyFill="1" applyBorder="1"/>
    <xf numFmtId="0" fontId="3" fillId="4" borderId="11" xfId="0" applyFont="1" applyFill="1" applyBorder="1"/>
    <xf numFmtId="0" fontId="3" fillId="4" borderId="10" xfId="0" applyFont="1" applyFill="1" applyBorder="1"/>
    <xf numFmtId="0" fontId="10" fillId="0" borderId="0" xfId="0" applyFont="1"/>
    <xf numFmtId="0" fontId="6" fillId="0" borderId="0" xfId="0" applyFont="1" applyAlignment="1">
      <alignment horizontal="center"/>
    </xf>
    <xf numFmtId="0" fontId="6" fillId="0" borderId="8" xfId="0" applyFont="1" applyBorder="1" applyAlignment="1">
      <alignment horizontal="center"/>
    </xf>
    <xf numFmtId="10" fontId="0" fillId="0" borderId="32" xfId="0" applyNumberFormat="1" applyBorder="1" applyAlignment="1">
      <alignment horizontal="center"/>
    </xf>
    <xf numFmtId="164" fontId="0" fillId="3" borderId="33" xfId="1" applyNumberFormat="1" applyFont="1" applyFill="1" applyBorder="1" applyAlignment="1">
      <alignment horizontal="center"/>
    </xf>
    <xf numFmtId="10" fontId="11" fillId="0" borderId="32" xfId="0" applyNumberFormat="1" applyFont="1" applyBorder="1" applyAlignment="1">
      <alignment horizontal="center"/>
    </xf>
    <xf numFmtId="0" fontId="2" fillId="16" borderId="0" xfId="0" applyFont="1" applyFill="1" applyAlignment="1">
      <alignment horizontal="center"/>
    </xf>
    <xf numFmtId="168" fontId="2" fillId="2" borderId="0" xfId="0" applyNumberFormat="1" applyFont="1" applyFill="1" applyAlignment="1">
      <alignment horizontal="right"/>
    </xf>
    <xf numFmtId="169" fontId="2" fillId="2" borderId="0" xfId="0" applyNumberFormat="1" applyFont="1" applyFill="1" applyAlignment="1">
      <alignment horizontal="right"/>
    </xf>
    <xf numFmtId="168" fontId="2" fillId="2" borderId="11" xfId="0" applyNumberFormat="1" applyFont="1" applyFill="1" applyBorder="1" applyAlignment="1">
      <alignment horizontal="right"/>
    </xf>
    <xf numFmtId="169" fontId="2" fillId="2" borderId="11" xfId="0" applyNumberFormat="1" applyFont="1" applyFill="1" applyBorder="1" applyAlignment="1">
      <alignment horizontal="right"/>
    </xf>
    <xf numFmtId="0" fontId="2" fillId="0" borderId="0" xfId="0" applyFont="1" applyAlignment="1">
      <alignment horizontal="center"/>
    </xf>
    <xf numFmtId="0" fontId="38" fillId="0" borderId="0" xfId="0" applyFont="1"/>
    <xf numFmtId="0" fontId="38" fillId="0" borderId="0" xfId="0" applyFont="1" applyAlignment="1">
      <alignment horizontal="center"/>
    </xf>
    <xf numFmtId="0" fontId="41" fillId="0" borderId="0" xfId="0" applyFont="1"/>
    <xf numFmtId="9" fontId="43" fillId="0" borderId="0" xfId="1" applyFont="1" applyFill="1" applyBorder="1" applyAlignment="1">
      <alignment horizontal="right"/>
    </xf>
    <xf numFmtId="9" fontId="45" fillId="0" borderId="0" xfId="1" applyFont="1" applyFill="1" applyBorder="1" applyAlignment="1">
      <alignment horizontal="right"/>
    </xf>
    <xf numFmtId="9" fontId="44" fillId="0" borderId="0" xfId="1" applyFont="1" applyFill="1" applyBorder="1" applyAlignment="1">
      <alignment horizontal="right"/>
    </xf>
    <xf numFmtId="0" fontId="40" fillId="0" borderId="0" xfId="0" applyFont="1" applyAlignment="1">
      <alignment horizontal="center"/>
    </xf>
    <xf numFmtId="0" fontId="43" fillId="0" borderId="0" xfId="0" applyFont="1" applyAlignment="1">
      <alignment horizontal="left" indent="1"/>
    </xf>
    <xf numFmtId="9" fontId="46" fillId="0" borderId="0" xfId="1" applyFont="1" applyFill="1" applyBorder="1" applyAlignment="1">
      <alignment horizontal="right"/>
    </xf>
    <xf numFmtId="9" fontId="43" fillId="0" borderId="0" xfId="0" applyNumberFormat="1" applyFont="1" applyAlignment="1">
      <alignment horizontal="center" vertical="center" wrapText="1"/>
    </xf>
    <xf numFmtId="9" fontId="38" fillId="0" borderId="0" xfId="0" applyNumberFormat="1" applyFont="1" applyAlignment="1">
      <alignment horizontal="center" vertical="center" wrapText="1"/>
    </xf>
    <xf numFmtId="1" fontId="38" fillId="0" borderId="0" xfId="0" applyNumberFormat="1" applyFont="1" applyAlignment="1">
      <alignment horizontal="center" vertical="center" wrapText="1"/>
    </xf>
    <xf numFmtId="37" fontId="42" fillId="0" borderId="0" xfId="0" applyNumberFormat="1" applyFont="1"/>
    <xf numFmtId="9" fontId="43" fillId="0" borderId="0" xfId="0" applyNumberFormat="1" applyFont="1" applyAlignment="1">
      <alignment horizontal="left" vertical="center" wrapText="1" indent="2"/>
    </xf>
    <xf numFmtId="168" fontId="40" fillId="2" borderId="11" xfId="0" applyNumberFormat="1" applyFont="1" applyFill="1" applyBorder="1"/>
    <xf numFmtId="169" fontId="40" fillId="2" borderId="11" xfId="0" applyNumberFormat="1" applyFont="1" applyFill="1" applyBorder="1"/>
    <xf numFmtId="0" fontId="40" fillId="2" borderId="38" xfId="0" applyFont="1" applyFill="1" applyBorder="1"/>
    <xf numFmtId="0" fontId="39" fillId="0" borderId="39" xfId="0" applyFont="1" applyBorder="1" applyAlignment="1">
      <alignment horizontal="left" indent="2"/>
    </xf>
    <xf numFmtId="2" fontId="43" fillId="0" borderId="39" xfId="0" applyNumberFormat="1" applyFont="1" applyBorder="1" applyAlignment="1">
      <alignment horizontal="left" wrapText="1" indent="2"/>
    </xf>
    <xf numFmtId="2" fontId="39" fillId="0" borderId="39" xfId="0" applyNumberFormat="1" applyFont="1" applyBorder="1" applyAlignment="1">
      <alignment horizontal="left" wrapText="1" indent="2"/>
    </xf>
    <xf numFmtId="2" fontId="43" fillId="0" borderId="39" xfId="0" applyNumberFormat="1" applyFont="1" applyBorder="1" applyAlignment="1">
      <alignment wrapText="1"/>
    </xf>
    <xf numFmtId="2" fontId="39" fillId="0" borderId="39" xfId="0" applyNumberFormat="1" applyFont="1" applyBorder="1" applyAlignment="1">
      <alignment wrapText="1"/>
    </xf>
    <xf numFmtId="0" fontId="0" fillId="0" borderId="34" xfId="0" applyBorder="1" applyAlignment="1">
      <alignment horizontal="left" indent="1"/>
    </xf>
    <xf numFmtId="39" fontId="0" fillId="0" borderId="3" xfId="0" applyNumberFormat="1" applyBorder="1"/>
    <xf numFmtId="0" fontId="0" fillId="10" borderId="0" xfId="0" applyFill="1" applyAlignment="1">
      <alignment horizontal="left"/>
    </xf>
    <xf numFmtId="0" fontId="0" fillId="10" borderId="0" xfId="0" applyFill="1"/>
    <xf numFmtId="37" fontId="12" fillId="10" borderId="0" xfId="0" applyNumberFormat="1" applyFont="1" applyFill="1"/>
    <xf numFmtId="3" fontId="11" fillId="10" borderId="0" xfId="0" applyNumberFormat="1" applyFont="1" applyFill="1"/>
    <xf numFmtId="37" fontId="17" fillId="0" borderId="0" xfId="0" applyNumberFormat="1" applyFont="1"/>
    <xf numFmtId="37" fontId="0" fillId="0" borderId="3" xfId="0" applyNumberFormat="1" applyBorder="1"/>
    <xf numFmtId="37" fontId="17" fillId="0" borderId="3" xfId="0" applyNumberFormat="1" applyFont="1" applyBorder="1"/>
    <xf numFmtId="0" fontId="47" fillId="0" borderId="0" xfId="0" applyFont="1" applyAlignment="1">
      <alignment horizontal="left" indent="1"/>
    </xf>
    <xf numFmtId="0" fontId="48" fillId="0" borderId="0" xfId="2" applyFont="1"/>
    <xf numFmtId="0" fontId="7" fillId="0" borderId="0" xfId="2"/>
    <xf numFmtId="0" fontId="7" fillId="0" borderId="41" xfId="2" applyBorder="1"/>
    <xf numFmtId="0" fontId="7" fillId="0" borderId="42" xfId="2" applyBorder="1"/>
    <xf numFmtId="1" fontId="0" fillId="14" borderId="0" xfId="0" applyNumberFormat="1" applyFill="1"/>
    <xf numFmtId="179" fontId="0" fillId="14" borderId="0" xfId="7" applyNumberFormat="1" applyFont="1" applyFill="1"/>
    <xf numFmtId="43" fontId="0" fillId="0" borderId="0" xfId="0" applyNumberFormat="1"/>
    <xf numFmtId="0" fontId="0" fillId="3" borderId="0" xfId="0" applyFill="1" applyAlignment="1">
      <alignment horizontal="center"/>
    </xf>
    <xf numFmtId="179" fontId="16" fillId="14" borderId="0" xfId="7" applyNumberFormat="1" applyFont="1" applyFill="1" applyBorder="1" applyAlignment="1">
      <alignment horizontal="right"/>
    </xf>
    <xf numFmtId="164" fontId="16" fillId="3" borderId="2" xfId="1" applyNumberFormat="1" applyFont="1" applyFill="1" applyBorder="1" applyAlignment="1">
      <alignment horizontal="right"/>
    </xf>
    <xf numFmtId="179" fontId="16" fillId="0" borderId="0" xfId="7" applyNumberFormat="1" applyFont="1" applyFill="1" applyBorder="1" applyAlignment="1">
      <alignment horizontal="right"/>
    </xf>
    <xf numFmtId="9" fontId="0" fillId="0" borderId="0" xfId="1" applyFont="1" applyFill="1" applyBorder="1"/>
    <xf numFmtId="43" fontId="17" fillId="0" borderId="0" xfId="7" applyFont="1" applyFill="1" applyBorder="1"/>
    <xf numFmtId="179" fontId="17" fillId="0" borderId="0" xfId="0" applyNumberFormat="1" applyFont="1"/>
    <xf numFmtId="1" fontId="38" fillId="19" borderId="0" xfId="0" applyNumberFormat="1" applyFont="1" applyFill="1" applyAlignment="1">
      <alignment horizontal="center" vertical="center" wrapText="1"/>
    </xf>
    <xf numFmtId="2" fontId="38" fillId="19" borderId="39" xfId="0" applyNumberFormat="1" applyFont="1" applyFill="1" applyBorder="1" applyAlignment="1">
      <alignment wrapText="1"/>
    </xf>
    <xf numFmtId="2" fontId="39" fillId="20" borderId="40" xfId="0" applyNumberFormat="1" applyFont="1" applyFill="1" applyBorder="1" applyAlignment="1">
      <alignment wrapText="1"/>
    </xf>
    <xf numFmtId="37" fontId="52" fillId="0" borderId="0" xfId="0" applyNumberFormat="1" applyFont="1"/>
    <xf numFmtId="37" fontId="38" fillId="20" borderId="3" xfId="0" applyNumberFormat="1" applyFont="1" applyFill="1" applyBorder="1"/>
    <xf numFmtId="37" fontId="38" fillId="20" borderId="14" xfId="0" applyNumberFormat="1" applyFont="1" applyFill="1" applyBorder="1"/>
    <xf numFmtId="2" fontId="39" fillId="20" borderId="43" xfId="0" applyNumberFormat="1" applyFont="1" applyFill="1" applyBorder="1" applyAlignment="1">
      <alignment wrapText="1"/>
    </xf>
    <xf numFmtId="9" fontId="43" fillId="0" borderId="0" xfId="0" applyNumberFormat="1" applyFont="1" applyAlignment="1">
      <alignment horizontal="right" vertical="center" wrapText="1"/>
    </xf>
    <xf numFmtId="9" fontId="43" fillId="3" borderId="0" xfId="0" applyNumberFormat="1" applyFont="1" applyFill="1" applyAlignment="1">
      <alignment horizontal="right" vertical="center" wrapText="1"/>
    </xf>
    <xf numFmtId="9" fontId="43" fillId="3" borderId="8" xfId="0" applyNumberFormat="1" applyFont="1" applyFill="1" applyBorder="1" applyAlignment="1">
      <alignment horizontal="right" vertical="center" wrapText="1"/>
    </xf>
    <xf numFmtId="37" fontId="42" fillId="19" borderId="0" xfId="0" applyNumberFormat="1" applyFont="1" applyFill="1"/>
    <xf numFmtId="37" fontId="42" fillId="19" borderId="8" xfId="0" applyNumberFormat="1" applyFont="1" applyFill="1" applyBorder="1"/>
    <xf numFmtId="9" fontId="43" fillId="19" borderId="0" xfId="0" applyNumberFormat="1" applyFont="1" applyFill="1" applyAlignment="1">
      <alignment horizontal="right" vertical="center" wrapText="1"/>
    </xf>
    <xf numFmtId="9" fontId="43" fillId="19" borderId="8" xfId="0" applyNumberFormat="1" applyFont="1" applyFill="1" applyBorder="1" applyAlignment="1">
      <alignment horizontal="right" vertical="center" wrapText="1"/>
    </xf>
    <xf numFmtId="9" fontId="43" fillId="19" borderId="0" xfId="0" applyNumberFormat="1" applyFont="1" applyFill="1" applyAlignment="1">
      <alignment horizontal="center" vertical="center" wrapText="1"/>
    </xf>
    <xf numFmtId="167" fontId="44" fillId="19" borderId="0" xfId="1" applyNumberFormat="1" applyFont="1" applyFill="1" applyBorder="1" applyAlignment="1"/>
    <xf numFmtId="167" fontId="44" fillId="19" borderId="8" xfId="1" applyNumberFormat="1" applyFont="1" applyFill="1" applyBorder="1" applyAlignment="1"/>
    <xf numFmtId="0" fontId="38" fillId="19" borderId="0" xfId="0" applyFont="1" applyFill="1"/>
    <xf numFmtId="0" fontId="38" fillId="19" borderId="8" xfId="0" applyFont="1" applyFill="1" applyBorder="1"/>
    <xf numFmtId="9" fontId="43" fillId="19" borderId="0" xfId="0" applyNumberFormat="1" applyFont="1" applyFill="1" applyAlignment="1">
      <alignment horizontal="left" vertical="center" wrapText="1" indent="2"/>
    </xf>
    <xf numFmtId="167" fontId="44" fillId="19" borderId="0" xfId="1" applyNumberFormat="1" applyFont="1" applyFill="1" applyBorder="1" applyAlignment="1">
      <alignment horizontal="left" indent="2"/>
    </xf>
    <xf numFmtId="167" fontId="44" fillId="19" borderId="8" xfId="1" applyNumberFormat="1" applyFont="1" applyFill="1" applyBorder="1" applyAlignment="1">
      <alignment horizontal="left" indent="2"/>
    </xf>
    <xf numFmtId="1" fontId="38" fillId="20" borderId="3" xfId="0" applyNumberFormat="1" applyFont="1" applyFill="1" applyBorder="1" applyAlignment="1">
      <alignment horizontal="right" vertical="center" wrapText="1"/>
    </xf>
    <xf numFmtId="1" fontId="38" fillId="20" borderId="14" xfId="0" applyNumberFormat="1" applyFont="1" applyFill="1" applyBorder="1" applyAlignment="1">
      <alignment horizontal="right" vertical="center" wrapText="1"/>
    </xf>
    <xf numFmtId="1" fontId="38" fillId="0" borderId="0" xfId="0" applyNumberFormat="1" applyFont="1" applyAlignment="1">
      <alignment horizontal="right" vertical="center" wrapText="1"/>
    </xf>
    <xf numFmtId="1" fontId="38" fillId="20" borderId="36" xfId="0" applyNumberFormat="1" applyFont="1" applyFill="1" applyBorder="1" applyAlignment="1">
      <alignment horizontal="right" vertical="center" wrapText="1"/>
    </xf>
    <xf numFmtId="1" fontId="38" fillId="20" borderId="37" xfId="0" applyNumberFormat="1" applyFont="1" applyFill="1" applyBorder="1" applyAlignment="1">
      <alignment horizontal="right" vertical="center" wrapText="1"/>
    </xf>
    <xf numFmtId="1" fontId="38" fillId="19" borderId="0" xfId="0" applyNumberFormat="1" applyFont="1" applyFill="1"/>
    <xf numFmtId="0" fontId="53" fillId="19" borderId="0" xfId="0" applyFont="1" applyFill="1" applyAlignment="1">
      <alignment horizontal="left" indent="1"/>
    </xf>
    <xf numFmtId="164" fontId="0" fillId="3" borderId="2" xfId="1" applyNumberFormat="1" applyFont="1" applyFill="1" applyBorder="1" applyAlignment="1">
      <alignment horizontal="center"/>
    </xf>
    <xf numFmtId="0" fontId="2" fillId="16" borderId="8" xfId="0" applyFont="1" applyFill="1" applyBorder="1" applyAlignment="1">
      <alignment horizontal="center"/>
    </xf>
    <xf numFmtId="0" fontId="13" fillId="0" borderId="7" xfId="0" applyFont="1" applyBorder="1"/>
    <xf numFmtId="0" fontId="2" fillId="16" borderId="5" xfId="0" applyFont="1" applyFill="1" applyBorder="1" applyAlignment="1">
      <alignment horizontal="center"/>
    </xf>
    <xf numFmtId="1" fontId="2" fillId="2" borderId="11" xfId="0" applyNumberFormat="1" applyFont="1" applyFill="1" applyBorder="1" applyAlignment="1">
      <alignment horizontal="right"/>
    </xf>
    <xf numFmtId="180" fontId="2" fillId="2" borderId="11" xfId="0" applyNumberFormat="1" applyFont="1" applyFill="1" applyBorder="1" applyAlignment="1">
      <alignment horizontal="right"/>
    </xf>
    <xf numFmtId="180" fontId="2" fillId="2" borderId="10" xfId="0" applyNumberFormat="1" applyFont="1" applyFill="1" applyBorder="1" applyAlignment="1">
      <alignment horizontal="right"/>
    </xf>
    <xf numFmtId="3" fontId="9" fillId="0" borderId="0" xfId="0" applyNumberFormat="1" applyFont="1"/>
    <xf numFmtId="37" fontId="9" fillId="0" borderId="0" xfId="0" applyNumberFormat="1" applyFont="1"/>
    <xf numFmtId="167" fontId="16" fillId="0" borderId="0" xfId="0" applyNumberFormat="1" applyFont="1"/>
    <xf numFmtId="2" fontId="0" fillId="0" borderId="0" xfId="0" applyNumberFormat="1"/>
    <xf numFmtId="14" fontId="0" fillId="0" borderId="0" xfId="0" applyNumberFormat="1"/>
    <xf numFmtId="180" fontId="2" fillId="2" borderId="0" xfId="0" applyNumberFormat="1" applyFont="1" applyFill="1"/>
    <xf numFmtId="180" fontId="2" fillId="2" borderId="0" xfId="0" applyNumberFormat="1" applyFont="1" applyFill="1" applyAlignment="1">
      <alignment horizontal="right"/>
    </xf>
    <xf numFmtId="180" fontId="40" fillId="2" borderId="11" xfId="0" applyNumberFormat="1" applyFont="1" applyFill="1" applyBorder="1"/>
    <xf numFmtId="180" fontId="40" fillId="2" borderId="10" xfId="0" applyNumberFormat="1" applyFont="1" applyFill="1" applyBorder="1"/>
    <xf numFmtId="170" fontId="21" fillId="12" borderId="0" xfId="0" applyNumberFormat="1" applyFont="1" applyFill="1" applyAlignment="1">
      <alignment horizontal="left"/>
    </xf>
    <xf numFmtId="174" fontId="21" fillId="13" borderId="0" xfId="0" applyNumberFormat="1" applyFont="1" applyFill="1" applyAlignment="1">
      <alignment horizontal="left"/>
    </xf>
    <xf numFmtId="174" fontId="20" fillId="12" borderId="0" xfId="0" applyNumberFormat="1" applyFont="1" applyFill="1" applyAlignment="1">
      <alignment horizontal="left"/>
    </xf>
    <xf numFmtId="173" fontId="31" fillId="12" borderId="0" xfId="0" applyNumberFormat="1" applyFont="1" applyFill="1" applyAlignment="1">
      <alignment horizontal="left"/>
    </xf>
    <xf numFmtId="173" fontId="31" fillId="12" borderId="0" xfId="0" applyNumberFormat="1" applyFont="1" applyFill="1"/>
    <xf numFmtId="9" fontId="20" fillId="0" borderId="0" xfId="0" applyNumberFormat="1" applyFont="1" applyAlignment="1">
      <alignment horizontal="left"/>
    </xf>
    <xf numFmtId="172" fontId="23" fillId="7" borderId="0" xfId="0" applyNumberFormat="1" applyFont="1" applyFill="1"/>
    <xf numFmtId="174" fontId="23" fillId="7" borderId="0" xfId="0" applyNumberFormat="1" applyFont="1" applyFill="1"/>
    <xf numFmtId="5" fontId="20" fillId="0" borderId="0" xfId="0" applyNumberFormat="1" applyFont="1"/>
    <xf numFmtId="171" fontId="20" fillId="0" borderId="0" xfId="0" applyNumberFormat="1" applyFont="1"/>
    <xf numFmtId="173" fontId="20" fillId="0" borderId="0" xfId="0" applyNumberFormat="1" applyFont="1"/>
    <xf numFmtId="0" fontId="26" fillId="11" borderId="0" xfId="0" applyFont="1" applyFill="1" applyAlignment="1">
      <alignment horizontal="left"/>
    </xf>
    <xf numFmtId="177" fontId="26" fillId="11" borderId="0" xfId="0" applyNumberFormat="1" applyFont="1" applyFill="1" applyAlignment="1">
      <alignment horizontal="center" vertical="center"/>
    </xf>
    <xf numFmtId="2" fontId="23" fillId="7" borderId="0" xfId="0" applyNumberFormat="1" applyFont="1" applyFill="1" applyAlignment="1">
      <alignment horizontal="right"/>
    </xf>
    <xf numFmtId="9" fontId="0" fillId="3" borderId="0" xfId="0" applyNumberFormat="1" applyFill="1" applyAlignment="1">
      <alignment horizontal="center"/>
    </xf>
    <xf numFmtId="0" fontId="0" fillId="0" borderId="6" xfId="0" applyBorder="1" applyAlignment="1">
      <alignment horizontal="center"/>
    </xf>
    <xf numFmtId="3" fontId="9" fillId="0" borderId="8" xfId="0" applyNumberFormat="1" applyFont="1" applyBorder="1"/>
    <xf numFmtId="37" fontId="9" fillId="0" borderId="8" xfId="0" applyNumberFormat="1" applyFont="1" applyBorder="1"/>
    <xf numFmtId="176" fontId="9" fillId="0" borderId="0" xfId="0" quotePrefix="1" applyNumberFormat="1" applyFont="1" applyAlignment="1">
      <alignment horizontal="right"/>
    </xf>
    <xf numFmtId="9" fontId="9" fillId="0" borderId="0" xfId="1" quotePrefix="1" applyFont="1" applyAlignment="1">
      <alignment horizontal="right"/>
    </xf>
    <xf numFmtId="9" fontId="0" fillId="3" borderId="2" xfId="0" applyNumberFormat="1" applyFill="1" applyBorder="1" applyAlignment="1">
      <alignment horizontal="right"/>
    </xf>
    <xf numFmtId="37" fontId="0" fillId="0" borderId="35" xfId="0" applyNumberFormat="1" applyBorder="1"/>
    <xf numFmtId="37" fontId="0" fillId="0" borderId="0" xfId="0" applyNumberFormat="1"/>
    <xf numFmtId="3" fontId="11" fillId="21" borderId="0" xfId="0" applyNumberFormat="1" applyFont="1" applyFill="1"/>
    <xf numFmtId="167" fontId="9" fillId="0" borderId="8" xfId="0" quotePrefix="1" applyNumberFormat="1" applyFont="1" applyBorder="1" applyAlignment="1">
      <alignment horizontal="right"/>
    </xf>
    <xf numFmtId="167" fontId="16" fillId="0" borderId="8" xfId="0" applyNumberFormat="1" applyFont="1" applyBorder="1"/>
    <xf numFmtId="0" fontId="0" fillId="10" borderId="12" xfId="0" applyFill="1" applyBorder="1"/>
    <xf numFmtId="0" fontId="0" fillId="10" borderId="11" xfId="0" applyFill="1" applyBorder="1" applyAlignment="1">
      <alignment vertical="center" textRotation="90"/>
    </xf>
    <xf numFmtId="0" fontId="0" fillId="10" borderId="9" xfId="0" applyFill="1" applyBorder="1"/>
    <xf numFmtId="10" fontId="0" fillId="10" borderId="0" xfId="1" applyNumberFormat="1" applyFont="1" applyFill="1" applyBorder="1"/>
    <xf numFmtId="10" fontId="0" fillId="10" borderId="8" xfId="1" applyNumberFormat="1" applyFont="1" applyFill="1" applyBorder="1"/>
    <xf numFmtId="44" fontId="0" fillId="0" borderId="0" xfId="3" applyFont="1" applyFill="1" applyBorder="1"/>
    <xf numFmtId="44" fontId="0" fillId="0" borderId="8" xfId="3" applyFont="1" applyFill="1" applyBorder="1"/>
    <xf numFmtId="10" fontId="0" fillId="10" borderId="6" xfId="1" applyNumberFormat="1" applyFont="1" applyFill="1" applyBorder="1"/>
    <xf numFmtId="44" fontId="0" fillId="0" borderId="6" xfId="3" applyFont="1" applyBorder="1"/>
    <xf numFmtId="44" fontId="0" fillId="0" borderId="5" xfId="3" applyFont="1" applyBorder="1"/>
    <xf numFmtId="166" fontId="55" fillId="10" borderId="0" xfId="1" applyNumberFormat="1" applyFont="1" applyFill="1" applyBorder="1"/>
    <xf numFmtId="0" fontId="2" fillId="22" borderId="0" xfId="0" applyFont="1" applyFill="1"/>
    <xf numFmtId="168" fontId="2" fillId="22" borderId="0" xfId="0" applyNumberFormat="1" applyFont="1" applyFill="1"/>
    <xf numFmtId="169" fontId="2" fillId="22" borderId="0" xfId="0" applyNumberFormat="1" applyFont="1" applyFill="1"/>
    <xf numFmtId="180" fontId="2" fillId="22" borderId="0" xfId="0" applyNumberFormat="1" applyFont="1" applyFill="1"/>
    <xf numFmtId="173" fontId="20" fillId="0" borderId="34" xfId="0" applyNumberFormat="1" applyFont="1" applyBorder="1"/>
    <xf numFmtId="173" fontId="20" fillId="0" borderId="35" xfId="0" applyNumberFormat="1" applyFont="1" applyBorder="1"/>
    <xf numFmtId="0" fontId="20" fillId="0" borderId="44" xfId="0" applyFont="1" applyBorder="1" applyAlignment="1">
      <alignment horizontal="left"/>
    </xf>
    <xf numFmtId="0" fontId="20" fillId="0" borderId="45" xfId="0" applyFont="1" applyBorder="1" applyAlignment="1">
      <alignment horizontal="left"/>
    </xf>
    <xf numFmtId="173" fontId="20" fillId="0" borderId="44" xfId="0" applyNumberFormat="1" applyFont="1" applyBorder="1"/>
    <xf numFmtId="173" fontId="20" fillId="0" borderId="45" xfId="0" applyNumberFormat="1" applyFont="1" applyBorder="1"/>
    <xf numFmtId="164" fontId="20" fillId="0" borderId="35" xfId="1" applyNumberFormat="1" applyFont="1" applyBorder="1" applyAlignment="1"/>
    <xf numFmtId="164" fontId="20" fillId="0" borderId="45" xfId="1" applyNumberFormat="1" applyFont="1" applyBorder="1" applyAlignment="1"/>
    <xf numFmtId="175" fontId="20" fillId="0" borderId="35" xfId="3" applyNumberFormat="1" applyFont="1" applyBorder="1" applyAlignment="1"/>
    <xf numFmtId="175" fontId="20" fillId="0" borderId="45" xfId="3" applyNumberFormat="1" applyFont="1" applyBorder="1" applyAlignment="1"/>
    <xf numFmtId="166" fontId="56" fillId="0" borderId="5" xfId="0" applyNumberFormat="1" applyFont="1" applyBorder="1"/>
    <xf numFmtId="0" fontId="57" fillId="15" borderId="0" xfId="4" applyFont="1" applyFill="1" applyAlignment="1">
      <alignment horizontal="left"/>
    </xf>
    <xf numFmtId="0" fontId="58" fillId="6" borderId="0" xfId="4" applyFont="1" applyFill="1" applyAlignment="1" applyProtection="1">
      <alignment horizontal="left"/>
      <protection locked="0"/>
    </xf>
    <xf numFmtId="0" fontId="59" fillId="6" borderId="0" xfId="4" applyFont="1" applyFill="1" applyAlignment="1">
      <alignment horizontal="center"/>
    </xf>
    <xf numFmtId="0" fontId="59" fillId="6" borderId="1" xfId="4" applyFont="1" applyFill="1" applyBorder="1" applyAlignment="1">
      <alignment horizontal="center"/>
    </xf>
    <xf numFmtId="0" fontId="60" fillId="6" borderId="0" xfId="5" applyFont="1" applyFill="1"/>
    <xf numFmtId="0" fontId="61" fillId="6" borderId="0" xfId="4" applyFont="1" applyFill="1" applyAlignment="1">
      <alignment horizontal="center"/>
    </xf>
    <xf numFmtId="0" fontId="62" fillId="6" borderId="0" xfId="6" applyFont="1" applyFill="1" applyBorder="1" applyAlignment="1">
      <alignment horizontal="left"/>
    </xf>
    <xf numFmtId="0" fontId="63" fillId="9" borderId="31" xfId="4" applyFont="1" applyFill="1" applyBorder="1" applyAlignment="1">
      <alignment horizontal="center"/>
    </xf>
    <xf numFmtId="0" fontId="64" fillId="6" borderId="0" xfId="4" applyFont="1" applyFill="1" applyAlignment="1">
      <alignment horizontal="center"/>
    </xf>
    <xf numFmtId="0" fontId="63" fillId="6" borderId="0" xfId="4" applyFont="1" applyFill="1" applyAlignment="1">
      <alignment horizontal="left"/>
    </xf>
    <xf numFmtId="0" fontId="65" fillId="6" borderId="1" xfId="4" applyFont="1" applyFill="1" applyBorder="1" applyAlignment="1" applyProtection="1">
      <alignment horizontal="left"/>
      <protection locked="0"/>
    </xf>
    <xf numFmtId="0" fontId="66" fillId="6" borderId="1" xfId="4" applyFont="1" applyFill="1" applyBorder="1" applyAlignment="1">
      <alignment horizontal="left"/>
    </xf>
    <xf numFmtId="9" fontId="32" fillId="3" borderId="46" xfId="1" applyFont="1" applyFill="1" applyBorder="1" applyAlignment="1">
      <alignment horizontal="center"/>
    </xf>
    <xf numFmtId="0" fontId="22" fillId="0" borderId="0" xfId="0" applyFont="1" applyAlignment="1">
      <alignment horizontal="center"/>
    </xf>
    <xf numFmtId="172" fontId="67" fillId="7" borderId="0" xfId="0" applyNumberFormat="1" applyFont="1" applyFill="1"/>
    <xf numFmtId="174" fontId="67" fillId="7" borderId="0" xfId="0" applyNumberFormat="1" applyFont="1" applyFill="1"/>
    <xf numFmtId="5" fontId="22" fillId="0" borderId="0" xfId="0" applyNumberFormat="1" applyFont="1"/>
    <xf numFmtId="171" fontId="22" fillId="0" borderId="0" xfId="0" applyNumberFormat="1" applyFont="1"/>
    <xf numFmtId="171" fontId="22" fillId="0" borderId="0" xfId="0" applyNumberFormat="1" applyFont="1" applyAlignment="1">
      <alignment horizontal="right"/>
    </xf>
    <xf numFmtId="175" fontId="22" fillId="0" borderId="0" xfId="3" applyNumberFormat="1" applyFont="1" applyBorder="1" applyAlignment="1">
      <alignment horizontal="right"/>
    </xf>
    <xf numFmtId="164" fontId="22" fillId="0" borderId="0" xfId="1" applyNumberFormat="1" applyFont="1" applyBorder="1" applyAlignment="1"/>
    <xf numFmtId="164" fontId="22" fillId="0" borderId="45" xfId="1" applyNumberFormat="1" applyFont="1" applyBorder="1" applyAlignment="1"/>
    <xf numFmtId="175" fontId="22" fillId="0" borderId="0" xfId="3" applyNumberFormat="1" applyFont="1" applyFill="1" applyBorder="1" applyAlignment="1"/>
    <xf numFmtId="173" fontId="22" fillId="0" borderId="45" xfId="0" applyNumberFormat="1" applyFont="1" applyBorder="1"/>
    <xf numFmtId="173" fontId="22" fillId="0" borderId="8" xfId="0" applyNumberFormat="1" applyFont="1" applyBorder="1"/>
    <xf numFmtId="173" fontId="22" fillId="0" borderId="0" xfId="0" applyNumberFormat="1" applyFont="1" applyAlignment="1">
      <alignment horizontal="right"/>
    </xf>
    <xf numFmtId="175" fontId="22" fillId="0" borderId="0" xfId="3" applyNumberFormat="1" applyFont="1" applyBorder="1" applyAlignment="1"/>
    <xf numFmtId="0" fontId="22" fillId="0" borderId="6" xfId="0" applyFont="1" applyBorder="1" applyAlignment="1">
      <alignment horizontal="left"/>
    </xf>
    <xf numFmtId="9" fontId="22" fillId="0" borderId="6" xfId="0" applyNumberFormat="1" applyFont="1" applyBorder="1" applyAlignment="1">
      <alignment horizontal="left"/>
    </xf>
    <xf numFmtId="172" fontId="67" fillId="7" borderId="6" xfId="0" applyNumberFormat="1" applyFont="1" applyFill="1" applyBorder="1"/>
    <xf numFmtId="174" fontId="67" fillId="7" borderId="6" xfId="0" applyNumberFormat="1" applyFont="1" applyFill="1" applyBorder="1"/>
    <xf numFmtId="5" fontId="22" fillId="0" borderId="6" xfId="0" applyNumberFormat="1" applyFont="1" applyBorder="1"/>
    <xf numFmtId="171" fontId="22" fillId="0" borderId="6" xfId="0" applyNumberFormat="1" applyFont="1" applyBorder="1"/>
    <xf numFmtId="171" fontId="22" fillId="0" borderId="6" xfId="0" applyNumberFormat="1" applyFont="1" applyBorder="1" applyAlignment="1">
      <alignment horizontal="right"/>
    </xf>
    <xf numFmtId="175" fontId="22" fillId="0" borderId="6" xfId="3" applyNumberFormat="1" applyFont="1" applyBorder="1" applyAlignment="1">
      <alignment horizontal="right"/>
    </xf>
    <xf numFmtId="175" fontId="22" fillId="0" borderId="6" xfId="3" applyNumberFormat="1" applyFont="1" applyBorder="1" applyAlignment="1"/>
    <xf numFmtId="164" fontId="22" fillId="0" borderId="6" xfId="1" applyNumberFormat="1" applyFont="1" applyBorder="1" applyAlignment="1"/>
    <xf numFmtId="175" fontId="22" fillId="0" borderId="6" xfId="3" applyNumberFormat="1" applyFont="1" applyFill="1" applyBorder="1" applyAlignment="1"/>
    <xf numFmtId="173" fontId="22" fillId="0" borderId="6" xfId="0" applyNumberFormat="1" applyFont="1" applyBorder="1"/>
    <xf numFmtId="173" fontId="22" fillId="0" borderId="5" xfId="0" applyNumberFormat="1" applyFont="1" applyBorder="1"/>
    <xf numFmtId="170" fontId="68" fillId="0" borderId="0" xfId="0" applyNumberFormat="1" applyFont="1" applyAlignment="1">
      <alignment horizontal="left"/>
    </xf>
    <xf numFmtId="174" fontId="68" fillId="7" borderId="0" xfId="0" applyNumberFormat="1" applyFont="1" applyFill="1" applyAlignment="1">
      <alignment horizontal="left"/>
    </xf>
    <xf numFmtId="173" fontId="22" fillId="0" borderId="0" xfId="0" applyNumberFormat="1" applyFont="1" applyAlignment="1">
      <alignment horizontal="left"/>
    </xf>
    <xf numFmtId="0" fontId="69" fillId="6" borderId="0" xfId="8" applyFont="1" applyFill="1"/>
    <xf numFmtId="0" fontId="70" fillId="6" borderId="0" xfId="4" applyFont="1" applyFill="1" applyAlignment="1">
      <alignment horizontal="center"/>
    </xf>
    <xf numFmtId="0" fontId="70" fillId="0" borderId="0" xfId="0" applyFont="1"/>
    <xf numFmtId="0" fontId="71" fillId="15" borderId="0" xfId="4" applyFont="1" applyFill="1" applyAlignment="1">
      <alignment horizontal="left" vertical="center"/>
    </xf>
    <xf numFmtId="0" fontId="48" fillId="17" borderId="0" xfId="0" applyFont="1" applyFill="1" applyAlignment="1">
      <alignment horizontal="left"/>
    </xf>
    <xf numFmtId="0" fontId="49" fillId="18" borderId="0" xfId="0" applyFont="1" applyFill="1" applyAlignment="1">
      <alignment horizontal="left"/>
    </xf>
    <xf numFmtId="178" fontId="49" fillId="18" borderId="0" xfId="0" applyNumberFormat="1" applyFont="1" applyFill="1" applyAlignment="1">
      <alignment horizontal="right"/>
    </xf>
    <xf numFmtId="0" fontId="49" fillId="0" borderId="0" xfId="0" applyFont="1" applyAlignment="1">
      <alignment horizontal="left" indent="3"/>
    </xf>
    <xf numFmtId="178" fontId="49" fillId="0" borderId="0" xfId="0" applyNumberFormat="1" applyFont="1" applyAlignment="1">
      <alignment horizontal="right"/>
    </xf>
    <xf numFmtId="0" fontId="0" fillId="18" borderId="0" xfId="0" applyFill="1" applyAlignment="1">
      <alignment horizontal="left" indent="4"/>
    </xf>
    <xf numFmtId="178" fontId="0" fillId="18" borderId="0" xfId="0" applyNumberFormat="1" applyFill="1" applyAlignment="1">
      <alignment horizontal="right"/>
    </xf>
    <xf numFmtId="0" fontId="49" fillId="0" borderId="0" xfId="0" applyFont="1" applyAlignment="1">
      <alignment horizontal="left" indent="6"/>
    </xf>
    <xf numFmtId="0" fontId="0" fillId="18" borderId="0" xfId="0" applyFill="1" applyAlignment="1">
      <alignment horizontal="left" indent="7"/>
    </xf>
    <xf numFmtId="0" fontId="0" fillId="0" borderId="0" xfId="0" applyAlignment="1">
      <alignment horizontal="left" indent="7"/>
    </xf>
    <xf numFmtId="178" fontId="0" fillId="0" borderId="0" xfId="0" applyNumberFormat="1" applyAlignment="1">
      <alignment horizontal="right"/>
    </xf>
    <xf numFmtId="0" fontId="0" fillId="18" borderId="0" xfId="0" applyFill="1" applyAlignment="1">
      <alignment horizontal="left"/>
    </xf>
    <xf numFmtId="0" fontId="0" fillId="0" borderId="0" xfId="0" applyAlignment="1">
      <alignment horizontal="left" indent="4"/>
    </xf>
    <xf numFmtId="178" fontId="50" fillId="18" borderId="0" xfId="0" applyNumberFormat="1" applyFont="1" applyFill="1" applyAlignment="1">
      <alignment horizontal="right"/>
    </xf>
    <xf numFmtId="0" fontId="49" fillId="18" borderId="0" xfId="0" applyFont="1" applyFill="1" applyAlignment="1">
      <alignment horizontal="left" indent="3"/>
    </xf>
    <xf numFmtId="0" fontId="49" fillId="0" borderId="0" xfId="0" applyFont="1" applyAlignment="1">
      <alignment horizontal="left"/>
    </xf>
    <xf numFmtId="178" fontId="50" fillId="0" borderId="0" xfId="0" applyNumberFormat="1" applyFont="1" applyAlignment="1">
      <alignment horizontal="right"/>
    </xf>
    <xf numFmtId="0" fontId="0" fillId="0" borderId="0" xfId="0" applyAlignment="1">
      <alignment horizontal="left" indent="1"/>
    </xf>
    <xf numFmtId="0" fontId="0" fillId="18" borderId="0" xfId="0" applyFill="1" applyAlignment="1">
      <alignment horizontal="left" indent="1"/>
    </xf>
    <xf numFmtId="4" fontId="0" fillId="18" borderId="0" xfId="0" applyNumberFormat="1" applyFill="1" applyAlignment="1">
      <alignment horizontal="right"/>
    </xf>
    <xf numFmtId="4" fontId="49" fillId="0" borderId="0" xfId="0" applyNumberFormat="1" applyFont="1" applyAlignment="1">
      <alignment horizontal="right"/>
    </xf>
    <xf numFmtId="4" fontId="0" fillId="0" borderId="0" xfId="0" applyNumberFormat="1" applyAlignment="1">
      <alignment horizontal="right"/>
    </xf>
    <xf numFmtId="4" fontId="49" fillId="18" borderId="0" xfId="0" applyNumberFormat="1" applyFont="1" applyFill="1" applyAlignment="1">
      <alignment horizontal="right"/>
    </xf>
    <xf numFmtId="0" fontId="51" fillId="0" borderId="0" xfId="0" applyFont="1" applyAlignment="1">
      <alignment horizontal="left"/>
    </xf>
    <xf numFmtId="0" fontId="73" fillId="0" borderId="0" xfId="0" applyFont="1"/>
    <xf numFmtId="0" fontId="74" fillId="0" borderId="0" xfId="0" applyFont="1"/>
    <xf numFmtId="0" fontId="74" fillId="0" borderId="41" xfId="0" applyFont="1" applyBorder="1"/>
    <xf numFmtId="0" fontId="74" fillId="0" borderId="42" xfId="0" applyFont="1" applyBorder="1"/>
    <xf numFmtId="0" fontId="73" fillId="23" borderId="0" xfId="0" applyFont="1" applyFill="1" applyAlignment="1">
      <alignment horizontal="left"/>
    </xf>
    <xf numFmtId="0" fontId="49" fillId="24" borderId="0" xfId="0" applyFont="1" applyFill="1" applyAlignment="1">
      <alignment horizontal="left"/>
    </xf>
    <xf numFmtId="178" fontId="49" fillId="24" borderId="0" xfId="0" applyNumberFormat="1" applyFont="1" applyFill="1" applyAlignment="1">
      <alignment horizontal="right"/>
    </xf>
    <xf numFmtId="0" fontId="74" fillId="24" borderId="0" xfId="0" applyFont="1" applyFill="1" applyAlignment="1">
      <alignment horizontal="left" indent="4"/>
    </xf>
    <xf numFmtId="178" fontId="74" fillId="24" borderId="0" xfId="0" applyNumberFormat="1" applyFont="1" applyFill="1" applyAlignment="1">
      <alignment horizontal="right"/>
    </xf>
    <xf numFmtId="0" fontId="74" fillId="24" borderId="0" xfId="0" applyFont="1" applyFill="1" applyAlignment="1">
      <alignment horizontal="left" indent="7"/>
    </xf>
    <xf numFmtId="0" fontId="74" fillId="0" borderId="0" xfId="0" applyFont="1" applyAlignment="1">
      <alignment horizontal="left" indent="7"/>
    </xf>
    <xf numFmtId="178" fontId="74" fillId="0" borderId="0" xfId="0" applyNumberFormat="1" applyFont="1" applyAlignment="1">
      <alignment horizontal="right"/>
    </xf>
    <xf numFmtId="0" fontId="74" fillId="24" borderId="0" xfId="0" applyFont="1" applyFill="1" applyAlignment="1">
      <alignment horizontal="left"/>
    </xf>
    <xf numFmtId="0" fontId="74" fillId="0" borderId="0" xfId="0" applyFont="1" applyAlignment="1">
      <alignment horizontal="left" indent="4"/>
    </xf>
    <xf numFmtId="178" fontId="50" fillId="24" borderId="0" xfId="0" applyNumberFormat="1" applyFont="1" applyFill="1" applyAlignment="1">
      <alignment horizontal="right"/>
    </xf>
    <xf numFmtId="0" fontId="49" fillId="24" borderId="0" xfId="0" applyFont="1" applyFill="1" applyAlignment="1">
      <alignment horizontal="left" indent="3"/>
    </xf>
    <xf numFmtId="0" fontId="74" fillId="0" borderId="0" xfId="0" applyFont="1" applyAlignment="1">
      <alignment horizontal="left"/>
    </xf>
    <xf numFmtId="0" fontId="74" fillId="0" borderId="0" xfId="0" applyFont="1" applyAlignment="1">
      <alignment horizontal="left" indent="1"/>
    </xf>
    <xf numFmtId="0" fontId="74" fillId="24" borderId="0" xfId="0" applyFont="1" applyFill="1" applyAlignment="1">
      <alignment horizontal="left" indent="1"/>
    </xf>
    <xf numFmtId="4" fontId="74" fillId="24" borderId="0" xfId="0" applyNumberFormat="1" applyFont="1" applyFill="1" applyAlignment="1">
      <alignment horizontal="right"/>
    </xf>
    <xf numFmtId="4" fontId="74" fillId="0" borderId="0" xfId="0" applyNumberFormat="1" applyFont="1" applyAlignment="1">
      <alignment horizontal="right"/>
    </xf>
    <xf numFmtId="4" fontId="49" fillId="24" borderId="0" xfId="0" applyNumberFormat="1" applyFont="1" applyFill="1" applyAlignment="1">
      <alignment horizontal="right"/>
    </xf>
    <xf numFmtId="0" fontId="49" fillId="18" borderId="0" xfId="0" applyFont="1" applyFill="1" applyAlignment="1">
      <alignment horizontal="left" indent="6"/>
    </xf>
    <xf numFmtId="4" fontId="50" fillId="0" borderId="0" xfId="0" applyNumberFormat="1" applyFont="1" applyAlignment="1">
      <alignment horizontal="right"/>
    </xf>
    <xf numFmtId="4" fontId="50" fillId="18" borderId="0" xfId="0" applyNumberFormat="1" applyFont="1" applyFill="1" applyAlignment="1">
      <alignment horizontal="right"/>
    </xf>
    <xf numFmtId="0" fontId="48" fillId="0" borderId="0" xfId="2" applyFont="1" applyAlignment="1">
      <alignment horizontal="left"/>
    </xf>
    <xf numFmtId="0" fontId="49" fillId="0" borderId="0" xfId="2" applyFont="1" applyAlignment="1">
      <alignment horizontal="left"/>
    </xf>
    <xf numFmtId="178" fontId="7" fillId="0" borderId="0" xfId="2" applyNumberFormat="1" applyAlignment="1">
      <alignment horizontal="right"/>
    </xf>
    <xf numFmtId="178" fontId="49" fillId="0" borderId="0" xfId="2" applyNumberFormat="1" applyFont="1" applyAlignment="1">
      <alignment horizontal="right"/>
    </xf>
    <xf numFmtId="178" fontId="50" fillId="0" borderId="0" xfId="2" applyNumberFormat="1" applyFont="1" applyAlignment="1">
      <alignment horizontal="right"/>
    </xf>
    <xf numFmtId="4" fontId="7" fillId="0" borderId="0" xfId="2" applyNumberFormat="1" applyAlignment="1">
      <alignment horizontal="right"/>
    </xf>
    <xf numFmtId="0" fontId="7" fillId="0" borderId="0" xfId="2" applyAlignment="1">
      <alignment horizontal="left"/>
    </xf>
    <xf numFmtId="4" fontId="49" fillId="0" borderId="0" xfId="2" applyNumberFormat="1" applyFont="1" applyAlignment="1">
      <alignment horizontal="right"/>
    </xf>
    <xf numFmtId="164" fontId="75" fillId="25" borderId="0" xfId="0" applyNumberFormat="1" applyFont="1" applyFill="1" applyAlignment="1">
      <alignment vertical="center" wrapText="1"/>
    </xf>
    <xf numFmtId="164" fontId="75" fillId="26" borderId="0" xfId="0" applyNumberFormat="1" applyFont="1" applyFill="1" applyAlignment="1">
      <alignment vertical="center" wrapText="1"/>
    </xf>
    <xf numFmtId="164" fontId="76" fillId="27" borderId="0" xfId="0" applyNumberFormat="1" applyFont="1" applyFill="1" applyAlignment="1">
      <alignment vertical="center" wrapText="1"/>
    </xf>
    <xf numFmtId="164" fontId="76" fillId="28" borderId="0" xfId="0" applyNumberFormat="1" applyFont="1" applyFill="1" applyAlignment="1">
      <alignment vertical="center" wrapText="1"/>
    </xf>
    <xf numFmtId="0" fontId="72" fillId="0" borderId="0" xfId="0" applyFont="1"/>
    <xf numFmtId="2" fontId="72" fillId="0" borderId="8" xfId="0" applyNumberFormat="1" applyFont="1" applyBorder="1" applyAlignment="1">
      <alignment horizontal="right"/>
    </xf>
    <xf numFmtId="0" fontId="0" fillId="0" borderId="8" xfId="0" applyBorder="1" applyAlignment="1">
      <alignment horizontal="left" indent="4"/>
    </xf>
    <xf numFmtId="37" fontId="0" fillId="0" borderId="8" xfId="0" applyNumberFormat="1" applyBorder="1" applyAlignment="1">
      <alignment horizontal="left" indent="4"/>
    </xf>
    <xf numFmtId="1" fontId="0" fillId="0" borderId="8" xfId="0" applyNumberFormat="1" applyBorder="1" applyAlignment="1">
      <alignment horizontal="left" indent="4"/>
    </xf>
    <xf numFmtId="37" fontId="0" fillId="0" borderId="18" xfId="0" applyNumberFormat="1" applyBorder="1" applyAlignment="1">
      <alignment horizontal="left" indent="4"/>
    </xf>
    <xf numFmtId="3" fontId="0" fillId="0" borderId="8" xfId="0" applyNumberFormat="1" applyBorder="1" applyAlignment="1">
      <alignment horizontal="left" indent="4"/>
    </xf>
    <xf numFmtId="1" fontId="0" fillId="0" borderId="18" xfId="0" applyNumberFormat="1" applyBorder="1" applyAlignment="1">
      <alignment horizontal="left" indent="4"/>
    </xf>
    <xf numFmtId="181" fontId="0" fillId="0" borderId="8" xfId="0" applyNumberFormat="1" applyBorder="1" applyAlignment="1">
      <alignment horizontal="left" indent="4"/>
    </xf>
    <xf numFmtId="9" fontId="0" fillId="0" borderId="5" xfId="1" applyFont="1" applyBorder="1" applyAlignment="1">
      <alignment horizontal="left" indent="4"/>
    </xf>
    <xf numFmtId="0" fontId="3" fillId="15" borderId="19" xfId="0" applyFont="1" applyFill="1" applyBorder="1"/>
    <xf numFmtId="0" fontId="3" fillId="15" borderId="47" xfId="0" applyFont="1" applyFill="1" applyBorder="1"/>
    <xf numFmtId="0" fontId="0" fillId="15" borderId="20" xfId="0" applyFill="1" applyBorder="1" applyAlignment="1">
      <alignment horizontal="left" indent="4"/>
    </xf>
    <xf numFmtId="0" fontId="2" fillId="15" borderId="12" xfId="0" applyFont="1" applyFill="1" applyBorder="1"/>
    <xf numFmtId="0" fontId="0" fillId="15" borderId="11" xfId="0" applyFill="1" applyBorder="1"/>
    <xf numFmtId="0" fontId="0" fillId="15" borderId="10" xfId="0" applyFill="1" applyBorder="1"/>
    <xf numFmtId="164" fontId="0" fillId="0" borderId="8" xfId="0" applyNumberFormat="1" applyBorder="1" applyAlignment="1">
      <alignment horizontal="right"/>
    </xf>
    <xf numFmtId="10" fontId="0" fillId="0" borderId="8" xfId="0" applyNumberFormat="1" applyBorder="1" applyAlignment="1">
      <alignment horizontal="right"/>
    </xf>
    <xf numFmtId="3" fontId="0" fillId="0" borderId="8" xfId="0" applyNumberFormat="1" applyBorder="1" applyAlignment="1">
      <alignment horizontal="right"/>
    </xf>
    <xf numFmtId="0" fontId="0" fillId="8" borderId="7" xfId="0" applyFill="1" applyBorder="1"/>
    <xf numFmtId="0" fontId="0" fillId="8" borderId="6" xfId="0" applyFill="1" applyBorder="1"/>
    <xf numFmtId="10" fontId="0" fillId="8" borderId="5" xfId="0" applyNumberFormat="1" applyFill="1" applyBorder="1" applyAlignment="1">
      <alignment horizontal="right"/>
    </xf>
    <xf numFmtId="164" fontId="10" fillId="10" borderId="11" xfId="0" applyNumberFormat="1" applyFont="1" applyFill="1" applyBorder="1" applyAlignment="1">
      <alignment horizontal="center"/>
    </xf>
    <xf numFmtId="164" fontId="10" fillId="10" borderId="10" xfId="0" applyNumberFormat="1" applyFont="1" applyFill="1" applyBorder="1" applyAlignment="1">
      <alignment horizontal="center"/>
    </xf>
    <xf numFmtId="0" fontId="10" fillId="10" borderId="9" xfId="0" applyFont="1" applyFill="1" applyBorder="1" applyAlignment="1">
      <alignment horizontal="center" vertical="center" textRotation="90"/>
    </xf>
    <xf numFmtId="0" fontId="10" fillId="10" borderId="7" xfId="0" applyFont="1" applyFill="1" applyBorder="1" applyAlignment="1">
      <alignment horizontal="center" vertical="center" textRotation="90"/>
    </xf>
    <xf numFmtId="0" fontId="6" fillId="9" borderId="12" xfId="0" applyFont="1" applyFill="1" applyBorder="1" applyAlignment="1">
      <alignment horizontal="center"/>
    </xf>
    <xf numFmtId="0" fontId="6" fillId="9" borderId="11" xfId="0" applyFont="1" applyFill="1" applyBorder="1" applyAlignment="1">
      <alignment horizontal="center"/>
    </xf>
    <xf numFmtId="0" fontId="6" fillId="9" borderId="10" xfId="0" applyFont="1" applyFill="1" applyBorder="1" applyAlignment="1">
      <alignment horizontal="center"/>
    </xf>
    <xf numFmtId="0" fontId="18" fillId="6" borderId="4" xfId="4" applyFont="1" applyFill="1" applyBorder="1" applyAlignment="1">
      <alignment horizontal="left" vertical="top" wrapText="1"/>
    </xf>
    <xf numFmtId="0" fontId="18" fillId="6" borderId="0" xfId="4" applyFont="1" applyFill="1" applyAlignment="1">
      <alignment horizontal="left" vertical="top" wrapText="1"/>
    </xf>
    <xf numFmtId="0" fontId="26" fillId="11" borderId="21" xfId="0" applyFont="1" applyFill="1" applyBorder="1" applyAlignment="1">
      <alignment horizontal="center"/>
    </xf>
    <xf numFmtId="0" fontId="26" fillId="11" borderId="25" xfId="0" applyFont="1" applyFill="1" applyBorder="1" applyAlignment="1">
      <alignment horizontal="center"/>
    </xf>
    <xf numFmtId="0" fontId="31" fillId="10" borderId="26" xfId="0" applyFont="1" applyFill="1" applyBorder="1" applyAlignment="1">
      <alignment horizontal="center"/>
    </xf>
    <xf numFmtId="0" fontId="31" fillId="10" borderId="27" xfId="0" applyFont="1" applyFill="1" applyBorder="1" applyAlignment="1">
      <alignment horizontal="center"/>
    </xf>
    <xf numFmtId="0" fontId="26" fillId="11" borderId="24" xfId="0" applyFont="1" applyFill="1" applyBorder="1" applyAlignment="1">
      <alignment horizontal="center"/>
    </xf>
    <xf numFmtId="0" fontId="25" fillId="11" borderId="11" xfId="0" applyFont="1" applyFill="1" applyBorder="1" applyAlignment="1">
      <alignment horizontal="center"/>
    </xf>
    <xf numFmtId="0" fontId="25" fillId="11" borderId="12" xfId="0" applyFont="1" applyFill="1" applyBorder="1" applyAlignment="1">
      <alignment horizontal="center"/>
    </xf>
    <xf numFmtId="0" fontId="25" fillId="11" borderId="10" xfId="0" applyFont="1" applyFill="1" applyBorder="1" applyAlignment="1">
      <alignment horizontal="center"/>
    </xf>
    <xf numFmtId="0" fontId="26" fillId="11" borderId="22" xfId="0" applyFont="1" applyFill="1" applyBorder="1" applyAlignment="1">
      <alignment horizontal="center"/>
    </xf>
    <xf numFmtId="0" fontId="54" fillId="0" borderId="0" xfId="0" applyFont="1" applyAlignment="1">
      <alignment horizontal="left" wrapText="1"/>
    </xf>
  </cellXfs>
  <cellStyles count="9">
    <cellStyle name="Comma" xfId="7" builtinId="3"/>
    <cellStyle name="Currency" xfId="3" builtinId="4"/>
    <cellStyle name="Hyperlink" xfId="8" builtinId="8"/>
    <cellStyle name="Hyperlink 2" xfId="5" xr:uid="{40B3B4D7-651E-9340-B38C-F6C6107CF24F}"/>
    <cellStyle name="Hyperlink 2 2" xfId="6" xr:uid="{63720F10-CFC4-B740-B7EB-E33EDF272396}"/>
    <cellStyle name="Normal" xfId="0" builtinId="0"/>
    <cellStyle name="Normal 2" xfId="2" xr:uid="{5F6A9F0A-6B63-4420-9988-4339BDE5C0BF}"/>
    <cellStyle name="Normal 2 2" xfId="4" xr:uid="{38E31B0D-8FA4-A949-A32A-323458F22911}"/>
    <cellStyle name="Percent" xfId="1"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202846"/>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592236</xdr:colOff>
      <xdr:row>2</xdr:row>
      <xdr:rowOff>23302</xdr:rowOff>
    </xdr:from>
    <xdr:to>
      <xdr:col>15</xdr:col>
      <xdr:colOff>0</xdr:colOff>
      <xdr:row>9</xdr:row>
      <xdr:rowOff>104860</xdr:rowOff>
    </xdr:to>
    <xdr:pic>
      <xdr:nvPicPr>
        <xdr:cNvPr id="2" name="Picture 1">
          <a:extLst>
            <a:ext uri="{FF2B5EF4-FFF2-40B4-BE49-F238E27FC236}">
              <a16:creationId xmlns:a16="http://schemas.microsoft.com/office/drawing/2014/main" id="{DBC25271-5A91-0C77-EB91-45D12160981B}"/>
            </a:ext>
          </a:extLst>
        </xdr:cNvPr>
        <xdr:cNvPicPr>
          <a:picLocks noChangeAspect="1"/>
        </xdr:cNvPicPr>
      </xdr:nvPicPr>
      <xdr:blipFill rotWithShape="1">
        <a:blip xmlns:r="http://schemas.openxmlformats.org/officeDocument/2006/relationships" r:embed="rId1"/>
        <a:srcRect t="31266" r="12454" b="32615"/>
        <a:stretch/>
      </xdr:blipFill>
      <xdr:spPr>
        <a:xfrm>
          <a:off x="8130676" y="326238"/>
          <a:ext cx="2903177" cy="11418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6CB2BF-E5D1-8342-B86C-69CD2F4C250C}">
  <we:reference id="wa200001456" version="2.1.0.0" store="en-US" storeType="OMEX"/>
  <we:alternateReferences>
    <we:reference id="wa200001456" version="2.1.0.0" store="" storeType="OMEX"/>
  </we:alternateReferences>
  <we:properties>
    <we:property name="Office.DisableTrustUX" value="true"/>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FDS</we:customFunctionIds>
        <we:customFunctionIds>FDSN</we:customFunctionIds>
        <we:customFunctionIds>FDSZ</we:customFunctionIds>
        <we:customFunctionIds>FDSB</we:customFunctionIds>
        <we:customFunctionIds>FDSC</we:customFunctionIds>
        <we:customFunctionIds>FDSR</we:customFunctionIds>
        <we:customFunctionIds>FDSRN</we:customFunctionIds>
        <we:customFunctionIds>FDSRZ</we:customFunctionIds>
        <we:customFunctionIds>FDSRB</we:customFunctionIds>
        <we:customFunctionIds>FDSRC</we:customFunctionIds>
        <we:customFunctionIds>FDSLIVE</we:customFunctionIds>
        <we:customFunctionIds>FactSetLive.RTDFunction.1.FDSLIVE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E870-0259-B44F-B790-04E36385618F}">
  <sheetPr codeName="Sheet29">
    <tabColor theme="1" tint="0.14999847407452621"/>
  </sheetPr>
  <dimension ref="A3:Q42"/>
  <sheetViews>
    <sheetView topLeftCell="A8" zoomScale="109" zoomScaleNormal="109" workbookViewId="0">
      <selection activeCell="C30" sqref="C30"/>
    </sheetView>
  </sheetViews>
  <sheetFormatPr baseColWidth="10" defaultColWidth="0" defaultRowHeight="12" customHeight="1"/>
  <cols>
    <col min="1" max="1" width="3.5" style="25" customWidth="1"/>
    <col min="2" max="2" width="3.33203125" style="25" customWidth="1"/>
    <col min="3" max="3" width="27.83203125" style="25" customWidth="1"/>
    <col min="4" max="15" width="9.1640625" style="25" customWidth="1"/>
    <col min="16" max="16" width="3.33203125" style="25" customWidth="1"/>
    <col min="17" max="17" width="3.5" style="25" customWidth="1"/>
    <col min="18" max="16384" width="10" style="25" hidden="1"/>
  </cols>
  <sheetData>
    <row r="3" spans="1:17" ht="12" customHeight="1">
      <c r="A3" s="24"/>
      <c r="B3" s="26"/>
      <c r="C3" s="26"/>
      <c r="D3" s="26"/>
      <c r="E3" s="26"/>
      <c r="F3" s="26"/>
      <c r="G3" s="26"/>
      <c r="H3" s="26"/>
      <c r="I3" s="26"/>
      <c r="J3" s="26"/>
      <c r="K3" s="26"/>
      <c r="L3" s="26"/>
      <c r="M3" s="26"/>
      <c r="N3" s="26"/>
      <c r="O3" s="26"/>
      <c r="P3" s="26"/>
      <c r="Q3" s="24"/>
    </row>
    <row r="4" spans="1:17" ht="12" customHeight="1">
      <c r="A4" s="24"/>
      <c r="B4" s="26"/>
      <c r="C4" s="26"/>
      <c r="D4" s="26"/>
      <c r="E4" s="26"/>
      <c r="F4" s="26"/>
      <c r="G4" s="26"/>
      <c r="H4" s="26"/>
      <c r="I4" s="26"/>
      <c r="J4" s="26"/>
      <c r="K4" s="26"/>
      <c r="L4" s="26"/>
      <c r="M4" s="26"/>
      <c r="N4" s="26"/>
      <c r="O4" s="26"/>
      <c r="P4" s="26"/>
      <c r="Q4" s="24"/>
    </row>
    <row r="5" spans="1:17" ht="12" customHeight="1">
      <c r="A5" s="24"/>
      <c r="B5" s="26"/>
      <c r="C5" s="26"/>
      <c r="D5" s="26"/>
      <c r="E5" s="26"/>
      <c r="F5" s="26"/>
      <c r="G5" s="26"/>
      <c r="H5" s="26"/>
      <c r="I5" s="26"/>
      <c r="J5" s="26"/>
      <c r="K5" s="26"/>
      <c r="L5" s="26"/>
      <c r="M5" s="26"/>
      <c r="N5" s="26"/>
      <c r="O5" s="26"/>
      <c r="P5" s="26"/>
      <c r="Q5" s="24"/>
    </row>
    <row r="6" spans="1:17" ht="12" customHeight="1">
      <c r="A6" s="24"/>
      <c r="B6" s="26"/>
      <c r="C6" s="26"/>
      <c r="D6" s="26"/>
      <c r="E6" s="26"/>
      <c r="F6" s="187"/>
      <c r="G6" s="26"/>
      <c r="H6" s="26"/>
      <c r="I6" s="26"/>
      <c r="J6" s="26"/>
      <c r="K6" s="26"/>
      <c r="L6" s="26"/>
      <c r="M6" s="26"/>
      <c r="N6" s="26"/>
      <c r="O6" s="26"/>
      <c r="P6" s="26"/>
      <c r="Q6" s="24"/>
    </row>
    <row r="7" spans="1:17" ht="12" customHeight="1">
      <c r="A7" s="24"/>
      <c r="B7" s="26"/>
      <c r="C7" s="26"/>
      <c r="D7" s="26"/>
      <c r="E7" s="26"/>
      <c r="F7" s="26"/>
      <c r="G7" s="26"/>
      <c r="H7" s="26"/>
      <c r="I7" s="26"/>
      <c r="J7" s="26"/>
      <c r="K7" s="26"/>
      <c r="L7" s="26"/>
      <c r="M7" s="26"/>
      <c r="N7" s="26"/>
      <c r="O7" s="26"/>
      <c r="P7" s="26"/>
      <c r="Q7" s="24"/>
    </row>
    <row r="8" spans="1:17" ht="12" customHeight="1">
      <c r="A8" s="24"/>
      <c r="B8" s="26"/>
      <c r="C8" s="26"/>
      <c r="D8" s="26"/>
      <c r="E8" s="26"/>
      <c r="F8" s="26"/>
      <c r="G8" s="26"/>
      <c r="H8" s="26"/>
      <c r="I8" s="26"/>
      <c r="J8" s="26"/>
      <c r="K8" s="26"/>
      <c r="L8" s="26"/>
      <c r="M8" s="26"/>
      <c r="N8" s="26"/>
      <c r="O8" s="26"/>
      <c r="P8" s="26"/>
      <c r="Q8" s="24"/>
    </row>
    <row r="9" spans="1:17" ht="12" customHeight="1">
      <c r="A9" s="24"/>
      <c r="B9" s="26"/>
      <c r="C9" s="26"/>
      <c r="D9" s="26"/>
      <c r="E9" s="26"/>
      <c r="F9" s="26"/>
      <c r="G9" s="26"/>
      <c r="H9" s="26"/>
      <c r="I9" s="26"/>
      <c r="J9" s="26"/>
      <c r="K9" s="26"/>
      <c r="L9" s="26"/>
      <c r="M9" s="26"/>
      <c r="N9" s="26"/>
      <c r="O9" s="26"/>
      <c r="P9" s="26"/>
      <c r="Q9" s="24"/>
    </row>
    <row r="10" spans="1:17" ht="12" customHeight="1">
      <c r="A10" s="24"/>
      <c r="B10" s="26"/>
      <c r="C10" s="26"/>
      <c r="D10" s="26"/>
      <c r="E10" s="26"/>
      <c r="F10" s="26"/>
      <c r="G10" s="26"/>
      <c r="H10" s="26"/>
      <c r="I10" s="26"/>
      <c r="J10" s="26"/>
      <c r="K10" s="26"/>
      <c r="L10" s="26"/>
      <c r="M10" s="26"/>
      <c r="N10" s="26"/>
      <c r="O10" s="26"/>
      <c r="P10" s="26"/>
      <c r="Q10" s="24"/>
    </row>
    <row r="11" spans="1:17" ht="35" customHeight="1">
      <c r="A11" s="24"/>
      <c r="B11" s="26"/>
      <c r="C11" s="393" t="s">
        <v>122</v>
      </c>
      <c r="D11" s="347"/>
      <c r="E11" s="347"/>
      <c r="F11" s="347"/>
      <c r="G11" s="347"/>
      <c r="H11" s="347"/>
      <c r="I11" s="347"/>
      <c r="J11" s="347"/>
      <c r="K11" s="347"/>
      <c r="L11" s="347"/>
      <c r="M11" s="347"/>
      <c r="N11" s="347"/>
      <c r="O11" s="347"/>
      <c r="P11" s="26"/>
      <c r="Q11" s="24"/>
    </row>
    <row r="12" spans="1:17" ht="16" customHeight="1">
      <c r="A12" s="24"/>
      <c r="B12" s="26"/>
      <c r="C12" s="348" t="s">
        <v>51</v>
      </c>
      <c r="D12" s="349"/>
      <c r="E12" s="349"/>
      <c r="F12" s="349"/>
      <c r="G12" s="349"/>
      <c r="H12" s="349"/>
      <c r="I12" s="349"/>
      <c r="J12" s="349"/>
      <c r="K12" s="349"/>
      <c r="L12" s="349"/>
      <c r="M12" s="349"/>
      <c r="N12" s="349"/>
      <c r="O12" s="349"/>
      <c r="P12" s="26"/>
      <c r="Q12" s="24"/>
    </row>
    <row r="13" spans="1:17" ht="12" customHeight="1">
      <c r="A13" s="24"/>
      <c r="B13" s="26"/>
      <c r="C13" s="349"/>
      <c r="D13" s="349"/>
      <c r="E13" s="349"/>
      <c r="F13" s="349"/>
      <c r="G13" s="349"/>
      <c r="H13" s="349"/>
      <c r="I13" s="349"/>
      <c r="J13" s="349"/>
      <c r="K13" s="349"/>
      <c r="L13" s="349"/>
      <c r="M13" s="349"/>
      <c r="N13" s="349"/>
      <c r="O13" s="349"/>
      <c r="P13" s="26"/>
      <c r="Q13" s="24"/>
    </row>
    <row r="14" spans="1:17" ht="18" customHeight="1">
      <c r="A14" s="24"/>
      <c r="B14" s="26"/>
      <c r="C14" s="357" t="s">
        <v>52</v>
      </c>
      <c r="D14" s="350"/>
      <c r="E14" s="350"/>
      <c r="F14" s="350"/>
      <c r="G14" s="350"/>
      <c r="H14" s="350"/>
      <c r="I14" s="350"/>
      <c r="J14" s="350"/>
      <c r="K14" s="350"/>
      <c r="L14" s="350"/>
      <c r="M14" s="350"/>
      <c r="N14" s="350"/>
      <c r="O14" s="350"/>
      <c r="P14" s="26"/>
      <c r="Q14" s="24"/>
    </row>
    <row r="15" spans="1:17" ht="15" customHeight="1">
      <c r="A15" s="24"/>
      <c r="B15" s="26">
        <v>1</v>
      </c>
      <c r="C15" s="390" t="s">
        <v>119</v>
      </c>
      <c r="D15" s="391"/>
      <c r="E15" s="391"/>
      <c r="F15" s="349"/>
      <c r="G15" s="349"/>
      <c r="H15" s="349"/>
      <c r="I15" s="349"/>
      <c r="J15" s="349"/>
      <c r="K15" s="349"/>
      <c r="L15" s="349"/>
      <c r="M15" s="349"/>
      <c r="N15" s="349"/>
      <c r="O15" s="349"/>
      <c r="P15" s="26"/>
      <c r="Q15" s="24"/>
    </row>
    <row r="16" spans="1:17" ht="15" customHeight="1">
      <c r="A16" s="24"/>
      <c r="B16" s="26">
        <v>2</v>
      </c>
      <c r="C16" s="390" t="s">
        <v>59</v>
      </c>
      <c r="D16" s="391"/>
      <c r="E16" s="391"/>
      <c r="F16" s="349"/>
      <c r="G16" s="349"/>
      <c r="H16" s="349"/>
      <c r="I16" s="349"/>
      <c r="J16" s="349"/>
      <c r="K16" s="349"/>
      <c r="L16" s="349"/>
      <c r="M16" s="349"/>
      <c r="N16" s="349"/>
      <c r="O16" s="349"/>
      <c r="P16" s="26"/>
      <c r="Q16" s="24"/>
    </row>
    <row r="17" spans="1:17" ht="15" customHeight="1">
      <c r="A17" s="24"/>
      <c r="B17" s="26">
        <v>3</v>
      </c>
      <c r="C17" s="390" t="s">
        <v>137</v>
      </c>
      <c r="D17" s="391"/>
      <c r="E17" s="391"/>
      <c r="F17" s="349"/>
      <c r="G17" s="349"/>
      <c r="H17" s="349"/>
      <c r="I17" s="349"/>
      <c r="J17" s="349"/>
      <c r="K17" s="349"/>
      <c r="L17" s="349"/>
      <c r="M17" s="349"/>
      <c r="N17" s="349"/>
      <c r="O17" s="349"/>
      <c r="P17" s="26"/>
      <c r="Q17" s="24"/>
    </row>
    <row r="18" spans="1:17" ht="15" customHeight="1">
      <c r="A18" s="24"/>
      <c r="B18" s="26">
        <v>4</v>
      </c>
      <c r="C18" s="390" t="s">
        <v>225</v>
      </c>
      <c r="D18" s="391"/>
      <c r="E18" s="392"/>
      <c r="F18" s="349"/>
      <c r="G18" s="349"/>
      <c r="H18" s="349"/>
      <c r="I18" s="349"/>
      <c r="J18" s="349"/>
      <c r="K18" s="349"/>
      <c r="L18" s="349"/>
      <c r="M18" s="349"/>
      <c r="N18" s="349"/>
      <c r="O18" s="349"/>
      <c r="P18" s="26"/>
      <c r="Q18" s="24"/>
    </row>
    <row r="19" spans="1:17" ht="15" customHeight="1">
      <c r="A19" s="24"/>
      <c r="B19" s="26">
        <v>5</v>
      </c>
      <c r="C19" s="390" t="s">
        <v>239</v>
      </c>
      <c r="D19" s="391"/>
      <c r="E19" s="391"/>
      <c r="F19" s="349"/>
      <c r="G19" s="349"/>
      <c r="H19" s="349"/>
      <c r="I19" s="349"/>
      <c r="J19" s="349"/>
      <c r="K19" s="349"/>
      <c r="L19" s="349"/>
      <c r="M19" s="349"/>
      <c r="N19" s="349"/>
      <c r="O19" s="349"/>
      <c r="P19" s="26"/>
      <c r="Q19" s="24"/>
    </row>
    <row r="20" spans="1:17" ht="15" customHeight="1">
      <c r="A20" s="24"/>
      <c r="B20" s="26">
        <v>6</v>
      </c>
      <c r="C20" s="390" t="s">
        <v>68</v>
      </c>
      <c r="D20" s="391"/>
      <c r="E20" s="391"/>
      <c r="F20" s="349"/>
      <c r="G20" s="349"/>
      <c r="H20" s="349"/>
      <c r="I20" s="349"/>
      <c r="J20" s="349"/>
      <c r="K20" s="349"/>
      <c r="L20" s="349"/>
      <c r="M20" s="349"/>
      <c r="N20" s="349"/>
      <c r="O20" s="349"/>
      <c r="P20" s="26"/>
      <c r="Q20" s="24"/>
    </row>
    <row r="21" spans="1:17" ht="15" customHeight="1">
      <c r="A21" s="24"/>
      <c r="B21" s="26">
        <v>7</v>
      </c>
      <c r="C21" s="390" t="s">
        <v>240</v>
      </c>
      <c r="D21" s="391"/>
      <c r="E21" s="391"/>
      <c r="F21" s="349"/>
      <c r="G21" s="349"/>
      <c r="H21" s="349"/>
      <c r="I21" s="349"/>
      <c r="J21" s="349"/>
      <c r="K21" s="349"/>
      <c r="L21" s="349"/>
      <c r="M21" s="349"/>
      <c r="N21" s="349"/>
      <c r="O21" s="349"/>
      <c r="P21" s="26"/>
      <c r="Q21" s="24"/>
    </row>
    <row r="22" spans="1:17" ht="12" customHeight="1">
      <c r="A22" s="24"/>
      <c r="B22" s="26"/>
      <c r="C22" s="351"/>
      <c r="D22" s="349"/>
      <c r="E22" s="349"/>
      <c r="F22" s="349"/>
      <c r="G22" s="349"/>
      <c r="H22" s="349"/>
      <c r="I22" s="349"/>
      <c r="J22" s="349"/>
      <c r="K22" s="349"/>
      <c r="L22" s="349"/>
      <c r="M22" s="349"/>
      <c r="N22" s="349"/>
      <c r="O22" s="349"/>
      <c r="P22" s="26"/>
      <c r="Q22" s="24"/>
    </row>
    <row r="23" spans="1:17" ht="12" customHeight="1">
      <c r="A23" s="24"/>
      <c r="B23" s="26"/>
      <c r="C23" s="351"/>
      <c r="D23" s="349"/>
      <c r="E23" s="349"/>
      <c r="F23" s="349"/>
      <c r="G23" s="349"/>
      <c r="H23" s="349"/>
      <c r="I23" s="349"/>
      <c r="J23" s="349"/>
      <c r="K23" s="349"/>
      <c r="L23" s="349"/>
      <c r="M23" s="349"/>
      <c r="N23" s="349"/>
      <c r="O23" s="349"/>
      <c r="P23" s="26"/>
      <c r="Q23" s="24"/>
    </row>
    <row r="24" spans="1:17" ht="12" customHeight="1">
      <c r="A24" s="24"/>
      <c r="B24" s="26"/>
      <c r="C24" s="351"/>
      <c r="D24" s="352"/>
      <c r="E24" s="349"/>
      <c r="F24" s="349"/>
      <c r="G24" s="349"/>
      <c r="H24" s="349"/>
      <c r="I24" s="349"/>
      <c r="J24" s="349"/>
      <c r="K24" s="349"/>
      <c r="L24" s="349"/>
      <c r="M24" s="349"/>
      <c r="N24" s="349"/>
      <c r="O24" s="349"/>
      <c r="P24" s="26"/>
      <c r="Q24" s="24"/>
    </row>
    <row r="25" spans="1:17" ht="12" customHeight="1">
      <c r="A25" s="24"/>
      <c r="B25" s="26"/>
      <c r="C25" s="349"/>
      <c r="D25" s="349"/>
      <c r="E25" s="349"/>
      <c r="F25" s="349"/>
      <c r="G25" s="349"/>
      <c r="H25" s="349"/>
      <c r="I25" s="349"/>
      <c r="J25" s="349"/>
      <c r="K25" s="349"/>
      <c r="L25" s="349"/>
      <c r="M25" s="349"/>
      <c r="N25" s="349"/>
      <c r="O25" s="349"/>
      <c r="P25" s="26"/>
      <c r="Q25" s="24"/>
    </row>
    <row r="26" spans="1:17" ht="12" customHeight="1">
      <c r="A26" s="24"/>
      <c r="B26" s="26"/>
      <c r="C26" s="353"/>
      <c r="D26" s="349"/>
      <c r="E26" s="349"/>
      <c r="F26" s="349"/>
      <c r="G26" s="349"/>
      <c r="H26" s="349"/>
      <c r="I26" s="349"/>
      <c r="J26" s="349"/>
      <c r="K26" s="349"/>
      <c r="L26" s="349"/>
      <c r="M26" s="349"/>
      <c r="N26" s="349"/>
      <c r="O26" s="349"/>
      <c r="P26" s="26"/>
      <c r="Q26" s="24"/>
    </row>
    <row r="27" spans="1:17" ht="18" customHeight="1">
      <c r="A27" s="24"/>
      <c r="B27" s="26"/>
      <c r="C27" s="358" t="s">
        <v>123</v>
      </c>
      <c r="D27" s="350"/>
      <c r="E27" s="350"/>
      <c r="F27" s="350"/>
      <c r="G27" s="350"/>
      <c r="H27" s="350"/>
      <c r="I27" s="350"/>
      <c r="J27" s="350"/>
      <c r="K27" s="350"/>
      <c r="L27" s="350"/>
      <c r="M27" s="350"/>
      <c r="N27" s="350"/>
      <c r="O27" s="350"/>
      <c r="P27" s="26"/>
      <c r="Q27" s="24"/>
    </row>
    <row r="28" spans="1:17" ht="16" customHeight="1" thickBot="1">
      <c r="A28" s="24"/>
      <c r="B28" s="26"/>
      <c r="C28" s="348" t="s">
        <v>120</v>
      </c>
      <c r="D28" s="349"/>
      <c r="E28" s="349"/>
      <c r="F28" s="349"/>
      <c r="G28" s="349"/>
      <c r="H28" s="349"/>
      <c r="I28" s="349"/>
      <c r="J28" s="349"/>
      <c r="K28" s="349"/>
      <c r="L28" s="349"/>
      <c r="M28" s="349"/>
      <c r="N28" s="349"/>
      <c r="O28" s="349"/>
      <c r="P28" s="26"/>
      <c r="Q28" s="24"/>
    </row>
    <row r="29" spans="1:17" ht="16" customHeight="1" thickBot="1">
      <c r="A29" s="24"/>
      <c r="B29" s="26"/>
      <c r="C29" s="354" t="s">
        <v>246</v>
      </c>
      <c r="D29" s="355"/>
      <c r="E29" s="355"/>
      <c r="F29" s="355"/>
      <c r="G29" s="355"/>
      <c r="H29" s="355"/>
      <c r="I29" s="355"/>
      <c r="J29" s="355"/>
      <c r="K29" s="355"/>
      <c r="L29" s="355"/>
      <c r="M29" s="355"/>
      <c r="N29" s="355"/>
      <c r="O29" s="355"/>
      <c r="P29" s="26"/>
      <c r="Q29" s="24"/>
    </row>
    <row r="30" spans="1:17" ht="15" customHeight="1">
      <c r="A30" s="24"/>
      <c r="B30" s="26"/>
      <c r="C30" s="356" t="s">
        <v>121</v>
      </c>
      <c r="D30" s="355"/>
      <c r="E30" s="355"/>
      <c r="F30" s="355"/>
      <c r="G30" s="355"/>
      <c r="H30" s="355"/>
      <c r="I30" s="355"/>
      <c r="J30" s="355"/>
      <c r="K30" s="355"/>
      <c r="L30" s="355"/>
      <c r="M30" s="355"/>
      <c r="N30" s="355"/>
      <c r="O30" s="355"/>
      <c r="P30" s="26"/>
      <c r="Q30" s="24"/>
    </row>
    <row r="31" spans="1:17" ht="12" customHeight="1">
      <c r="A31" s="24"/>
      <c r="B31" s="26"/>
      <c r="C31" s="356"/>
      <c r="D31" s="355"/>
      <c r="E31" s="355"/>
      <c r="F31" s="355"/>
      <c r="G31" s="355"/>
      <c r="H31" s="355"/>
      <c r="I31" s="355"/>
      <c r="J31" s="355"/>
      <c r="K31" s="355"/>
      <c r="L31" s="355"/>
      <c r="M31" s="355"/>
      <c r="N31" s="355"/>
      <c r="O31" s="355"/>
      <c r="P31" s="26"/>
      <c r="Q31" s="24"/>
    </row>
    <row r="32" spans="1:17" ht="18" customHeight="1">
      <c r="A32" s="24"/>
      <c r="B32" s="26"/>
      <c r="C32" s="358" t="s">
        <v>238</v>
      </c>
      <c r="D32" s="350"/>
      <c r="E32" s="350"/>
      <c r="F32" s="350"/>
      <c r="G32" s="350"/>
      <c r="H32" s="350"/>
      <c r="I32" s="350"/>
      <c r="J32" s="350"/>
      <c r="K32" s="350"/>
      <c r="L32" s="350"/>
      <c r="M32" s="350"/>
      <c r="N32" s="350"/>
      <c r="O32" s="350"/>
      <c r="P32" s="26"/>
      <c r="Q32" s="24"/>
    </row>
    <row r="33" spans="1:17" ht="15" customHeight="1">
      <c r="A33" s="24"/>
      <c r="B33" s="26"/>
      <c r="C33" s="484" t="s">
        <v>241</v>
      </c>
      <c r="D33" s="484"/>
      <c r="E33" s="484"/>
      <c r="F33" s="484"/>
      <c r="G33" s="484"/>
      <c r="H33" s="484"/>
      <c r="I33" s="484"/>
      <c r="J33" s="484"/>
      <c r="K33" s="484"/>
      <c r="L33" s="484"/>
      <c r="M33" s="484"/>
      <c r="N33" s="484"/>
      <c r="O33" s="484"/>
      <c r="P33" s="26"/>
      <c r="Q33" s="24"/>
    </row>
    <row r="34" spans="1:17" ht="12" customHeight="1">
      <c r="B34" s="188"/>
      <c r="C34" s="485"/>
      <c r="D34" s="485"/>
      <c r="E34" s="485"/>
      <c r="F34" s="485"/>
      <c r="G34" s="485"/>
      <c r="H34" s="485"/>
      <c r="I34" s="485"/>
      <c r="J34" s="485"/>
      <c r="K34" s="485"/>
      <c r="L34" s="485"/>
      <c r="M34" s="485"/>
      <c r="N34" s="485"/>
      <c r="O34" s="485"/>
      <c r="P34" s="188"/>
    </row>
    <row r="35" spans="1:17" ht="12" customHeight="1">
      <c r="B35" s="188"/>
      <c r="C35" s="485"/>
      <c r="D35" s="485"/>
      <c r="E35" s="485"/>
      <c r="F35" s="485"/>
      <c r="G35" s="485"/>
      <c r="H35" s="485"/>
      <c r="I35" s="485"/>
      <c r="J35" s="485"/>
      <c r="K35" s="485"/>
      <c r="L35" s="485"/>
      <c r="M35" s="485"/>
      <c r="N35" s="485"/>
      <c r="O35" s="485"/>
      <c r="P35" s="188"/>
    </row>
    <row r="36" spans="1:17" ht="12" customHeight="1">
      <c r="B36" s="188"/>
      <c r="C36" s="188"/>
      <c r="D36" s="188"/>
      <c r="E36" s="188"/>
      <c r="F36" s="188"/>
      <c r="G36" s="188"/>
      <c r="H36" s="188"/>
      <c r="I36" s="188"/>
      <c r="J36" s="188"/>
      <c r="K36" s="188"/>
      <c r="L36" s="188"/>
      <c r="M36" s="188"/>
      <c r="N36" s="188"/>
      <c r="O36" s="188"/>
      <c r="P36" s="188"/>
    </row>
    <row r="37" spans="1:17" ht="18" customHeight="1">
      <c r="A37" s="24"/>
      <c r="B37" s="26"/>
      <c r="C37" s="358" t="s">
        <v>242</v>
      </c>
      <c r="D37" s="350"/>
      <c r="E37" s="350"/>
      <c r="F37" s="350"/>
      <c r="G37" s="350"/>
      <c r="H37" s="350"/>
      <c r="I37" s="350"/>
      <c r="J37" s="350"/>
      <c r="K37" s="350"/>
      <c r="L37" s="350"/>
      <c r="M37" s="350"/>
      <c r="N37" s="350"/>
      <c r="O37" s="350"/>
      <c r="P37" s="26"/>
      <c r="Q37" s="24"/>
    </row>
    <row r="38" spans="1:17" ht="12" customHeight="1">
      <c r="B38" s="188"/>
      <c r="C38" s="484" t="s">
        <v>243</v>
      </c>
      <c r="D38" s="484"/>
      <c r="E38" s="484"/>
      <c r="F38" s="484"/>
      <c r="G38" s="484"/>
      <c r="H38" s="484"/>
      <c r="I38" s="484"/>
      <c r="J38" s="484"/>
      <c r="K38" s="484"/>
      <c r="L38" s="484"/>
      <c r="M38" s="484"/>
      <c r="N38" s="484"/>
      <c r="O38" s="484"/>
      <c r="P38" s="188"/>
    </row>
    <row r="39" spans="1:17" ht="12" customHeight="1">
      <c r="B39" s="188"/>
      <c r="C39" s="485"/>
      <c r="D39" s="485"/>
      <c r="E39" s="485"/>
      <c r="F39" s="485"/>
      <c r="G39" s="485"/>
      <c r="H39" s="485"/>
      <c r="I39" s="485"/>
      <c r="J39" s="485"/>
      <c r="K39" s="485"/>
      <c r="L39" s="485"/>
      <c r="M39" s="485"/>
      <c r="N39" s="485"/>
      <c r="O39" s="485"/>
      <c r="P39" s="188"/>
    </row>
    <row r="40" spans="1:17" ht="12" customHeight="1">
      <c r="B40" s="188"/>
      <c r="C40" s="485"/>
      <c r="D40" s="485"/>
      <c r="E40" s="485"/>
      <c r="F40" s="485"/>
      <c r="G40" s="485"/>
      <c r="H40" s="485"/>
      <c r="I40" s="485"/>
      <c r="J40" s="485"/>
      <c r="K40" s="485"/>
      <c r="L40" s="485"/>
      <c r="M40" s="485"/>
      <c r="N40" s="485"/>
      <c r="O40" s="485"/>
      <c r="P40" s="188"/>
    </row>
    <row r="41" spans="1:17" ht="12" customHeight="1">
      <c r="B41" s="188"/>
      <c r="C41" s="188"/>
      <c r="D41" s="188"/>
      <c r="E41" s="188"/>
      <c r="F41" s="188"/>
      <c r="G41" s="188"/>
      <c r="H41" s="188"/>
      <c r="I41" s="188"/>
      <c r="J41" s="188"/>
      <c r="K41" s="188"/>
      <c r="L41" s="188"/>
      <c r="M41" s="188"/>
      <c r="N41" s="188"/>
      <c r="O41" s="188"/>
      <c r="P41" s="188"/>
    </row>
    <row r="42" spans="1:17" ht="12" customHeight="1">
      <c r="B42" s="188"/>
      <c r="C42" s="188"/>
      <c r="D42" s="188"/>
      <c r="E42" s="188"/>
      <c r="F42" s="188"/>
      <c r="G42" s="188"/>
      <c r="H42" s="188"/>
      <c r="I42" s="188"/>
      <c r="J42" s="188"/>
      <c r="K42" s="188"/>
      <c r="L42" s="188"/>
      <c r="M42" s="188"/>
      <c r="N42" s="188"/>
      <c r="O42" s="188"/>
      <c r="P42" s="188"/>
    </row>
  </sheetData>
  <mergeCells count="2">
    <mergeCell ref="C33:O35"/>
    <mergeCell ref="C38:O40"/>
  </mergeCells>
  <hyperlinks>
    <hyperlink ref="C15" location="'Revenue Build'!A1" display="Revenue Build" xr:uid="{355317DE-AC9A-C64C-B16F-07EFE9669333}"/>
    <hyperlink ref="C16" location="'Case Assumptions'!A1" display="Case Assumptions" xr:uid="{C0C191DC-2C20-3D41-B8E1-706AD1F4485C}"/>
    <hyperlink ref="C17" location="'Operating Model'!A1" display="Operating Model" xr:uid="{41F23937-968E-9840-88CF-DCAD13C256F2}"/>
    <hyperlink ref="C18" location="'Working Cap Schedule'!A1" display="Working Capital Schedule" xr:uid="{52B5BBD7-C0D9-8146-BE04-C848869C04BB}"/>
    <hyperlink ref="C19" location="'Public Comps Analysis'!A1" display="Public Comparable Companies Analysis" xr:uid="{84733380-1179-0049-8D44-61FAEB7DAFAC}"/>
    <hyperlink ref="C20" location="WACC!A1" display="WACC Calculation" xr:uid="{1D32D659-D20E-A44E-A537-0B88E48E0855}"/>
    <hyperlink ref="C21" location="DCF!A1" display="Discounted Cash Flow Analysis" xr:uid="{50FFB046-3A62-1443-950F-D7F9C5BBF3C2}"/>
  </hyperlink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EFAA2-547A-5A4F-A4E8-765FB02CCDAD}">
  <sheetPr>
    <outlinePr summaryBelow="0" summaryRight="0"/>
  </sheetPr>
  <dimension ref="A1:M58"/>
  <sheetViews>
    <sheetView zoomScale="106" workbookViewId="0">
      <selection activeCell="A23" sqref="A23"/>
    </sheetView>
  </sheetViews>
  <sheetFormatPr baseColWidth="10" defaultColWidth="9.1640625" defaultRowHeight="15" customHeight="1" outlineLevelRow="3"/>
  <cols>
    <col min="1" max="1" width="50.33203125" style="237" customWidth="1"/>
    <col min="2" max="11" width="8.5" style="237" customWidth="1"/>
    <col min="13" max="13" width="8.5" style="237" customWidth="1"/>
    <col min="14" max="16384" width="9.1640625" style="237"/>
  </cols>
  <sheetData>
    <row r="1" spans="1:13" ht="15" customHeight="1">
      <c r="A1" s="418" t="s">
        <v>247</v>
      </c>
      <c r="B1" s="419"/>
      <c r="C1" s="419"/>
      <c r="D1" s="419"/>
      <c r="E1" s="419"/>
      <c r="F1" s="419"/>
      <c r="G1" s="419"/>
      <c r="H1" s="419"/>
      <c r="I1" s="419"/>
      <c r="J1" s="419"/>
      <c r="K1" s="419"/>
    </row>
    <row r="2" spans="1:13" ht="15" customHeight="1">
      <c r="A2" s="420">
        <v>95.47</v>
      </c>
      <c r="B2" s="419"/>
      <c r="C2" s="419"/>
      <c r="D2" s="419"/>
      <c r="E2" s="419"/>
      <c r="F2" s="419"/>
      <c r="G2" s="419"/>
      <c r="H2" s="419"/>
      <c r="I2" s="419"/>
      <c r="J2" s="419"/>
      <c r="K2" s="419"/>
    </row>
    <row r="3" spans="1:13" ht="15" customHeight="1">
      <c r="A3" s="419"/>
      <c r="B3" s="421"/>
      <c r="C3" s="421"/>
      <c r="D3" s="421"/>
      <c r="E3" s="421"/>
      <c r="F3" s="421"/>
      <c r="G3" s="421"/>
      <c r="H3" s="421"/>
      <c r="I3" s="421"/>
      <c r="J3" s="421"/>
      <c r="K3" s="421"/>
      <c r="M3" s="239"/>
    </row>
    <row r="4" spans="1:13" ht="15" customHeight="1">
      <c r="A4" s="419"/>
      <c r="B4" s="419"/>
      <c r="C4" s="419"/>
      <c r="D4" s="419"/>
      <c r="E4" s="419"/>
      <c r="F4" s="419"/>
      <c r="G4" s="419"/>
      <c r="H4" s="419"/>
      <c r="I4" s="419"/>
      <c r="J4" s="419"/>
      <c r="K4" s="419"/>
    </row>
    <row r="5" spans="1:13" ht="15" customHeight="1">
      <c r="A5" s="422" t="s">
        <v>248</v>
      </c>
      <c r="B5" s="422"/>
      <c r="C5" s="422"/>
      <c r="D5" s="422"/>
      <c r="E5" s="422"/>
      <c r="F5" s="422"/>
      <c r="G5" s="422"/>
      <c r="H5" s="422"/>
      <c r="I5" s="422"/>
      <c r="J5" s="422"/>
      <c r="K5" s="422"/>
      <c r="M5" s="443"/>
    </row>
    <row r="6" spans="1:13" ht="15" customHeight="1">
      <c r="A6" s="422" t="s">
        <v>249</v>
      </c>
      <c r="B6" s="422"/>
      <c r="C6" s="422"/>
      <c r="D6" s="422"/>
      <c r="E6" s="422"/>
      <c r="F6" s="422"/>
      <c r="G6" s="422"/>
      <c r="H6" s="422"/>
      <c r="I6" s="422"/>
      <c r="J6" s="422"/>
      <c r="K6" s="422"/>
      <c r="M6" s="443"/>
    </row>
    <row r="7" spans="1:13" ht="15" customHeight="1">
      <c r="A7" s="422" t="s">
        <v>141</v>
      </c>
      <c r="B7" s="422"/>
      <c r="C7" s="422"/>
      <c r="D7" s="422"/>
      <c r="E7" s="422"/>
      <c r="F7" s="422"/>
      <c r="G7" s="422"/>
      <c r="H7" s="422"/>
      <c r="I7" s="422"/>
      <c r="J7" s="422"/>
      <c r="K7" s="422"/>
      <c r="M7" s="443"/>
    </row>
    <row r="8" spans="1:13" ht="15" customHeight="1">
      <c r="A8" s="422"/>
      <c r="B8" s="422" t="s">
        <v>142</v>
      </c>
      <c r="C8" s="422" t="s">
        <v>143</v>
      </c>
      <c r="D8" s="422" t="s">
        <v>144</v>
      </c>
      <c r="E8" s="422" t="s">
        <v>145</v>
      </c>
      <c r="F8" s="422" t="s">
        <v>146</v>
      </c>
      <c r="G8" s="422" t="s">
        <v>147</v>
      </c>
      <c r="H8" s="422" t="s">
        <v>148</v>
      </c>
      <c r="I8" s="422" t="s">
        <v>149</v>
      </c>
      <c r="J8" s="422" t="s">
        <v>251</v>
      </c>
      <c r="K8" s="422" t="s">
        <v>250</v>
      </c>
      <c r="M8" s="443"/>
    </row>
    <row r="9" spans="1:13" ht="15" customHeight="1">
      <c r="A9" s="422"/>
      <c r="B9" s="422"/>
      <c r="C9" s="422"/>
      <c r="D9" s="422"/>
      <c r="E9" s="422" t="s">
        <v>150</v>
      </c>
      <c r="F9" s="422"/>
      <c r="G9" s="422"/>
      <c r="H9" s="422"/>
      <c r="I9" s="422"/>
      <c r="J9" s="422"/>
      <c r="K9" s="422"/>
      <c r="M9" s="443"/>
    </row>
    <row r="10" spans="1:13" ht="15" customHeight="1">
      <c r="A10" s="423" t="s">
        <v>151</v>
      </c>
      <c r="B10" s="424">
        <v>2533.4</v>
      </c>
      <c r="C10" s="424">
        <v>2658.6</v>
      </c>
      <c r="D10" s="424">
        <v>2847.3</v>
      </c>
      <c r="E10" s="424">
        <v>2133.1999999999998</v>
      </c>
      <c r="F10" s="424">
        <v>2105.3000000000002</v>
      </c>
      <c r="G10" s="424">
        <v>2248.6999999999998</v>
      </c>
      <c r="H10" s="424">
        <v>2495</v>
      </c>
      <c r="I10" s="424">
        <v>2232.6</v>
      </c>
      <c r="J10" s="424">
        <v>2442.8000000000002</v>
      </c>
      <c r="K10" s="424">
        <v>2906.3</v>
      </c>
      <c r="M10" s="443"/>
    </row>
    <row r="11" spans="1:13" ht="15" customHeight="1">
      <c r="A11" s="397" t="s">
        <v>152</v>
      </c>
      <c r="B11" s="398">
        <v>2133.8000000000002</v>
      </c>
      <c r="C11" s="398">
        <v>2252.5</v>
      </c>
      <c r="D11" s="398">
        <v>2449.8000000000002</v>
      </c>
      <c r="E11" s="398">
        <v>1801.8</v>
      </c>
      <c r="F11" s="398">
        <v>1785.1</v>
      </c>
      <c r="G11" s="398">
        <v>1912.5</v>
      </c>
      <c r="H11" s="398">
        <v>2074.1999999999998</v>
      </c>
      <c r="I11" s="398">
        <v>1868</v>
      </c>
      <c r="J11" s="398">
        <v>2000.9</v>
      </c>
      <c r="K11" s="398">
        <v>2332.1999999999998</v>
      </c>
      <c r="M11" s="446"/>
    </row>
    <row r="12" spans="1:13" ht="15" customHeight="1" outlineLevel="1">
      <c r="A12" s="425" t="s">
        <v>153</v>
      </c>
      <c r="B12" s="426">
        <v>1953.5</v>
      </c>
      <c r="C12" s="426">
        <v>2078.1999999999998</v>
      </c>
      <c r="D12" s="426">
        <v>2224.1999999999998</v>
      </c>
      <c r="E12" s="426">
        <v>1657.8</v>
      </c>
      <c r="F12" s="426">
        <v>1641.2</v>
      </c>
      <c r="G12" s="426">
        <v>1785.1</v>
      </c>
      <c r="H12" s="426">
        <v>1940.3</v>
      </c>
      <c r="I12" s="426">
        <v>1707.2</v>
      </c>
      <c r="J12" s="426">
        <v>1850.8</v>
      </c>
      <c r="K12" s="426">
        <v>2185</v>
      </c>
      <c r="M12" s="446"/>
    </row>
    <row r="13" spans="1:13" ht="15" customHeight="1" outlineLevel="2">
      <c r="A13" s="401" t="s">
        <v>154</v>
      </c>
      <c r="B13" s="398">
        <v>180.3</v>
      </c>
      <c r="C13" s="398">
        <v>174.3</v>
      </c>
      <c r="D13" s="398">
        <v>225.6</v>
      </c>
      <c r="E13" s="398">
        <v>144</v>
      </c>
      <c r="F13" s="398">
        <v>143.9</v>
      </c>
      <c r="G13" s="398">
        <v>127.3</v>
      </c>
      <c r="H13" s="398">
        <v>133.9</v>
      </c>
      <c r="I13" s="398">
        <v>160.69999999999999</v>
      </c>
      <c r="J13" s="398">
        <v>150.1</v>
      </c>
      <c r="K13" s="398">
        <v>147.19999999999999</v>
      </c>
      <c r="M13" s="445"/>
    </row>
    <row r="14" spans="1:13" ht="15" customHeight="1" outlineLevel="2">
      <c r="A14" s="427" t="s">
        <v>155</v>
      </c>
      <c r="B14" s="426">
        <v>156.1</v>
      </c>
      <c r="C14" s="426">
        <v>150.6</v>
      </c>
      <c r="D14" s="426">
        <v>162.6</v>
      </c>
      <c r="E14" s="426">
        <v>93.4</v>
      </c>
      <c r="F14" s="426">
        <v>99.6</v>
      </c>
      <c r="G14" s="426">
        <v>85.9</v>
      </c>
      <c r="H14" s="426">
        <v>91.3</v>
      </c>
      <c r="I14" s="426">
        <v>99.2</v>
      </c>
      <c r="J14" s="426">
        <v>105.2</v>
      </c>
      <c r="K14" s="426">
        <v>110.3</v>
      </c>
      <c r="M14" s="446"/>
    </row>
    <row r="15" spans="1:13" ht="15" customHeight="1" outlineLevel="3">
      <c r="A15" s="428" t="s">
        <v>252</v>
      </c>
      <c r="B15" s="429">
        <v>24.3</v>
      </c>
      <c r="C15" s="429">
        <v>23.6</v>
      </c>
      <c r="D15" s="429">
        <v>63</v>
      </c>
      <c r="E15" s="429">
        <v>50.6</v>
      </c>
      <c r="F15" s="429">
        <v>44.4</v>
      </c>
      <c r="G15" s="429">
        <v>41.4</v>
      </c>
      <c r="H15" s="429">
        <v>42.6</v>
      </c>
      <c r="I15" s="429">
        <v>61.6</v>
      </c>
      <c r="J15" s="429">
        <v>44.9</v>
      </c>
      <c r="K15" s="429">
        <v>36.9</v>
      </c>
      <c r="M15" s="445"/>
    </row>
    <row r="16" spans="1:13" ht="15" customHeight="1">
      <c r="A16" s="423" t="s">
        <v>156</v>
      </c>
      <c r="B16" s="424">
        <v>399.5</v>
      </c>
      <c r="C16" s="424">
        <v>406.1</v>
      </c>
      <c r="D16" s="424">
        <v>397.5</v>
      </c>
      <c r="E16" s="424">
        <v>331.4</v>
      </c>
      <c r="F16" s="424">
        <v>320.2</v>
      </c>
      <c r="G16" s="424">
        <v>336.3</v>
      </c>
      <c r="H16" s="424">
        <v>420.9</v>
      </c>
      <c r="I16" s="424">
        <v>364.6</v>
      </c>
      <c r="J16" s="424">
        <v>441.8</v>
      </c>
      <c r="K16" s="424">
        <v>574.1</v>
      </c>
      <c r="M16" s="446"/>
    </row>
    <row r="17" spans="1:13" ht="15" customHeight="1" outlineLevel="1">
      <c r="A17" s="397" t="s">
        <v>157</v>
      </c>
      <c r="B17" s="398">
        <v>211.9</v>
      </c>
      <c r="C17" s="398">
        <v>189.7</v>
      </c>
      <c r="D17" s="398">
        <v>219.5</v>
      </c>
      <c r="E17" s="398">
        <v>216.4</v>
      </c>
      <c r="F17" s="398">
        <v>199.4</v>
      </c>
      <c r="G17" s="398">
        <v>199.3</v>
      </c>
      <c r="H17" s="398">
        <v>246.6</v>
      </c>
      <c r="I17" s="398">
        <v>253.2</v>
      </c>
      <c r="J17" s="398">
        <v>282</v>
      </c>
      <c r="K17" s="398">
        <v>306.60000000000002</v>
      </c>
      <c r="M17" s="446"/>
    </row>
    <row r="18" spans="1:13" ht="15" customHeight="1" outlineLevel="2">
      <c r="A18" s="425" t="s">
        <v>253</v>
      </c>
      <c r="B18" s="430"/>
      <c r="C18" s="430"/>
      <c r="D18" s="430"/>
      <c r="E18" s="426">
        <v>17.899999999999999</v>
      </c>
      <c r="F18" s="426">
        <v>19.8</v>
      </c>
      <c r="G18" s="426">
        <v>18.100000000000001</v>
      </c>
      <c r="H18" s="426">
        <v>24.8</v>
      </c>
      <c r="I18" s="426">
        <v>27.3</v>
      </c>
      <c r="J18" s="426">
        <v>31.8</v>
      </c>
      <c r="K18" s="426">
        <v>29</v>
      </c>
      <c r="M18" s="445"/>
    </row>
    <row r="19" spans="1:13" ht="15" customHeight="1">
      <c r="A19" s="431" t="s">
        <v>158</v>
      </c>
      <c r="B19" s="429">
        <v>211.9</v>
      </c>
      <c r="C19" s="429">
        <v>189.7</v>
      </c>
      <c r="D19" s="429">
        <v>219.5</v>
      </c>
      <c r="E19" s="429">
        <v>198.5</v>
      </c>
      <c r="F19" s="429">
        <v>179.7</v>
      </c>
      <c r="G19" s="429">
        <v>181.2</v>
      </c>
      <c r="H19" s="429">
        <v>221.8</v>
      </c>
      <c r="I19" s="429">
        <v>226</v>
      </c>
      <c r="J19" s="429">
        <v>250.1</v>
      </c>
      <c r="K19" s="429">
        <v>277.60000000000002</v>
      </c>
      <c r="M19" s="446"/>
    </row>
    <row r="20" spans="1:13" ht="15" customHeight="1" outlineLevel="1">
      <c r="A20" s="423" t="s">
        <v>159</v>
      </c>
      <c r="B20" s="424">
        <v>187.6</v>
      </c>
      <c r="C20" s="424">
        <v>216.4</v>
      </c>
      <c r="D20" s="424">
        <v>178</v>
      </c>
      <c r="E20" s="424">
        <v>115</v>
      </c>
      <c r="F20" s="424">
        <v>120.8</v>
      </c>
      <c r="G20" s="424">
        <v>136.9</v>
      </c>
      <c r="H20" s="424">
        <v>174.2</v>
      </c>
      <c r="I20" s="424">
        <v>111.4</v>
      </c>
      <c r="J20" s="424">
        <v>159.80000000000001</v>
      </c>
      <c r="K20" s="424">
        <v>267.5</v>
      </c>
      <c r="M20" s="446"/>
    </row>
    <row r="21" spans="1:13" ht="15" customHeight="1" outlineLevel="2">
      <c r="A21" s="397" t="s">
        <v>160</v>
      </c>
      <c r="B21" s="398">
        <v>17.100000000000001</v>
      </c>
      <c r="C21" s="398">
        <v>-18.3</v>
      </c>
      <c r="D21" s="398">
        <v>7.9</v>
      </c>
      <c r="E21" s="398">
        <v>4.5</v>
      </c>
      <c r="F21" s="398">
        <v>-10.199999999999999</v>
      </c>
      <c r="G21" s="398">
        <v>-6.5</v>
      </c>
      <c r="H21" s="398">
        <v>65.7</v>
      </c>
      <c r="I21" s="398">
        <v>4</v>
      </c>
      <c r="J21" s="398">
        <v>11.2</v>
      </c>
      <c r="K21" s="398">
        <v>-10.9</v>
      </c>
      <c r="M21" s="445"/>
    </row>
    <row r="22" spans="1:13" ht="15" customHeight="1" outlineLevel="2">
      <c r="A22" s="425" t="s">
        <v>161</v>
      </c>
      <c r="B22" s="426">
        <v>17.100000000000001</v>
      </c>
      <c r="C22" s="432">
        <v>-18.3</v>
      </c>
      <c r="D22" s="426">
        <v>7.9</v>
      </c>
      <c r="E22" s="426">
        <v>4.5</v>
      </c>
      <c r="F22" s="432">
        <v>-10.199999999999999</v>
      </c>
      <c r="G22" s="432">
        <v>-6.5</v>
      </c>
      <c r="H22" s="426">
        <v>65.7</v>
      </c>
      <c r="I22" s="426">
        <v>4</v>
      </c>
      <c r="J22" s="426">
        <v>11.2</v>
      </c>
      <c r="K22" s="432">
        <v>-10.9</v>
      </c>
      <c r="M22" s="445"/>
    </row>
    <row r="23" spans="1:13" ht="15" customHeight="1" outlineLevel="1">
      <c r="A23" s="397" t="s">
        <v>254</v>
      </c>
      <c r="B23" s="398">
        <v>76</v>
      </c>
      <c r="C23" s="398">
        <v>53.9</v>
      </c>
      <c r="D23" s="398">
        <v>77.400000000000006</v>
      </c>
      <c r="E23" s="398">
        <v>79.8</v>
      </c>
      <c r="F23" s="398">
        <v>64.2</v>
      </c>
      <c r="G23" s="398">
        <v>34.200000000000003</v>
      </c>
      <c r="H23" s="398">
        <v>41.4</v>
      </c>
      <c r="I23" s="398">
        <v>44.9</v>
      </c>
      <c r="J23" s="398">
        <v>43.3</v>
      </c>
      <c r="K23" s="398">
        <v>43.4</v>
      </c>
      <c r="M23" s="446"/>
    </row>
    <row r="24" spans="1:13" ht="15" customHeight="1" outlineLevel="2">
      <c r="A24" s="425" t="s">
        <v>255</v>
      </c>
      <c r="B24" s="426">
        <v>77.900000000000006</v>
      </c>
      <c r="C24" s="426">
        <v>55.4</v>
      </c>
      <c r="D24" s="426">
        <v>78.8</v>
      </c>
      <c r="E24" s="426">
        <v>81.599999999999994</v>
      </c>
      <c r="F24" s="426">
        <v>66</v>
      </c>
      <c r="G24" s="426">
        <v>35.1</v>
      </c>
      <c r="H24" s="426">
        <v>42.1</v>
      </c>
      <c r="I24" s="426">
        <v>47.2</v>
      </c>
      <c r="J24" s="426">
        <v>47.3</v>
      </c>
      <c r="K24" s="426">
        <v>47.3</v>
      </c>
      <c r="M24" s="444"/>
    </row>
    <row r="25" spans="1:13" ht="15" customHeight="1" outlineLevel="3">
      <c r="A25" s="431" t="s">
        <v>256</v>
      </c>
      <c r="B25" s="429">
        <v>1.9</v>
      </c>
      <c r="C25" s="429">
        <v>1.5</v>
      </c>
      <c r="D25" s="429">
        <v>1.4</v>
      </c>
      <c r="E25" s="429">
        <v>1.8</v>
      </c>
      <c r="F25" s="429">
        <v>1.8</v>
      </c>
      <c r="G25" s="429">
        <v>0.9</v>
      </c>
      <c r="H25" s="429">
        <v>0.7</v>
      </c>
      <c r="I25" s="429">
        <v>2.2999999999999998</v>
      </c>
      <c r="J25" s="429">
        <v>4</v>
      </c>
      <c r="K25" s="429">
        <v>3.8</v>
      </c>
      <c r="M25" s="449"/>
    </row>
    <row r="26" spans="1:13" ht="15" customHeight="1" outlineLevel="3">
      <c r="A26" s="433" t="s">
        <v>162</v>
      </c>
      <c r="B26" s="424">
        <v>61.8</v>
      </c>
      <c r="C26" s="424">
        <v>4.2</v>
      </c>
      <c r="D26" s="424">
        <v>18.8</v>
      </c>
      <c r="E26" s="424">
        <v>5.4</v>
      </c>
      <c r="F26" s="424">
        <v>92.7</v>
      </c>
      <c r="G26" s="424">
        <v>26.2</v>
      </c>
      <c r="H26" s="424">
        <v>15.6</v>
      </c>
      <c r="I26" s="424">
        <v>70.2</v>
      </c>
      <c r="J26" s="424">
        <v>43.8</v>
      </c>
      <c r="K26" s="424">
        <v>2.8</v>
      </c>
      <c r="M26" s="449"/>
    </row>
    <row r="27" spans="1:13" ht="15" customHeight="1" outlineLevel="2">
      <c r="A27" s="401" t="s">
        <v>163</v>
      </c>
      <c r="B27" s="398">
        <v>3.3</v>
      </c>
      <c r="C27" s="398">
        <v>0</v>
      </c>
      <c r="D27" s="398">
        <v>0</v>
      </c>
      <c r="E27" s="398">
        <v>0</v>
      </c>
      <c r="F27" s="398">
        <v>69.2</v>
      </c>
      <c r="G27" s="398">
        <v>0</v>
      </c>
      <c r="H27" s="398">
        <v>0</v>
      </c>
      <c r="I27" s="398">
        <v>44.1</v>
      </c>
      <c r="J27" s="398">
        <v>32.6</v>
      </c>
      <c r="K27" s="398">
        <v>0</v>
      </c>
      <c r="M27" s="445"/>
    </row>
    <row r="28" spans="1:13" ht="15" customHeight="1" outlineLevel="2">
      <c r="A28" s="427" t="s">
        <v>257</v>
      </c>
      <c r="B28" s="426">
        <v>0</v>
      </c>
      <c r="C28" s="426">
        <v>0</v>
      </c>
      <c r="D28" s="426">
        <v>0</v>
      </c>
      <c r="E28" s="426">
        <v>0</v>
      </c>
      <c r="F28" s="426">
        <v>69.2</v>
      </c>
      <c r="G28" s="426">
        <v>0</v>
      </c>
      <c r="H28" s="426">
        <v>0</v>
      </c>
      <c r="I28" s="426">
        <v>44.1</v>
      </c>
      <c r="J28" s="426">
        <v>32.6</v>
      </c>
      <c r="K28" s="426">
        <v>0</v>
      </c>
      <c r="M28" s="449"/>
    </row>
    <row r="29" spans="1:13" ht="15" customHeight="1" outlineLevel="2">
      <c r="A29" s="428" t="s">
        <v>164</v>
      </c>
      <c r="B29" s="429">
        <v>3.3</v>
      </c>
      <c r="C29" s="429">
        <v>0</v>
      </c>
      <c r="D29" s="429">
        <v>0</v>
      </c>
      <c r="E29" s="434"/>
      <c r="F29" s="434"/>
      <c r="G29" s="434"/>
      <c r="H29" s="434"/>
      <c r="I29" s="434"/>
      <c r="J29" s="434"/>
      <c r="K29" s="434"/>
      <c r="M29" s="444"/>
    </row>
    <row r="30" spans="1:13" ht="15" customHeight="1" outlineLevel="3">
      <c r="A30" s="425" t="s">
        <v>165</v>
      </c>
      <c r="B30" s="426">
        <v>10.6</v>
      </c>
      <c r="C30" s="426">
        <v>3.5</v>
      </c>
      <c r="D30" s="426">
        <v>18.8</v>
      </c>
      <c r="E30" s="426">
        <v>5.4</v>
      </c>
      <c r="F30" s="426">
        <v>16.8</v>
      </c>
      <c r="G30" s="426">
        <v>10.9</v>
      </c>
      <c r="H30" s="426">
        <v>15.6</v>
      </c>
      <c r="I30" s="426">
        <v>25</v>
      </c>
      <c r="J30" s="426">
        <v>11.2</v>
      </c>
      <c r="K30" s="426">
        <v>2.8</v>
      </c>
      <c r="M30" s="449"/>
    </row>
    <row r="31" spans="1:13" ht="15" customHeight="1">
      <c r="A31" s="401" t="s">
        <v>258</v>
      </c>
      <c r="B31" s="398">
        <v>47.8</v>
      </c>
      <c r="C31" s="398">
        <v>0.8</v>
      </c>
      <c r="D31" s="398">
        <v>0</v>
      </c>
      <c r="E31" s="409"/>
      <c r="F31" s="398">
        <v>6.7</v>
      </c>
      <c r="G31" s="398">
        <v>15.2</v>
      </c>
      <c r="H31" s="398">
        <v>0</v>
      </c>
      <c r="I31" s="398">
        <v>1.2</v>
      </c>
      <c r="J31" s="398">
        <v>0</v>
      </c>
      <c r="K31" s="398">
        <v>0</v>
      </c>
      <c r="M31" s="446"/>
    </row>
    <row r="32" spans="1:13" ht="15" customHeight="1" outlineLevel="1">
      <c r="A32" s="427" t="s">
        <v>259</v>
      </c>
      <c r="B32" s="426">
        <v>47.8</v>
      </c>
      <c r="C32" s="426">
        <v>0.8</v>
      </c>
      <c r="D32" s="426">
        <v>0</v>
      </c>
      <c r="E32" s="430"/>
      <c r="F32" s="430"/>
      <c r="G32" s="426">
        <v>15.2</v>
      </c>
      <c r="H32" s="426">
        <v>0</v>
      </c>
      <c r="I32" s="426">
        <v>1.2</v>
      </c>
      <c r="J32" s="426">
        <v>0</v>
      </c>
      <c r="K32" s="426">
        <v>0</v>
      </c>
      <c r="M32" s="446"/>
    </row>
    <row r="33" spans="1:13" ht="15" customHeight="1" outlineLevel="2">
      <c r="A33" s="428" t="s">
        <v>260</v>
      </c>
      <c r="B33" s="434"/>
      <c r="C33" s="434"/>
      <c r="D33" s="434"/>
      <c r="E33" s="434"/>
      <c r="F33" s="429">
        <v>6.7</v>
      </c>
      <c r="G33" s="434"/>
      <c r="H33" s="434"/>
      <c r="I33" s="434"/>
      <c r="J33" s="434"/>
      <c r="K33" s="434"/>
      <c r="M33" s="449"/>
    </row>
    <row r="34" spans="1:13" ht="15" customHeight="1" outlineLevel="2">
      <c r="A34" s="423" t="s">
        <v>166</v>
      </c>
      <c r="B34" s="424">
        <v>67</v>
      </c>
      <c r="C34" s="424">
        <v>140</v>
      </c>
      <c r="D34" s="424">
        <v>89.8</v>
      </c>
      <c r="E34" s="424">
        <v>34.299999999999997</v>
      </c>
      <c r="F34" s="424">
        <v>-46.3</v>
      </c>
      <c r="G34" s="424">
        <v>70.099999999999994</v>
      </c>
      <c r="H34" s="424">
        <v>182.9</v>
      </c>
      <c r="I34" s="424">
        <v>0.3</v>
      </c>
      <c r="J34" s="424">
        <v>83.9</v>
      </c>
      <c r="K34" s="424">
        <v>210.3</v>
      </c>
      <c r="M34" s="449"/>
    </row>
    <row r="35" spans="1:13" ht="15" customHeight="1" outlineLevel="2">
      <c r="A35" s="397" t="s">
        <v>136</v>
      </c>
      <c r="B35" s="398">
        <v>31.4</v>
      </c>
      <c r="C35" s="398">
        <v>15.2</v>
      </c>
      <c r="D35" s="398">
        <v>-83.8</v>
      </c>
      <c r="E35" s="398">
        <v>2.4</v>
      </c>
      <c r="F35" s="398">
        <v>-29.9</v>
      </c>
      <c r="G35" s="398">
        <v>15.6</v>
      </c>
      <c r="H35" s="398">
        <v>88.3</v>
      </c>
      <c r="I35" s="398">
        <v>19</v>
      </c>
      <c r="J35" s="398">
        <v>27.7</v>
      </c>
      <c r="K35" s="398">
        <v>32.9</v>
      </c>
      <c r="M35" s="449"/>
    </row>
    <row r="36" spans="1:13" ht="15" customHeight="1" outlineLevel="2">
      <c r="A36" s="425" t="s">
        <v>167</v>
      </c>
      <c r="B36" s="426">
        <v>0.9</v>
      </c>
      <c r="C36" s="426">
        <v>0.4</v>
      </c>
      <c r="D36" s="426">
        <v>0.9</v>
      </c>
      <c r="E36" s="426">
        <v>2.6</v>
      </c>
      <c r="F36" s="426">
        <v>4.7</v>
      </c>
      <c r="G36" s="426">
        <v>0.6</v>
      </c>
      <c r="H36" s="426">
        <v>4.4000000000000004</v>
      </c>
      <c r="I36" s="426">
        <v>1.1000000000000001</v>
      </c>
      <c r="J36" s="426">
        <v>5.9</v>
      </c>
      <c r="K36" s="426">
        <v>6.1</v>
      </c>
      <c r="M36" s="449"/>
    </row>
    <row r="37" spans="1:13" ht="15" customHeight="1">
      <c r="A37" s="431" t="s">
        <v>168</v>
      </c>
      <c r="B37" s="429">
        <v>29.7</v>
      </c>
      <c r="C37" s="429">
        <v>24</v>
      </c>
      <c r="D37" s="429">
        <v>12</v>
      </c>
      <c r="E37" s="429">
        <v>12.7</v>
      </c>
      <c r="F37" s="410">
        <v>-27.9</v>
      </c>
      <c r="G37" s="429">
        <v>9.1999999999999993</v>
      </c>
      <c r="H37" s="429">
        <v>23.5</v>
      </c>
      <c r="I37" s="429">
        <v>29.1</v>
      </c>
      <c r="J37" s="429">
        <v>22.9</v>
      </c>
      <c r="K37" s="429">
        <v>23</v>
      </c>
      <c r="M37" s="445"/>
    </row>
    <row r="38" spans="1:13" ht="15" customHeight="1">
      <c r="A38" s="425" t="s">
        <v>169</v>
      </c>
      <c r="B38" s="432">
        <v>-0.7</v>
      </c>
      <c r="C38" s="426">
        <v>0</v>
      </c>
      <c r="D38" s="432">
        <v>-112.1</v>
      </c>
      <c r="E38" s="426">
        <v>0.1</v>
      </c>
      <c r="F38" s="432">
        <v>-6.9</v>
      </c>
      <c r="G38" s="432">
        <v>-1.4</v>
      </c>
      <c r="H38" s="426">
        <v>33</v>
      </c>
      <c r="I38" s="432">
        <v>-1.6</v>
      </c>
      <c r="J38" s="432">
        <v>-0.4</v>
      </c>
      <c r="K38" s="426">
        <v>1.9</v>
      </c>
      <c r="M38" s="446"/>
    </row>
    <row r="39" spans="1:13" ht="15" customHeight="1" outlineLevel="1">
      <c r="A39" s="431" t="s">
        <v>170</v>
      </c>
      <c r="B39" s="429">
        <v>1.6</v>
      </c>
      <c r="C39" s="410">
        <v>-9.1999999999999993</v>
      </c>
      <c r="D39" s="429">
        <v>15.3</v>
      </c>
      <c r="E39" s="410">
        <v>-13</v>
      </c>
      <c r="F39" s="429">
        <v>0.3</v>
      </c>
      <c r="G39" s="429">
        <v>7.2</v>
      </c>
      <c r="H39" s="429">
        <v>27.4</v>
      </c>
      <c r="I39" s="410">
        <v>-9.6</v>
      </c>
      <c r="J39" s="410">
        <v>-0.8</v>
      </c>
      <c r="K39" s="429">
        <v>1.9</v>
      </c>
      <c r="M39" s="445"/>
    </row>
    <row r="40" spans="1:13" ht="15" customHeight="1">
      <c r="A40" s="423" t="s">
        <v>171</v>
      </c>
      <c r="B40" s="424">
        <v>35.6</v>
      </c>
      <c r="C40" s="424">
        <v>124.7</v>
      </c>
      <c r="D40" s="424">
        <v>173.6</v>
      </c>
      <c r="E40" s="424">
        <v>31.9</v>
      </c>
      <c r="F40" s="424">
        <v>-16.399999999999999</v>
      </c>
      <c r="G40" s="424">
        <v>54.4</v>
      </c>
      <c r="H40" s="424">
        <v>94.6</v>
      </c>
      <c r="I40" s="424">
        <v>-18.7</v>
      </c>
      <c r="J40" s="424">
        <v>56.3</v>
      </c>
      <c r="K40" s="424">
        <v>177.4</v>
      </c>
      <c r="M40" s="444"/>
    </row>
    <row r="41" spans="1:13" ht="15" customHeight="1" outlineLevel="1">
      <c r="A41" s="435" t="s">
        <v>261</v>
      </c>
      <c r="B41" s="429">
        <v>0.7</v>
      </c>
      <c r="C41" s="429">
        <v>0.5</v>
      </c>
      <c r="D41" s="429">
        <v>0</v>
      </c>
      <c r="E41" s="429">
        <v>0</v>
      </c>
      <c r="F41" s="429">
        <v>0</v>
      </c>
      <c r="G41" s="429">
        <v>0</v>
      </c>
      <c r="H41" s="429">
        <v>0</v>
      </c>
      <c r="I41" s="429">
        <v>0</v>
      </c>
      <c r="J41" s="429">
        <v>0</v>
      </c>
      <c r="K41" s="429">
        <v>0</v>
      </c>
      <c r="M41" s="448"/>
    </row>
    <row r="42" spans="1:13" ht="15" customHeight="1" outlineLevel="1">
      <c r="A42" s="423" t="s">
        <v>94</v>
      </c>
      <c r="B42" s="424">
        <v>34.9</v>
      </c>
      <c r="C42" s="424">
        <v>124.2</v>
      </c>
      <c r="D42" s="424">
        <v>173.6</v>
      </c>
      <c r="E42" s="424">
        <v>31.9</v>
      </c>
      <c r="F42" s="424">
        <v>-16.399999999999999</v>
      </c>
      <c r="G42" s="424">
        <v>54.4</v>
      </c>
      <c r="H42" s="424">
        <v>94.6</v>
      </c>
      <c r="I42" s="424">
        <v>-18.7</v>
      </c>
      <c r="J42" s="424">
        <v>56.3</v>
      </c>
      <c r="K42" s="424">
        <v>177.4</v>
      </c>
      <c r="M42" s="450"/>
    </row>
    <row r="43" spans="1:13" ht="15" customHeight="1" outlineLevel="2">
      <c r="A43" s="435" t="s">
        <v>262</v>
      </c>
      <c r="B43" s="429">
        <v>0</v>
      </c>
      <c r="C43" s="429">
        <v>0</v>
      </c>
      <c r="D43" s="429">
        <v>0</v>
      </c>
      <c r="E43" s="429">
        <v>9.4</v>
      </c>
      <c r="F43" s="410">
        <v>-43.3</v>
      </c>
      <c r="G43" s="429">
        <v>0</v>
      </c>
      <c r="H43" s="429">
        <v>0</v>
      </c>
      <c r="I43" s="429">
        <v>0</v>
      </c>
      <c r="J43" s="429">
        <v>0</v>
      </c>
      <c r="K43" s="429">
        <v>0</v>
      </c>
      <c r="M43" s="448"/>
    </row>
    <row r="44" spans="1:13" ht="15" customHeight="1" outlineLevel="2">
      <c r="A44" s="436" t="s">
        <v>172</v>
      </c>
      <c r="B44" s="426">
        <v>34.9</v>
      </c>
      <c r="C44" s="426">
        <v>124.2</v>
      </c>
      <c r="D44" s="426">
        <v>173.6</v>
      </c>
      <c r="E44" s="426">
        <v>41.3</v>
      </c>
      <c r="F44" s="432">
        <v>-59.7</v>
      </c>
      <c r="G44" s="426">
        <v>54.4</v>
      </c>
      <c r="H44" s="426">
        <v>94.6</v>
      </c>
      <c r="I44" s="432">
        <v>-18.7</v>
      </c>
      <c r="J44" s="426">
        <v>56.3</v>
      </c>
      <c r="K44" s="426">
        <v>177.4</v>
      </c>
      <c r="M44" s="448"/>
    </row>
    <row r="45" spans="1:13" ht="15" customHeight="1" outlineLevel="1">
      <c r="A45" s="409" t="s">
        <v>173</v>
      </c>
      <c r="B45" s="409"/>
      <c r="C45" s="409"/>
      <c r="D45" s="409"/>
      <c r="E45" s="409"/>
      <c r="F45" s="409"/>
      <c r="G45" s="409"/>
      <c r="H45" s="409"/>
      <c r="I45" s="409"/>
      <c r="J45" s="409"/>
      <c r="K45" s="409"/>
      <c r="M45" s="450"/>
    </row>
    <row r="46" spans="1:13" ht="15" customHeight="1" outlineLevel="2">
      <c r="A46" s="436" t="s">
        <v>174</v>
      </c>
      <c r="B46" s="437">
        <v>0.77</v>
      </c>
      <c r="C46" s="437">
        <v>1.06</v>
      </c>
      <c r="D46" s="437">
        <v>1.48</v>
      </c>
      <c r="E46" s="437">
        <v>0.42</v>
      </c>
      <c r="F46" s="437">
        <v>0.05</v>
      </c>
      <c r="G46" s="437">
        <v>0.67</v>
      </c>
      <c r="H46" s="437">
        <v>1.02</v>
      </c>
      <c r="I46" s="437">
        <v>0.3</v>
      </c>
      <c r="J46" s="437">
        <v>0.84</v>
      </c>
      <c r="K46" s="437">
        <v>1.7</v>
      </c>
      <c r="M46" s="448"/>
    </row>
    <row r="47" spans="1:13" ht="15" customHeight="1" outlineLevel="2">
      <c r="A47" s="397" t="s">
        <v>175</v>
      </c>
      <c r="B47" s="414">
        <v>0.35</v>
      </c>
      <c r="C47" s="414">
        <v>1.22</v>
      </c>
      <c r="D47" s="414">
        <v>1.68</v>
      </c>
      <c r="E47" s="414">
        <v>0.39</v>
      </c>
      <c r="F47" s="414">
        <v>-0.56000000000000005</v>
      </c>
      <c r="G47" s="414">
        <v>0.51</v>
      </c>
      <c r="H47" s="414">
        <v>0.93</v>
      </c>
      <c r="I47" s="414">
        <v>-0.18</v>
      </c>
      <c r="J47" s="414">
        <v>0.55000000000000004</v>
      </c>
      <c r="K47" s="414">
        <v>1.73</v>
      </c>
      <c r="M47" s="448"/>
    </row>
    <row r="48" spans="1:13" ht="15" customHeight="1" outlineLevel="1">
      <c r="A48" s="425" t="s">
        <v>176</v>
      </c>
      <c r="B48" s="437">
        <v>100.1</v>
      </c>
      <c r="C48" s="437">
        <v>101.58</v>
      </c>
      <c r="D48" s="437">
        <v>103.36</v>
      </c>
      <c r="E48" s="437">
        <v>105.2</v>
      </c>
      <c r="F48" s="437">
        <v>106.37</v>
      </c>
      <c r="G48" s="437">
        <v>106.31</v>
      </c>
      <c r="H48" s="437">
        <v>102.07</v>
      </c>
      <c r="I48" s="437">
        <v>102.74</v>
      </c>
      <c r="J48" s="437">
        <v>101.78</v>
      </c>
      <c r="K48" s="437">
        <v>102.6</v>
      </c>
      <c r="M48" s="449"/>
    </row>
    <row r="49" spans="1:13" ht="15" customHeight="1">
      <c r="A49" s="431" t="s">
        <v>177</v>
      </c>
      <c r="B49" s="438">
        <v>100.4</v>
      </c>
      <c r="C49" s="438">
        <v>101.82</v>
      </c>
      <c r="D49" s="438">
        <v>103.69</v>
      </c>
      <c r="E49" s="438">
        <v>105.51</v>
      </c>
      <c r="F49" s="438">
        <v>106.77</v>
      </c>
      <c r="G49" s="438">
        <v>103.53</v>
      </c>
      <c r="H49" s="438">
        <v>102.23</v>
      </c>
      <c r="I49" s="438">
        <v>102.11</v>
      </c>
      <c r="J49" s="438">
        <v>102</v>
      </c>
      <c r="K49" s="438">
        <v>103.38</v>
      </c>
      <c r="M49" s="444"/>
    </row>
    <row r="50" spans="1:13" ht="15" customHeight="1" outlineLevel="1">
      <c r="A50" s="433" t="s">
        <v>178</v>
      </c>
      <c r="B50" s="439">
        <v>0.34</v>
      </c>
      <c r="C50" s="439">
        <v>1.04</v>
      </c>
      <c r="D50" s="439">
        <v>1.38</v>
      </c>
      <c r="E50" s="439">
        <v>0.39</v>
      </c>
      <c r="F50" s="439">
        <v>-0.56000000000000005</v>
      </c>
      <c r="G50" s="439">
        <v>0.5</v>
      </c>
      <c r="H50" s="439">
        <v>0.91</v>
      </c>
      <c r="I50" s="439">
        <v>-0.18</v>
      </c>
      <c r="J50" s="439">
        <v>0.54</v>
      </c>
      <c r="K50" s="439">
        <v>1.68</v>
      </c>
      <c r="M50" s="446"/>
    </row>
    <row r="51" spans="1:13" ht="15" customHeight="1" outlineLevel="2">
      <c r="A51" s="431" t="s">
        <v>179</v>
      </c>
      <c r="B51" s="438">
        <v>101.48</v>
      </c>
      <c r="C51" s="438">
        <v>132.47999999999999</v>
      </c>
      <c r="D51" s="438">
        <v>134.04</v>
      </c>
      <c r="E51" s="438">
        <v>106.33</v>
      </c>
      <c r="F51" s="438">
        <v>106.37</v>
      </c>
      <c r="G51" s="438">
        <v>108.15</v>
      </c>
      <c r="H51" s="438">
        <v>103.87</v>
      </c>
      <c r="I51" s="438">
        <v>102.74</v>
      </c>
      <c r="J51" s="438">
        <v>104.1</v>
      </c>
      <c r="K51" s="438">
        <v>105.45</v>
      </c>
      <c r="M51" s="445"/>
    </row>
    <row r="52" spans="1:13" ht="15" customHeight="1" outlineLevel="2">
      <c r="A52" s="425" t="s">
        <v>177</v>
      </c>
      <c r="B52" s="437">
        <v>100.4</v>
      </c>
      <c r="C52" s="437">
        <v>101.82</v>
      </c>
      <c r="D52" s="437">
        <v>103.69</v>
      </c>
      <c r="E52" s="437">
        <v>105.51</v>
      </c>
      <c r="F52" s="437">
        <v>106.77</v>
      </c>
      <c r="G52" s="437">
        <v>103.53</v>
      </c>
      <c r="H52" s="437">
        <v>102.23</v>
      </c>
      <c r="I52" s="437">
        <v>102.11</v>
      </c>
      <c r="J52" s="437">
        <v>102</v>
      </c>
      <c r="K52" s="437">
        <v>103.38</v>
      </c>
      <c r="M52" s="445"/>
    </row>
    <row r="53" spans="1:13" ht="15" customHeight="1">
      <c r="A53" s="435" t="s">
        <v>180</v>
      </c>
      <c r="B53" s="438">
        <v>84.41</v>
      </c>
      <c r="C53" s="438">
        <v>91.76</v>
      </c>
      <c r="D53" s="438">
        <v>69.33</v>
      </c>
      <c r="E53" s="438">
        <v>89.67</v>
      </c>
      <c r="F53" s="438">
        <v>73.02</v>
      </c>
      <c r="G53" s="438">
        <v>93.69</v>
      </c>
      <c r="H53" s="438">
        <v>83.56</v>
      </c>
      <c r="I53" s="438">
        <v>91.23</v>
      </c>
      <c r="J53" s="438">
        <v>95.1</v>
      </c>
      <c r="K53" s="438">
        <v>85.38</v>
      </c>
    </row>
    <row r="54" spans="1:13" ht="15" customHeight="1">
      <c r="A54" s="423" t="s">
        <v>2</v>
      </c>
      <c r="B54" s="423"/>
      <c r="C54" s="423"/>
      <c r="D54" s="423"/>
      <c r="E54" s="423"/>
      <c r="F54" s="423"/>
      <c r="G54" s="423"/>
      <c r="H54" s="423"/>
      <c r="I54" s="423"/>
      <c r="J54" s="423"/>
      <c r="K54" s="423"/>
    </row>
    <row r="55" spans="1:13" ht="15" customHeight="1">
      <c r="A55" s="397" t="s">
        <v>2</v>
      </c>
      <c r="B55" s="398">
        <v>367.9</v>
      </c>
      <c r="C55" s="398">
        <v>390.7</v>
      </c>
      <c r="D55" s="398">
        <v>403.6</v>
      </c>
      <c r="E55" s="398">
        <v>259</v>
      </c>
      <c r="F55" s="398">
        <v>264.7</v>
      </c>
      <c r="G55" s="398">
        <v>264.3</v>
      </c>
      <c r="H55" s="398">
        <v>308.10000000000002</v>
      </c>
      <c r="I55" s="398">
        <v>272.10000000000002</v>
      </c>
      <c r="J55" s="398">
        <v>310</v>
      </c>
      <c r="K55" s="398">
        <v>414.7</v>
      </c>
    </row>
    <row r="56" spans="1:13" ht="15" customHeight="1">
      <c r="A56" s="425" t="s">
        <v>1</v>
      </c>
      <c r="B56" s="426">
        <v>187.6</v>
      </c>
      <c r="C56" s="426">
        <v>216.4</v>
      </c>
      <c r="D56" s="426">
        <v>178</v>
      </c>
      <c r="E56" s="426">
        <v>115</v>
      </c>
      <c r="F56" s="426">
        <v>120.8</v>
      </c>
      <c r="G56" s="426">
        <v>136.9</v>
      </c>
      <c r="H56" s="426">
        <v>174.2</v>
      </c>
      <c r="I56" s="426">
        <v>111.4</v>
      </c>
      <c r="J56" s="426">
        <v>159.80000000000001</v>
      </c>
      <c r="K56" s="426">
        <v>267.5</v>
      </c>
    </row>
    <row r="57" spans="1:13" ht="15" customHeight="1">
      <c r="A57" s="431" t="s">
        <v>154</v>
      </c>
      <c r="B57" s="429">
        <v>180.3</v>
      </c>
      <c r="C57" s="429">
        <v>174.3</v>
      </c>
      <c r="D57" s="429">
        <v>225.6</v>
      </c>
      <c r="E57" s="429">
        <v>144</v>
      </c>
      <c r="F57" s="429">
        <v>143.9</v>
      </c>
      <c r="G57" s="429">
        <v>127.3</v>
      </c>
      <c r="H57" s="429">
        <v>133.9</v>
      </c>
      <c r="I57" s="429">
        <v>160.69999999999999</v>
      </c>
      <c r="J57" s="429">
        <v>150.1</v>
      </c>
      <c r="K57" s="429">
        <v>147.19999999999999</v>
      </c>
    </row>
    <row r="58" spans="1:13" ht="15" customHeight="1">
      <c r="A58" s="417" t="s">
        <v>181</v>
      </c>
      <c r="B58" s="419"/>
      <c r="C58" s="419"/>
      <c r="D58" s="419"/>
      <c r="E58" s="419"/>
      <c r="F58" s="419"/>
      <c r="G58" s="419"/>
      <c r="H58" s="419"/>
      <c r="I58" s="419"/>
      <c r="J58" s="419"/>
      <c r="K58" s="419"/>
    </row>
  </sheetData>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7CC0-5140-C141-81F8-036D1157FF96}">
  <dimension ref="A1:K73"/>
  <sheetViews>
    <sheetView workbookViewId="0">
      <selection activeCell="B20" sqref="B20"/>
    </sheetView>
  </sheetViews>
  <sheetFormatPr baseColWidth="10" defaultRowHeight="15"/>
  <cols>
    <col min="1" max="1" width="56.33203125" bestFit="1" customWidth="1"/>
  </cols>
  <sheetData>
    <row r="1" spans="1:11">
      <c r="A1" s="394" t="s">
        <v>248</v>
      </c>
      <c r="B1" s="394"/>
      <c r="C1" s="394"/>
      <c r="D1" s="394"/>
      <c r="E1" s="394"/>
      <c r="F1" s="394"/>
      <c r="G1" s="394"/>
      <c r="H1" s="394"/>
      <c r="I1" s="394"/>
      <c r="J1" s="394"/>
      <c r="K1" s="394"/>
    </row>
    <row r="2" spans="1:11">
      <c r="A2" s="394" t="s">
        <v>249</v>
      </c>
      <c r="B2" s="394"/>
      <c r="C2" s="394"/>
      <c r="D2" s="394"/>
      <c r="E2" s="394"/>
      <c r="F2" s="394"/>
      <c r="G2" s="394"/>
      <c r="H2" s="394"/>
      <c r="I2" s="394"/>
      <c r="J2" s="394"/>
      <c r="K2" s="394"/>
    </row>
    <row r="3" spans="1:11">
      <c r="A3" s="394" t="s">
        <v>141</v>
      </c>
      <c r="B3" s="394"/>
      <c r="C3" s="394"/>
      <c r="D3" s="394"/>
      <c r="E3" s="394"/>
      <c r="F3" s="394"/>
      <c r="G3" s="394"/>
      <c r="H3" s="394"/>
      <c r="I3" s="394"/>
      <c r="J3" s="394"/>
      <c r="K3" s="394"/>
    </row>
    <row r="4" spans="1:11">
      <c r="A4" s="394"/>
      <c r="B4" s="394" t="s">
        <v>142</v>
      </c>
      <c r="C4" s="394" t="s">
        <v>143</v>
      </c>
      <c r="D4" s="394" t="s">
        <v>144</v>
      </c>
      <c r="E4" s="394" t="s">
        <v>145</v>
      </c>
      <c r="F4" s="394" t="s">
        <v>146</v>
      </c>
      <c r="G4" s="394" t="s">
        <v>147</v>
      </c>
      <c r="H4" s="394" t="s">
        <v>148</v>
      </c>
      <c r="I4" s="394" t="s">
        <v>149</v>
      </c>
      <c r="J4" s="394" t="s">
        <v>251</v>
      </c>
      <c r="K4" s="394" t="s">
        <v>250</v>
      </c>
    </row>
    <row r="5" spans="1:11">
      <c r="A5" s="394"/>
      <c r="B5" s="394"/>
      <c r="C5" s="394"/>
      <c r="D5" s="394"/>
      <c r="E5" s="394" t="s">
        <v>150</v>
      </c>
      <c r="F5" s="394"/>
      <c r="G5" s="394"/>
      <c r="H5" s="394"/>
      <c r="I5" s="394"/>
      <c r="J5" s="394"/>
      <c r="K5" s="394"/>
    </row>
    <row r="6" spans="1:11">
      <c r="A6" s="395" t="s">
        <v>263</v>
      </c>
      <c r="B6" s="395"/>
      <c r="C6" s="395"/>
      <c r="D6" s="395"/>
      <c r="E6" s="395"/>
      <c r="F6" s="395"/>
      <c r="G6" s="395"/>
      <c r="H6" s="395"/>
      <c r="I6" s="395"/>
      <c r="J6" s="395"/>
      <c r="K6" s="395"/>
    </row>
    <row r="7" spans="1:11">
      <c r="A7" s="397" t="s">
        <v>264</v>
      </c>
      <c r="B7" s="398">
        <v>256.27699999999999</v>
      </c>
      <c r="C7" s="398">
        <v>409.32600000000002</v>
      </c>
      <c r="D7" s="398">
        <v>256.36</v>
      </c>
      <c r="E7" s="398">
        <v>379.81799999999998</v>
      </c>
      <c r="F7" s="398">
        <v>451.565</v>
      </c>
      <c r="G7" s="398">
        <v>537.678</v>
      </c>
      <c r="H7" s="398">
        <v>402.74900000000002</v>
      </c>
      <c r="I7" s="398">
        <v>450.20800000000003</v>
      </c>
      <c r="J7" s="398">
        <v>503.93200000000002</v>
      </c>
      <c r="K7" s="398">
        <v>501.23399999999998</v>
      </c>
    </row>
    <row r="8" spans="1:11">
      <c r="A8" s="399" t="s">
        <v>265</v>
      </c>
      <c r="B8" s="400">
        <v>256.27699999999999</v>
      </c>
      <c r="C8" s="400">
        <v>409.32600000000002</v>
      </c>
      <c r="D8" s="400">
        <v>256.36</v>
      </c>
      <c r="E8" s="400">
        <v>379.81799999999998</v>
      </c>
      <c r="F8" s="400">
        <v>451.565</v>
      </c>
      <c r="G8" s="400">
        <v>537.678</v>
      </c>
      <c r="H8" s="400">
        <v>402.74900000000002</v>
      </c>
      <c r="I8" s="400">
        <v>450.20800000000003</v>
      </c>
      <c r="J8" s="400">
        <v>503.93200000000002</v>
      </c>
      <c r="K8" s="400">
        <v>501.23399999999998</v>
      </c>
    </row>
    <row r="9" spans="1:11">
      <c r="A9" s="397" t="s">
        <v>266</v>
      </c>
      <c r="B9" s="398">
        <v>432.78800000000001</v>
      </c>
      <c r="C9" s="398">
        <v>483.90300000000002</v>
      </c>
      <c r="D9" s="398">
        <v>810.90599999999995</v>
      </c>
      <c r="E9" s="398">
        <v>758.19799999999998</v>
      </c>
      <c r="F9" s="398">
        <v>654.36099999999999</v>
      </c>
      <c r="G9" s="398">
        <v>711.20899999999995</v>
      </c>
      <c r="H9" s="398">
        <v>878.25300000000004</v>
      </c>
      <c r="I9" s="398">
        <v>712.34400000000005</v>
      </c>
      <c r="J9" s="398">
        <v>829.99300000000005</v>
      </c>
      <c r="K9" s="398">
        <v>1031.7470000000001</v>
      </c>
    </row>
    <row r="10" spans="1:11">
      <c r="A10" s="440" t="s">
        <v>267</v>
      </c>
      <c r="B10" s="396">
        <v>432.78800000000001</v>
      </c>
      <c r="C10" s="396">
        <v>483.90300000000002</v>
      </c>
      <c r="D10" s="396">
        <v>810.90599999999995</v>
      </c>
      <c r="E10" s="396">
        <v>758.19799999999998</v>
      </c>
      <c r="F10" s="396">
        <v>654.36099999999999</v>
      </c>
      <c r="G10" s="396">
        <v>711.20899999999995</v>
      </c>
      <c r="H10" s="396">
        <v>809.01300000000003</v>
      </c>
      <c r="I10" s="396">
        <v>705.60699999999997</v>
      </c>
      <c r="J10" s="396">
        <v>829.99300000000005</v>
      </c>
      <c r="K10" s="396">
        <v>1031.7470000000001</v>
      </c>
    </row>
    <row r="11" spans="1:11">
      <c r="A11" s="403" t="s">
        <v>268</v>
      </c>
      <c r="B11" s="404">
        <v>435.63900000000001</v>
      </c>
      <c r="C11" s="404">
        <v>486.37099999999998</v>
      </c>
      <c r="D11" s="404">
        <v>813.65599999999995</v>
      </c>
      <c r="E11" s="404">
        <v>760.12699999999995</v>
      </c>
      <c r="F11" s="404">
        <v>657.24699999999996</v>
      </c>
      <c r="G11" s="404">
        <v>712.76700000000005</v>
      </c>
      <c r="H11" s="404">
        <v>811.08799999999997</v>
      </c>
      <c r="I11" s="404">
        <v>708.64800000000002</v>
      </c>
      <c r="J11" s="404">
        <v>833.24099999999999</v>
      </c>
      <c r="K11" s="404">
        <v>1033.32</v>
      </c>
    </row>
    <row r="12" spans="1:11">
      <c r="A12" s="402" t="s">
        <v>269</v>
      </c>
      <c r="B12" s="407">
        <v>-2.851</v>
      </c>
      <c r="C12" s="407">
        <v>-2.468</v>
      </c>
      <c r="D12" s="407">
        <v>-2.75</v>
      </c>
      <c r="E12" s="407">
        <v>-1.929</v>
      </c>
      <c r="F12" s="407">
        <v>-2.8860000000000001</v>
      </c>
      <c r="G12" s="407">
        <v>-1.5580000000000001</v>
      </c>
      <c r="H12" s="407">
        <v>-2.0750000000000002</v>
      </c>
      <c r="I12" s="407">
        <v>-3.0409999999999999</v>
      </c>
      <c r="J12" s="407">
        <v>-3.2480000000000002</v>
      </c>
      <c r="K12" s="407">
        <v>-1.573</v>
      </c>
    </row>
    <row r="13" spans="1:11">
      <c r="A13" s="406" t="s">
        <v>270</v>
      </c>
      <c r="B13" s="404">
        <v>0</v>
      </c>
      <c r="C13" s="404">
        <v>0</v>
      </c>
      <c r="D13" s="404">
        <v>0</v>
      </c>
      <c r="E13" s="404">
        <v>0</v>
      </c>
      <c r="F13" s="404">
        <v>0</v>
      </c>
      <c r="G13" s="404">
        <v>0</v>
      </c>
      <c r="H13" s="404">
        <v>69.239999999999995</v>
      </c>
      <c r="I13" s="404">
        <v>6.7370000000000001</v>
      </c>
      <c r="J13" s="404">
        <v>0</v>
      </c>
      <c r="K13" s="404">
        <v>0</v>
      </c>
    </row>
    <row r="14" spans="1:11">
      <c r="A14" s="408" t="s">
        <v>192</v>
      </c>
      <c r="B14" s="396">
        <v>269.21199999999999</v>
      </c>
      <c r="C14" s="396">
        <v>294.58800000000002</v>
      </c>
      <c r="D14" s="396">
        <v>109.377</v>
      </c>
      <c r="E14" s="396">
        <v>113.753</v>
      </c>
      <c r="F14" s="396">
        <v>115.651</v>
      </c>
      <c r="G14" s="396">
        <v>127.61199999999999</v>
      </c>
      <c r="H14" s="396">
        <v>170.63900000000001</v>
      </c>
      <c r="I14" s="396">
        <v>213.07499999999999</v>
      </c>
      <c r="J14" s="396">
        <v>224.98500000000001</v>
      </c>
      <c r="K14" s="396">
        <v>250.05699999999999</v>
      </c>
    </row>
    <row r="15" spans="1:11">
      <c r="A15" s="406" t="s">
        <v>271</v>
      </c>
      <c r="B15" s="404">
        <v>90.620999999999995</v>
      </c>
      <c r="C15" s="404">
        <v>98.721999999999994</v>
      </c>
      <c r="D15" s="404">
        <v>1.478</v>
      </c>
      <c r="E15" s="404">
        <v>5.1950000000000003</v>
      </c>
      <c r="F15" s="404">
        <v>3.92</v>
      </c>
      <c r="G15" s="404">
        <v>3.339</v>
      </c>
      <c r="H15" s="404">
        <v>4.9640000000000004</v>
      </c>
      <c r="I15" s="404">
        <v>1.915</v>
      </c>
      <c r="J15" s="404">
        <v>1.339</v>
      </c>
      <c r="K15" s="404">
        <v>4.29</v>
      </c>
    </row>
    <row r="16" spans="1:11">
      <c r="A16" s="399" t="s">
        <v>272</v>
      </c>
      <c r="B16" s="400">
        <v>105.09399999999999</v>
      </c>
      <c r="C16" s="400">
        <v>120.03100000000001</v>
      </c>
      <c r="D16" s="400">
        <v>10.298999999999999</v>
      </c>
      <c r="E16" s="400">
        <v>10.898</v>
      </c>
      <c r="F16" s="400">
        <v>7.8410000000000002</v>
      </c>
      <c r="G16" s="400">
        <v>9.6199999999999992</v>
      </c>
      <c r="H16" s="400">
        <v>20.114000000000001</v>
      </c>
      <c r="I16" s="400">
        <v>45.494</v>
      </c>
      <c r="J16" s="400">
        <v>45.58</v>
      </c>
      <c r="K16" s="400">
        <v>48.235999999999997</v>
      </c>
    </row>
    <row r="17" spans="1:11">
      <c r="A17" s="406" t="s">
        <v>273</v>
      </c>
      <c r="B17" s="404">
        <v>73.497</v>
      </c>
      <c r="C17" s="404">
        <v>75.834999999999994</v>
      </c>
      <c r="D17" s="404">
        <v>97.6</v>
      </c>
      <c r="E17" s="404">
        <v>97.66</v>
      </c>
      <c r="F17" s="404">
        <v>103.89</v>
      </c>
      <c r="G17" s="404">
        <v>114.65300000000001</v>
      </c>
      <c r="H17" s="404">
        <v>145.56100000000001</v>
      </c>
      <c r="I17" s="404">
        <v>165.666</v>
      </c>
      <c r="J17" s="404">
        <v>178.066</v>
      </c>
      <c r="K17" s="404">
        <v>197.53100000000001</v>
      </c>
    </row>
    <row r="18" spans="1:11">
      <c r="A18" s="408" t="s">
        <v>274</v>
      </c>
      <c r="B18" s="396">
        <v>54.564</v>
      </c>
      <c r="C18" s="396">
        <v>33.49</v>
      </c>
      <c r="D18" s="396">
        <v>30.271000000000001</v>
      </c>
      <c r="E18" s="396">
        <v>90.915000000000006</v>
      </c>
      <c r="F18" s="396">
        <v>27.181000000000001</v>
      </c>
      <c r="G18" s="396">
        <v>30.914000000000001</v>
      </c>
      <c r="H18" s="396">
        <v>41.414999999999999</v>
      </c>
      <c r="I18" s="396">
        <v>54.06</v>
      </c>
      <c r="J18" s="396">
        <v>47.834000000000003</v>
      </c>
      <c r="K18" s="396">
        <v>72.367999999999995</v>
      </c>
    </row>
    <row r="19" spans="1:11">
      <c r="A19" s="406" t="s">
        <v>275</v>
      </c>
      <c r="B19" s="404">
        <v>54.564</v>
      </c>
      <c r="C19" s="404">
        <v>33.49</v>
      </c>
      <c r="D19" s="404">
        <v>30.271000000000001</v>
      </c>
      <c r="E19" s="404">
        <v>90.915000000000006</v>
      </c>
      <c r="F19" s="404">
        <v>27.181000000000001</v>
      </c>
      <c r="G19" s="404">
        <v>30.914000000000001</v>
      </c>
      <c r="H19" s="404">
        <v>41.414999999999999</v>
      </c>
      <c r="I19" s="404">
        <v>54.06</v>
      </c>
      <c r="J19" s="404">
        <v>47.834000000000003</v>
      </c>
      <c r="K19" s="404">
        <v>72.367999999999995</v>
      </c>
    </row>
    <row r="20" spans="1:11">
      <c r="A20" s="412" t="s">
        <v>276</v>
      </c>
      <c r="B20" s="400">
        <v>1012.841</v>
      </c>
      <c r="C20" s="400">
        <v>1221.307</v>
      </c>
      <c r="D20" s="400">
        <v>1206.914</v>
      </c>
      <c r="E20" s="400">
        <v>1342.684</v>
      </c>
      <c r="F20" s="400">
        <v>1248.758</v>
      </c>
      <c r="G20" s="400">
        <v>1407.413</v>
      </c>
      <c r="H20" s="400">
        <v>1493.056</v>
      </c>
      <c r="I20" s="400">
        <v>1429.6869999999999</v>
      </c>
      <c r="J20" s="400">
        <v>1606.7439999999999</v>
      </c>
      <c r="K20" s="400">
        <v>1855.4059999999999</v>
      </c>
    </row>
    <row r="21" spans="1:11">
      <c r="A21" s="397" t="s">
        <v>277</v>
      </c>
      <c r="B21" s="398">
        <v>966.63800000000003</v>
      </c>
      <c r="C21" s="398">
        <v>1056.845</v>
      </c>
      <c r="D21" s="398">
        <v>1052.0239999999999</v>
      </c>
      <c r="E21" s="398">
        <v>700.37400000000002</v>
      </c>
      <c r="F21" s="398">
        <v>674.77499999999998</v>
      </c>
      <c r="G21" s="398">
        <v>686.55700000000002</v>
      </c>
      <c r="H21" s="398">
        <v>743.06600000000003</v>
      </c>
      <c r="I21" s="398">
        <v>893.95299999999997</v>
      </c>
      <c r="J21" s="398">
        <v>948.20899999999995</v>
      </c>
      <c r="K21" s="398">
        <v>1091.624</v>
      </c>
    </row>
    <row r="22" spans="1:11">
      <c r="A22" s="440" t="s">
        <v>278</v>
      </c>
      <c r="B22" s="396">
        <v>1614.097</v>
      </c>
      <c r="C22" s="396">
        <v>1872.396</v>
      </c>
      <c r="D22" s="396">
        <v>2009.3009999999999</v>
      </c>
      <c r="E22" s="396">
        <v>1312.6020000000001</v>
      </c>
      <c r="F22" s="396">
        <v>1360.8789999999999</v>
      </c>
      <c r="G22" s="396">
        <v>1440</v>
      </c>
      <c r="H22" s="396">
        <v>1568.0619999999999</v>
      </c>
      <c r="I22" s="396">
        <v>1757.1890000000001</v>
      </c>
      <c r="J22" s="396">
        <v>1867.088</v>
      </c>
      <c r="K22" s="396">
        <v>2088.8150000000001</v>
      </c>
    </row>
    <row r="23" spans="1:11">
      <c r="A23" s="403" t="s">
        <v>279</v>
      </c>
      <c r="B23" s="404">
        <v>436.822</v>
      </c>
      <c r="C23" s="404">
        <v>506.39400000000001</v>
      </c>
      <c r="D23" s="404">
        <v>534.12199999999996</v>
      </c>
      <c r="E23" s="404">
        <v>381.98</v>
      </c>
      <c r="F23" s="404">
        <v>398.54</v>
      </c>
      <c r="G23" s="404">
        <v>429.34399999999999</v>
      </c>
      <c r="H23" s="404">
        <v>443.35300000000001</v>
      </c>
      <c r="I23" s="404">
        <v>512.14800000000002</v>
      </c>
      <c r="J23" s="404">
        <v>515.77300000000002</v>
      </c>
      <c r="K23" s="404">
        <v>634.78499999999997</v>
      </c>
    </row>
    <row r="24" spans="1:11">
      <c r="A24" s="402" t="s">
        <v>280</v>
      </c>
      <c r="B24" s="400">
        <v>69.486999999999995</v>
      </c>
      <c r="C24" s="400">
        <v>70.680999999999997</v>
      </c>
      <c r="D24" s="400">
        <v>75.430999999999997</v>
      </c>
      <c r="E24" s="400">
        <v>62.009</v>
      </c>
      <c r="F24" s="400">
        <v>61.780999999999999</v>
      </c>
      <c r="G24" s="400">
        <v>62.015000000000001</v>
      </c>
      <c r="H24" s="400">
        <v>76.811000000000007</v>
      </c>
      <c r="I24" s="400">
        <v>71.131</v>
      </c>
      <c r="J24" s="400">
        <v>69.787999999999997</v>
      </c>
      <c r="K24" s="400">
        <v>72.341999999999999</v>
      </c>
    </row>
    <row r="25" spans="1:11">
      <c r="A25" s="403" t="s">
        <v>281</v>
      </c>
      <c r="B25" s="404">
        <v>1053.2670000000001</v>
      </c>
      <c r="C25" s="404">
        <v>1243.4559999999999</v>
      </c>
      <c r="D25" s="404">
        <v>1357.0350000000001</v>
      </c>
      <c r="E25" s="404">
        <v>777.91600000000005</v>
      </c>
      <c r="F25" s="404">
        <v>832.72299999999996</v>
      </c>
      <c r="G25" s="404">
        <v>891.92499999999995</v>
      </c>
      <c r="H25" s="404">
        <v>989.93499999999995</v>
      </c>
      <c r="I25" s="404">
        <v>986.52700000000004</v>
      </c>
      <c r="J25" s="404">
        <v>1116.6579999999999</v>
      </c>
      <c r="K25" s="404">
        <v>1187.1869999999999</v>
      </c>
    </row>
    <row r="26" spans="1:11">
      <c r="A26" s="402" t="s">
        <v>282</v>
      </c>
      <c r="B26" s="400">
        <v>54.521000000000001</v>
      </c>
      <c r="C26" s="400">
        <v>51.865000000000002</v>
      </c>
      <c r="D26" s="400">
        <v>42.713000000000001</v>
      </c>
      <c r="E26" s="400">
        <v>58.195</v>
      </c>
      <c r="F26" s="400">
        <v>33.191000000000003</v>
      </c>
      <c r="G26" s="400">
        <v>25.553999999999998</v>
      </c>
      <c r="H26" s="400">
        <v>27.774000000000001</v>
      </c>
      <c r="I26" s="400">
        <v>90.94</v>
      </c>
      <c r="J26" s="400">
        <v>75.501999999999995</v>
      </c>
      <c r="K26" s="400">
        <v>101.94499999999999</v>
      </c>
    </row>
    <row r="27" spans="1:11">
      <c r="A27" s="403" t="s">
        <v>283</v>
      </c>
      <c r="B27" s="181"/>
      <c r="C27" s="181"/>
      <c r="D27" s="181"/>
      <c r="E27" s="404">
        <v>10.329000000000001</v>
      </c>
      <c r="F27" s="404">
        <v>10.304</v>
      </c>
      <c r="G27" s="404">
        <v>10.36</v>
      </c>
      <c r="H27" s="404">
        <v>11.327</v>
      </c>
      <c r="I27" s="404">
        <v>10.157</v>
      </c>
      <c r="J27" s="404">
        <v>11.115</v>
      </c>
      <c r="K27" s="404">
        <v>11.641999999999999</v>
      </c>
    </row>
    <row r="28" spans="1:11">
      <c r="A28" s="402" t="s">
        <v>284</v>
      </c>
      <c r="B28" s="405"/>
      <c r="C28" s="405"/>
      <c r="D28" s="405"/>
      <c r="E28" s="400">
        <v>22.172999999999998</v>
      </c>
      <c r="F28" s="400">
        <v>24.34</v>
      </c>
      <c r="G28" s="400">
        <v>20.802</v>
      </c>
      <c r="H28" s="400">
        <v>18.861999999999998</v>
      </c>
      <c r="I28" s="400">
        <v>86.286000000000001</v>
      </c>
      <c r="J28" s="400">
        <v>78.251999999999995</v>
      </c>
      <c r="K28" s="400">
        <v>80.914000000000001</v>
      </c>
    </row>
    <row r="29" spans="1:11">
      <c r="A29" s="406" t="s">
        <v>285</v>
      </c>
      <c r="B29" s="404">
        <v>647.45899999999995</v>
      </c>
      <c r="C29" s="404">
        <v>815.55100000000004</v>
      </c>
      <c r="D29" s="404">
        <v>957.27700000000004</v>
      </c>
      <c r="E29" s="404">
        <v>612.22799999999995</v>
      </c>
      <c r="F29" s="404">
        <v>686.10400000000004</v>
      </c>
      <c r="G29" s="404">
        <v>753.44299999999998</v>
      </c>
      <c r="H29" s="404">
        <v>824.99599999999998</v>
      </c>
      <c r="I29" s="404">
        <v>863.23599999999999</v>
      </c>
      <c r="J29" s="404">
        <v>918.87900000000002</v>
      </c>
      <c r="K29" s="404">
        <v>997.19100000000003</v>
      </c>
    </row>
    <row r="30" spans="1:11">
      <c r="A30" s="408" t="s">
        <v>286</v>
      </c>
      <c r="B30" s="396">
        <v>0</v>
      </c>
      <c r="C30" s="396">
        <v>0</v>
      </c>
      <c r="D30" s="396">
        <v>0</v>
      </c>
      <c r="E30" s="396">
        <v>0</v>
      </c>
      <c r="F30" s="396">
        <v>0</v>
      </c>
      <c r="G30" s="396">
        <v>0</v>
      </c>
      <c r="H30" s="396">
        <v>0</v>
      </c>
      <c r="I30" s="396">
        <v>1.476</v>
      </c>
      <c r="J30" s="396">
        <v>1.3</v>
      </c>
      <c r="K30" s="396">
        <v>4.2489999999999997</v>
      </c>
    </row>
    <row r="31" spans="1:11">
      <c r="A31" s="406" t="s">
        <v>287</v>
      </c>
      <c r="B31" s="404">
        <v>0</v>
      </c>
      <c r="C31" s="404">
        <v>0</v>
      </c>
      <c r="D31" s="404">
        <v>0</v>
      </c>
      <c r="E31" s="404">
        <v>0</v>
      </c>
      <c r="F31" s="404">
        <v>0</v>
      </c>
      <c r="G31" s="404">
        <v>0</v>
      </c>
      <c r="H31" s="404">
        <v>0</v>
      </c>
      <c r="I31" s="404">
        <v>1.476</v>
      </c>
      <c r="J31" s="404">
        <v>1.3</v>
      </c>
      <c r="K31" s="404">
        <v>0</v>
      </c>
    </row>
    <row r="32" spans="1:11">
      <c r="A32" s="399" t="s">
        <v>288</v>
      </c>
      <c r="B32" s="405"/>
      <c r="C32" s="405"/>
      <c r="D32" s="405"/>
      <c r="E32" s="405"/>
      <c r="F32" s="405"/>
      <c r="G32" s="405"/>
      <c r="H32" s="405"/>
      <c r="I32" s="405"/>
      <c r="J32" s="405"/>
      <c r="K32" s="400">
        <v>4.2489999999999997</v>
      </c>
    </row>
    <row r="33" spans="1:11">
      <c r="A33" s="397" t="s">
        <v>289</v>
      </c>
      <c r="B33" s="398">
        <v>499.22199999999998</v>
      </c>
      <c r="C33" s="398">
        <v>475.52100000000002</v>
      </c>
      <c r="D33" s="398">
        <v>1142.9680000000001</v>
      </c>
      <c r="E33" s="398">
        <v>1032.204</v>
      </c>
      <c r="F33" s="398">
        <v>918.63099999999997</v>
      </c>
      <c r="G33" s="398">
        <v>877.24199999999996</v>
      </c>
      <c r="H33" s="398">
        <v>1048.4739999999999</v>
      </c>
      <c r="I33" s="398">
        <v>939.44600000000003</v>
      </c>
      <c r="J33" s="398">
        <v>861.95399999999995</v>
      </c>
      <c r="K33" s="398">
        <v>825.05700000000002</v>
      </c>
    </row>
    <row r="34" spans="1:11">
      <c r="A34" s="399" t="s">
        <v>257</v>
      </c>
      <c r="B34" s="400">
        <v>372.60899999999998</v>
      </c>
      <c r="C34" s="400">
        <v>372.57100000000003</v>
      </c>
      <c r="D34" s="400">
        <v>767.04499999999996</v>
      </c>
      <c r="E34" s="400">
        <v>706.524</v>
      </c>
      <c r="F34" s="400">
        <v>637.32399999999996</v>
      </c>
      <c r="G34" s="400">
        <v>637.32399999999996</v>
      </c>
      <c r="H34" s="400">
        <v>760.43700000000001</v>
      </c>
      <c r="I34" s="400">
        <v>702.73500000000001</v>
      </c>
      <c r="J34" s="400">
        <v>670.13499999999999</v>
      </c>
      <c r="K34" s="400">
        <v>670.13499999999999</v>
      </c>
    </row>
    <row r="35" spans="1:11">
      <c r="A35" s="406" t="s">
        <v>290</v>
      </c>
      <c r="B35" s="404">
        <v>126.613</v>
      </c>
      <c r="C35" s="404">
        <v>102.95</v>
      </c>
      <c r="D35" s="404">
        <v>375.923</v>
      </c>
      <c r="E35" s="404">
        <v>325.68</v>
      </c>
      <c r="F35" s="404">
        <v>281.30700000000002</v>
      </c>
      <c r="G35" s="404">
        <v>239.91800000000001</v>
      </c>
      <c r="H35" s="404">
        <v>288.03699999999998</v>
      </c>
      <c r="I35" s="404">
        <v>236.71100000000001</v>
      </c>
      <c r="J35" s="404">
        <v>191.81899999999999</v>
      </c>
      <c r="K35" s="404">
        <v>154.922</v>
      </c>
    </row>
    <row r="36" spans="1:11">
      <c r="A36" s="408" t="s">
        <v>291</v>
      </c>
      <c r="B36" s="396">
        <v>21.375</v>
      </c>
      <c r="C36" s="396">
        <v>28.209</v>
      </c>
      <c r="D36" s="396">
        <v>55.597000000000001</v>
      </c>
      <c r="E36" s="396">
        <v>485.67099999999999</v>
      </c>
      <c r="F36" s="396">
        <v>53.78</v>
      </c>
      <c r="G36" s="396">
        <v>54.335000000000001</v>
      </c>
      <c r="H36" s="396">
        <v>39.008000000000003</v>
      </c>
      <c r="I36" s="396">
        <v>59.100999999999999</v>
      </c>
      <c r="J36" s="396">
        <v>54.286999999999999</v>
      </c>
      <c r="K36" s="396">
        <v>63.994999999999997</v>
      </c>
    </row>
    <row r="37" spans="1:11">
      <c r="A37" s="406" t="s">
        <v>292</v>
      </c>
      <c r="B37" s="181"/>
      <c r="C37" s="404">
        <v>2.4209999999999998</v>
      </c>
      <c r="D37" s="404">
        <v>1.42</v>
      </c>
      <c r="E37" s="404">
        <v>2.5110000000000001</v>
      </c>
      <c r="F37" s="404">
        <v>1.919</v>
      </c>
      <c r="G37" s="404">
        <v>1.355</v>
      </c>
      <c r="H37" s="404">
        <v>0.79200000000000004</v>
      </c>
      <c r="I37" s="404">
        <v>1.603</v>
      </c>
      <c r="J37" s="404">
        <v>1.2390000000000001</v>
      </c>
      <c r="K37" s="404">
        <v>0.874</v>
      </c>
    </row>
    <row r="38" spans="1:11">
      <c r="A38" s="399" t="s">
        <v>293</v>
      </c>
      <c r="B38" s="400">
        <v>21.375</v>
      </c>
      <c r="C38" s="400">
        <v>25.788</v>
      </c>
      <c r="D38" s="400">
        <v>54.177</v>
      </c>
      <c r="E38" s="400">
        <v>483.16</v>
      </c>
      <c r="F38" s="400">
        <v>51.860999999999997</v>
      </c>
      <c r="G38" s="400">
        <v>52.98</v>
      </c>
      <c r="H38" s="400">
        <v>38.216000000000001</v>
      </c>
      <c r="I38" s="400">
        <v>57.497999999999998</v>
      </c>
      <c r="J38" s="400">
        <v>53.048000000000002</v>
      </c>
      <c r="K38" s="400">
        <v>63.121000000000002</v>
      </c>
    </row>
    <row r="39" spans="1:11">
      <c r="A39" s="411" t="s">
        <v>294</v>
      </c>
      <c r="B39" s="404">
        <v>2500.076</v>
      </c>
      <c r="C39" s="404">
        <v>2781.8820000000001</v>
      </c>
      <c r="D39" s="404">
        <v>3457.5030000000002</v>
      </c>
      <c r="E39" s="404">
        <v>3560.933</v>
      </c>
      <c r="F39" s="404">
        <v>2895.944</v>
      </c>
      <c r="G39" s="404">
        <v>3025.547</v>
      </c>
      <c r="H39" s="404">
        <v>3323.6039999999998</v>
      </c>
      <c r="I39" s="404">
        <v>3323.663</v>
      </c>
      <c r="J39" s="404">
        <v>3472.4940000000001</v>
      </c>
      <c r="K39" s="404">
        <v>3840.3310000000001</v>
      </c>
    </row>
    <row r="40" spans="1:11">
      <c r="A40" s="395" t="s">
        <v>295</v>
      </c>
      <c r="B40" s="395"/>
      <c r="C40" s="395"/>
      <c r="D40" s="395"/>
      <c r="E40" s="395"/>
      <c r="F40" s="395"/>
      <c r="G40" s="395"/>
      <c r="H40" s="395"/>
      <c r="I40" s="395"/>
      <c r="J40" s="395"/>
      <c r="K40" s="395"/>
    </row>
    <row r="41" spans="1:11">
      <c r="A41" s="397" t="s">
        <v>296</v>
      </c>
      <c r="B41" s="409"/>
      <c r="C41" s="409"/>
      <c r="D41" s="409"/>
      <c r="E41" s="409"/>
      <c r="F41" s="409"/>
      <c r="G41" s="409"/>
      <c r="H41" s="409"/>
      <c r="I41" s="409"/>
      <c r="J41" s="409"/>
      <c r="K41" s="409"/>
    </row>
    <row r="42" spans="1:11">
      <c r="A42" s="399" t="s">
        <v>297</v>
      </c>
      <c r="B42" s="400">
        <v>110.652</v>
      </c>
      <c r="C42" s="400">
        <v>4.5780000000000003</v>
      </c>
      <c r="D42" s="400">
        <v>30</v>
      </c>
      <c r="E42" s="400">
        <v>257.08600000000001</v>
      </c>
      <c r="F42" s="400">
        <v>8.1440000000000001</v>
      </c>
      <c r="G42" s="400">
        <v>7.06</v>
      </c>
      <c r="H42" s="400">
        <v>58.103999999999999</v>
      </c>
      <c r="I42" s="400">
        <v>12.712999999999999</v>
      </c>
      <c r="J42" s="400">
        <v>12.164999999999999</v>
      </c>
      <c r="K42" s="400">
        <v>13.840999999999999</v>
      </c>
    </row>
    <row r="43" spans="1:11">
      <c r="A43" s="406" t="s">
        <v>193</v>
      </c>
      <c r="B43" s="404">
        <v>371.61</v>
      </c>
      <c r="C43" s="404">
        <v>438.99</v>
      </c>
      <c r="D43" s="404">
        <v>431.28800000000001</v>
      </c>
      <c r="E43" s="404">
        <v>329.86599999999999</v>
      </c>
      <c r="F43" s="404">
        <v>327.10199999999998</v>
      </c>
      <c r="G43" s="404">
        <v>361.48399999999998</v>
      </c>
      <c r="H43" s="404">
        <v>361.78800000000001</v>
      </c>
      <c r="I43" s="404">
        <v>334.60899999999998</v>
      </c>
      <c r="J43" s="404">
        <v>406.221</v>
      </c>
      <c r="K43" s="404">
        <v>543.53800000000001</v>
      </c>
    </row>
    <row r="44" spans="1:11">
      <c r="A44" s="399" t="s">
        <v>298</v>
      </c>
      <c r="B44" s="405"/>
      <c r="C44" s="405"/>
      <c r="D44" s="400">
        <v>11.345000000000001</v>
      </c>
      <c r="E44" s="400">
        <v>13.035</v>
      </c>
      <c r="F44" s="400">
        <v>2.4279999999999999</v>
      </c>
      <c r="G44" s="400">
        <v>7.1619999999999999</v>
      </c>
      <c r="H44" s="400">
        <v>28.056999999999999</v>
      </c>
      <c r="I44" s="400">
        <v>5.4660000000000002</v>
      </c>
      <c r="J44" s="400">
        <v>15.919</v>
      </c>
      <c r="K44" s="400">
        <v>8.08</v>
      </c>
    </row>
    <row r="45" spans="1:11">
      <c r="A45" s="401" t="s">
        <v>299</v>
      </c>
      <c r="B45" s="398">
        <v>206.803</v>
      </c>
      <c r="C45" s="398">
        <v>276.78800000000001</v>
      </c>
      <c r="D45" s="398">
        <v>200.58099999999999</v>
      </c>
      <c r="E45" s="398">
        <v>346.67899999999997</v>
      </c>
      <c r="F45" s="398">
        <v>180.37200000000001</v>
      </c>
      <c r="G45" s="398">
        <v>182.44200000000001</v>
      </c>
      <c r="H45" s="398">
        <v>313.37599999999998</v>
      </c>
      <c r="I45" s="398">
        <v>351.19600000000003</v>
      </c>
      <c r="J45" s="398">
        <v>374.74900000000002</v>
      </c>
      <c r="K45" s="398">
        <v>396.738</v>
      </c>
    </row>
    <row r="46" spans="1:11">
      <c r="A46" s="402" t="s">
        <v>300</v>
      </c>
      <c r="B46" s="400">
        <v>97.171000000000006</v>
      </c>
      <c r="C46" s="400">
        <v>103.63800000000001</v>
      </c>
      <c r="D46" s="400">
        <v>94.95</v>
      </c>
      <c r="E46" s="400">
        <v>85.114000000000004</v>
      </c>
      <c r="F46" s="400">
        <v>97.268000000000001</v>
      </c>
      <c r="G46" s="400">
        <v>89.445999999999998</v>
      </c>
      <c r="H46" s="400">
        <v>115.524</v>
      </c>
      <c r="I46" s="400">
        <v>98.561000000000007</v>
      </c>
      <c r="J46" s="400">
        <v>108.149</v>
      </c>
      <c r="K46" s="400">
        <v>132.96700000000001</v>
      </c>
    </row>
    <row r="47" spans="1:11">
      <c r="A47" s="403" t="s">
        <v>301</v>
      </c>
      <c r="B47" s="404">
        <v>109.63200000000001</v>
      </c>
      <c r="C47" s="404">
        <v>173.15</v>
      </c>
      <c r="D47" s="404">
        <v>105.631</v>
      </c>
      <c r="E47" s="404">
        <v>261.565</v>
      </c>
      <c r="F47" s="404">
        <v>83.103999999999999</v>
      </c>
      <c r="G47" s="404">
        <v>92.995999999999995</v>
      </c>
      <c r="H47" s="404">
        <v>197.852</v>
      </c>
      <c r="I47" s="404">
        <v>252.63499999999999</v>
      </c>
      <c r="J47" s="404">
        <v>266.60000000000002</v>
      </c>
      <c r="K47" s="404">
        <v>263.77100000000002</v>
      </c>
    </row>
    <row r="48" spans="1:11">
      <c r="A48" s="399" t="s">
        <v>302</v>
      </c>
      <c r="B48" s="400">
        <v>689.06500000000005</v>
      </c>
      <c r="C48" s="400">
        <v>720.35599999999999</v>
      </c>
      <c r="D48" s="400">
        <v>673.21400000000006</v>
      </c>
      <c r="E48" s="400">
        <v>946.66600000000005</v>
      </c>
      <c r="F48" s="400">
        <v>518.04600000000005</v>
      </c>
      <c r="G48" s="400">
        <v>558.14800000000002</v>
      </c>
      <c r="H48" s="400">
        <v>761.32500000000005</v>
      </c>
      <c r="I48" s="400">
        <v>703.98400000000004</v>
      </c>
      <c r="J48" s="400">
        <v>809.05399999999997</v>
      </c>
      <c r="K48" s="400">
        <v>962.197</v>
      </c>
    </row>
    <row r="49" spans="1:11">
      <c r="A49" s="397" t="s">
        <v>303</v>
      </c>
      <c r="B49" s="409"/>
      <c r="C49" s="409"/>
      <c r="D49" s="409"/>
      <c r="E49" s="409"/>
      <c r="F49" s="409"/>
      <c r="G49" s="409"/>
      <c r="H49" s="409"/>
      <c r="I49" s="409"/>
      <c r="J49" s="409"/>
      <c r="K49" s="409"/>
    </row>
    <row r="50" spans="1:11">
      <c r="A50" s="440" t="s">
        <v>304</v>
      </c>
      <c r="B50" s="396">
        <v>909.03</v>
      </c>
      <c r="C50" s="396">
        <v>975.47900000000004</v>
      </c>
      <c r="D50" s="396">
        <v>1462.425</v>
      </c>
      <c r="E50" s="396">
        <v>1241.375</v>
      </c>
      <c r="F50" s="396">
        <v>860.06399999999996</v>
      </c>
      <c r="G50" s="396">
        <v>957.38699999999994</v>
      </c>
      <c r="H50" s="396">
        <v>905.23500000000001</v>
      </c>
      <c r="I50" s="396">
        <v>1007.921</v>
      </c>
      <c r="J50" s="396">
        <v>1003.853</v>
      </c>
      <c r="K50" s="396">
        <v>1015.689</v>
      </c>
    </row>
    <row r="51" spans="1:11">
      <c r="A51" s="403" t="s">
        <v>305</v>
      </c>
      <c r="B51" s="404">
        <v>909.03</v>
      </c>
      <c r="C51" s="404">
        <v>975.47900000000004</v>
      </c>
      <c r="D51" s="404">
        <v>1462.425</v>
      </c>
      <c r="E51" s="404">
        <v>1225.962</v>
      </c>
      <c r="F51" s="404">
        <v>842.85299999999995</v>
      </c>
      <c r="G51" s="404">
        <v>927.81799999999998</v>
      </c>
      <c r="H51" s="404">
        <v>879.40700000000004</v>
      </c>
      <c r="I51" s="404">
        <v>914.33600000000001</v>
      </c>
      <c r="J51" s="404">
        <v>914.35900000000004</v>
      </c>
      <c r="K51" s="404">
        <v>912.33600000000001</v>
      </c>
    </row>
    <row r="52" spans="1:11">
      <c r="A52" s="402" t="s">
        <v>306</v>
      </c>
      <c r="B52" s="400">
        <v>0</v>
      </c>
      <c r="C52" s="400">
        <v>0</v>
      </c>
      <c r="D52" s="400">
        <v>0</v>
      </c>
      <c r="E52" s="400">
        <v>15.413</v>
      </c>
      <c r="F52" s="400">
        <v>17.210999999999999</v>
      </c>
      <c r="G52" s="400">
        <v>29.568999999999999</v>
      </c>
      <c r="H52" s="400">
        <v>25.827999999999999</v>
      </c>
      <c r="I52" s="400">
        <v>93.584999999999994</v>
      </c>
      <c r="J52" s="400">
        <v>89.494</v>
      </c>
      <c r="K52" s="400">
        <v>103.35299999999999</v>
      </c>
    </row>
    <row r="53" spans="1:11">
      <c r="A53" s="406" t="s">
        <v>307</v>
      </c>
      <c r="B53" s="404">
        <v>0</v>
      </c>
      <c r="C53" s="404">
        <v>0</v>
      </c>
      <c r="D53" s="404">
        <v>0</v>
      </c>
      <c r="E53" s="404">
        <v>9.3130000000000006</v>
      </c>
      <c r="F53" s="404">
        <v>9.9860000000000007</v>
      </c>
      <c r="G53" s="404">
        <v>5.2759999999999998</v>
      </c>
      <c r="H53" s="404">
        <v>2.4710000000000001</v>
      </c>
      <c r="I53" s="404">
        <v>0.83599999999999997</v>
      </c>
      <c r="J53" s="404">
        <v>0</v>
      </c>
      <c r="K53" s="404">
        <v>0</v>
      </c>
    </row>
    <row r="54" spans="1:11">
      <c r="A54" s="399" t="s">
        <v>308</v>
      </c>
      <c r="B54" s="405"/>
      <c r="C54" s="400">
        <v>29.033000000000001</v>
      </c>
      <c r="D54" s="405"/>
      <c r="E54" s="400">
        <v>25.434999999999999</v>
      </c>
      <c r="F54" s="400">
        <v>23.704000000000001</v>
      </c>
      <c r="G54" s="400">
        <v>28.361000000000001</v>
      </c>
      <c r="H54" s="400">
        <v>54.268000000000001</v>
      </c>
      <c r="I54" s="400">
        <v>44.238</v>
      </c>
      <c r="J54" s="400">
        <v>41.362000000000002</v>
      </c>
      <c r="K54" s="400">
        <v>46.334000000000003</v>
      </c>
    </row>
    <row r="55" spans="1:11">
      <c r="A55" s="401" t="s">
        <v>309</v>
      </c>
      <c r="B55" s="398">
        <v>72.855999999999995</v>
      </c>
      <c r="C55" s="398">
        <v>45.634</v>
      </c>
      <c r="D55" s="398">
        <v>94.777000000000001</v>
      </c>
      <c r="E55" s="398">
        <v>59.106999999999999</v>
      </c>
      <c r="F55" s="398">
        <v>40.134999999999998</v>
      </c>
      <c r="G55" s="398">
        <v>20.957999999999998</v>
      </c>
      <c r="H55" s="398">
        <v>64.725999999999999</v>
      </c>
      <c r="I55" s="398">
        <v>55.645000000000003</v>
      </c>
      <c r="J55" s="398">
        <v>54.401000000000003</v>
      </c>
      <c r="K55" s="398">
        <v>53.857999999999997</v>
      </c>
    </row>
    <row r="56" spans="1:11">
      <c r="A56" s="402" t="s">
        <v>310</v>
      </c>
      <c r="B56" s="400">
        <v>72.855999999999995</v>
      </c>
      <c r="C56" s="400">
        <v>45.634</v>
      </c>
      <c r="D56" s="400">
        <v>94.777000000000001</v>
      </c>
      <c r="E56" s="400">
        <v>59.106999999999999</v>
      </c>
      <c r="F56" s="400">
        <v>40.134999999999998</v>
      </c>
      <c r="G56" s="400">
        <v>20.957999999999998</v>
      </c>
      <c r="H56" s="400">
        <v>64.725999999999999</v>
      </c>
      <c r="I56" s="400">
        <v>55.645000000000003</v>
      </c>
      <c r="J56" s="400">
        <v>54.401000000000003</v>
      </c>
      <c r="K56" s="400">
        <v>53.857999999999997</v>
      </c>
    </row>
    <row r="57" spans="1:11">
      <c r="A57" s="406" t="s">
        <v>311</v>
      </c>
      <c r="B57" s="404">
        <v>1670.951</v>
      </c>
      <c r="C57" s="404">
        <v>1770.502</v>
      </c>
      <c r="D57" s="404">
        <v>2230.4160000000002</v>
      </c>
      <c r="E57" s="404">
        <v>2281.8960000000002</v>
      </c>
      <c r="F57" s="404">
        <v>1451.9349999999999</v>
      </c>
      <c r="G57" s="404">
        <v>1570.13</v>
      </c>
      <c r="H57" s="404">
        <v>1788.0250000000001</v>
      </c>
      <c r="I57" s="404">
        <v>1812.624</v>
      </c>
      <c r="J57" s="404">
        <v>1908.67</v>
      </c>
      <c r="K57" s="404">
        <v>2078.078</v>
      </c>
    </row>
    <row r="58" spans="1:11">
      <c r="A58" s="408" t="s">
        <v>312</v>
      </c>
      <c r="B58" s="395"/>
      <c r="C58" s="395"/>
      <c r="D58" s="395"/>
      <c r="E58" s="395"/>
      <c r="F58" s="395"/>
      <c r="G58" s="395"/>
      <c r="H58" s="395"/>
      <c r="I58" s="395"/>
      <c r="J58" s="395"/>
      <c r="K58" s="395"/>
    </row>
    <row r="59" spans="1:11">
      <c r="A59" s="401" t="s">
        <v>313</v>
      </c>
      <c r="B59" s="398">
        <v>820.84699999999998</v>
      </c>
      <c r="C59" s="398">
        <v>1011.38</v>
      </c>
      <c r="D59" s="398">
        <v>1227.087</v>
      </c>
      <c r="E59" s="398">
        <v>1279.037</v>
      </c>
      <c r="F59" s="398">
        <v>1444.009</v>
      </c>
      <c r="G59" s="398">
        <v>1455.4169999999999</v>
      </c>
      <c r="H59" s="398">
        <v>1535.579</v>
      </c>
      <c r="I59" s="398">
        <v>1511.039</v>
      </c>
      <c r="J59" s="398">
        <v>1563.8240000000001</v>
      </c>
      <c r="K59" s="398">
        <v>1762.2529999999999</v>
      </c>
    </row>
    <row r="60" spans="1:11">
      <c r="A60" s="402" t="s">
        <v>314</v>
      </c>
      <c r="B60" s="400">
        <v>0.1</v>
      </c>
      <c r="C60" s="400">
        <v>0.10199999999999999</v>
      </c>
      <c r="D60" s="400">
        <v>0.104</v>
      </c>
      <c r="E60" s="400">
        <v>0.106</v>
      </c>
      <c r="F60" s="400">
        <v>0.107</v>
      </c>
      <c r="G60" s="400">
        <v>0.108</v>
      </c>
      <c r="H60" s="400">
        <v>0.11</v>
      </c>
      <c r="I60" s="400">
        <v>0.111</v>
      </c>
      <c r="J60" s="400">
        <v>0.113</v>
      </c>
      <c r="K60" s="400">
        <v>0.115</v>
      </c>
    </row>
    <row r="61" spans="1:11">
      <c r="A61" s="403" t="s">
        <v>315</v>
      </c>
      <c r="B61" s="404">
        <v>758.44</v>
      </c>
      <c r="C61" s="404">
        <v>777.02499999999998</v>
      </c>
      <c r="D61" s="404">
        <v>797.89499999999998</v>
      </c>
      <c r="E61" s="404">
        <v>814.70799999999997</v>
      </c>
      <c r="F61" s="404">
        <v>830.971</v>
      </c>
      <c r="G61" s="404">
        <v>840.11300000000006</v>
      </c>
      <c r="H61" s="404">
        <v>858.077</v>
      </c>
      <c r="I61" s="404">
        <v>880.96299999999997</v>
      </c>
      <c r="J61" s="404">
        <v>910.74099999999999</v>
      </c>
      <c r="K61" s="404">
        <v>951.94200000000001</v>
      </c>
    </row>
    <row r="62" spans="1:11">
      <c r="A62" s="402" t="s">
        <v>316</v>
      </c>
      <c r="B62" s="400">
        <v>74.787000000000006</v>
      </c>
      <c r="C62" s="400">
        <v>193.34200000000001</v>
      </c>
      <c r="D62" s="400">
        <v>433.00799999999998</v>
      </c>
      <c r="E62" s="400">
        <v>474.30900000000003</v>
      </c>
      <c r="F62" s="400">
        <v>651.84400000000005</v>
      </c>
      <c r="G62" s="400">
        <v>706.25800000000004</v>
      </c>
      <c r="H62" s="400">
        <v>800.84100000000001</v>
      </c>
      <c r="I62" s="400">
        <v>782.12300000000005</v>
      </c>
      <c r="J62" s="400">
        <v>838.42200000000003</v>
      </c>
      <c r="K62" s="400">
        <v>1015.87</v>
      </c>
    </row>
    <row r="63" spans="1:11">
      <c r="A63" s="403" t="s">
        <v>317</v>
      </c>
      <c r="B63" s="410">
        <v>-43.149000000000001</v>
      </c>
      <c r="C63" s="404">
        <v>4.1449999999999996</v>
      </c>
      <c r="D63" s="404">
        <v>1.5780000000000001</v>
      </c>
      <c r="E63" s="404">
        <v>1.115</v>
      </c>
      <c r="F63" s="410">
        <v>-24.827000000000002</v>
      </c>
      <c r="G63" s="410">
        <v>-23.899000000000001</v>
      </c>
      <c r="H63" s="410">
        <v>-25.984000000000002</v>
      </c>
      <c r="I63" s="410">
        <v>-32.859000000000002</v>
      </c>
      <c r="J63" s="410">
        <v>-33.756999999999998</v>
      </c>
      <c r="K63" s="410">
        <v>-33.374000000000002</v>
      </c>
    </row>
    <row r="64" spans="1:11">
      <c r="A64" s="402" t="s">
        <v>318</v>
      </c>
      <c r="B64" s="400">
        <v>30.669</v>
      </c>
      <c r="C64" s="400">
        <v>36.765999999999998</v>
      </c>
      <c r="D64" s="407">
        <v>-5.4980000000000002</v>
      </c>
      <c r="E64" s="407">
        <v>-11.201000000000001</v>
      </c>
      <c r="F64" s="407">
        <v>-14.086</v>
      </c>
      <c r="G64" s="407">
        <v>-3.3559999999999999</v>
      </c>
      <c r="H64" s="400">
        <v>1.194</v>
      </c>
      <c r="I64" s="400">
        <v>3.7919999999999998</v>
      </c>
      <c r="J64" s="400">
        <v>5.875</v>
      </c>
      <c r="K64" s="400">
        <v>2.444</v>
      </c>
    </row>
    <row r="65" spans="1:11">
      <c r="A65" s="403" t="s">
        <v>319</v>
      </c>
      <c r="B65" s="404">
        <v>0</v>
      </c>
      <c r="C65" s="404">
        <v>0</v>
      </c>
      <c r="D65" s="404">
        <v>0</v>
      </c>
      <c r="E65" s="404">
        <v>0</v>
      </c>
      <c r="F65" s="404">
        <v>0</v>
      </c>
      <c r="G65" s="410">
        <v>-63.807000000000002</v>
      </c>
      <c r="H65" s="410">
        <v>-98.659000000000006</v>
      </c>
      <c r="I65" s="410">
        <v>-123.09099999999999</v>
      </c>
      <c r="J65" s="410">
        <v>-157.57</v>
      </c>
      <c r="K65" s="410">
        <v>-174.744</v>
      </c>
    </row>
    <row r="66" spans="1:11">
      <c r="A66" s="399" t="s">
        <v>320</v>
      </c>
      <c r="B66" s="400">
        <v>820.84699999999998</v>
      </c>
      <c r="C66" s="400">
        <v>1011.38</v>
      </c>
      <c r="D66" s="400">
        <v>1227.087</v>
      </c>
      <c r="E66" s="400">
        <v>1279.037</v>
      </c>
      <c r="F66" s="400">
        <v>1444.009</v>
      </c>
      <c r="G66" s="400">
        <v>1455.4169999999999</v>
      </c>
      <c r="H66" s="400">
        <v>1535.579</v>
      </c>
      <c r="I66" s="400">
        <v>1511.039</v>
      </c>
      <c r="J66" s="400">
        <v>1563.8240000000001</v>
      </c>
      <c r="K66" s="400">
        <v>1762.2529999999999</v>
      </c>
    </row>
    <row r="67" spans="1:11">
      <c r="A67" s="406" t="s">
        <v>321</v>
      </c>
      <c r="B67" s="404">
        <v>8.2780000000000005</v>
      </c>
      <c r="C67" s="404">
        <v>0</v>
      </c>
      <c r="D67" s="404">
        <v>0</v>
      </c>
      <c r="E67" s="404">
        <v>0</v>
      </c>
      <c r="F67" s="404">
        <v>0</v>
      </c>
      <c r="G67" s="404">
        <v>0</v>
      </c>
      <c r="H67" s="404">
        <v>0</v>
      </c>
      <c r="I67" s="404">
        <v>0</v>
      </c>
      <c r="J67" s="404">
        <v>0</v>
      </c>
      <c r="K67" s="404">
        <v>0</v>
      </c>
    </row>
    <row r="68" spans="1:11">
      <c r="A68" s="399" t="s">
        <v>322</v>
      </c>
      <c r="B68" s="400">
        <v>829.125</v>
      </c>
      <c r="C68" s="400">
        <v>1011.38</v>
      </c>
      <c r="D68" s="400">
        <v>1227.087</v>
      </c>
      <c r="E68" s="400">
        <v>1279.037</v>
      </c>
      <c r="F68" s="400">
        <v>1444.009</v>
      </c>
      <c r="G68" s="400">
        <v>1455.4169999999999</v>
      </c>
      <c r="H68" s="400">
        <v>1535.579</v>
      </c>
      <c r="I68" s="400">
        <v>1511.039</v>
      </c>
      <c r="J68" s="400">
        <v>1563.8240000000001</v>
      </c>
      <c r="K68" s="400">
        <v>1762.2529999999999</v>
      </c>
    </row>
    <row r="69" spans="1:11">
      <c r="A69" s="411" t="s">
        <v>323</v>
      </c>
      <c r="B69" s="404">
        <v>2500.076</v>
      </c>
      <c r="C69" s="404">
        <v>2781.8820000000001</v>
      </c>
      <c r="D69" s="404">
        <v>3457.5030000000002</v>
      </c>
      <c r="E69" s="404">
        <v>3560.933</v>
      </c>
      <c r="F69" s="404">
        <v>2895.944</v>
      </c>
      <c r="G69" s="404">
        <v>3025.547</v>
      </c>
      <c r="H69" s="404">
        <v>3323.6039999999998</v>
      </c>
      <c r="I69" s="404">
        <v>3323.663</v>
      </c>
      <c r="J69" s="404">
        <v>3472.4940000000001</v>
      </c>
      <c r="K69" s="404">
        <v>3840.3310000000001</v>
      </c>
    </row>
    <row r="70" spans="1:11">
      <c r="A70" s="395" t="s">
        <v>173</v>
      </c>
      <c r="B70" s="395"/>
      <c r="C70" s="395"/>
      <c r="D70" s="395"/>
      <c r="E70" s="395"/>
      <c r="F70" s="395"/>
      <c r="G70" s="395"/>
      <c r="H70" s="395"/>
      <c r="I70" s="395"/>
      <c r="J70" s="395"/>
      <c r="K70" s="395"/>
    </row>
    <row r="71" spans="1:11">
      <c r="A71" s="411" t="s">
        <v>324</v>
      </c>
      <c r="B71" s="415">
        <v>8.1760900000000003</v>
      </c>
      <c r="C71" s="415">
        <v>9.9330200000000008</v>
      </c>
      <c r="D71" s="415">
        <v>11.834530000000001</v>
      </c>
      <c r="E71" s="415">
        <v>12.12242</v>
      </c>
      <c r="F71" s="415">
        <v>13.524480000000001</v>
      </c>
      <c r="G71" s="415">
        <v>14.05752</v>
      </c>
      <c r="H71" s="415">
        <v>15.02112</v>
      </c>
      <c r="I71" s="415">
        <v>14.798439999999999</v>
      </c>
      <c r="J71" s="415">
        <v>15.33206</v>
      </c>
      <c r="K71" s="415">
        <v>17.046530000000001</v>
      </c>
    </row>
    <row r="72" spans="1:11">
      <c r="A72" s="412" t="s">
        <v>325</v>
      </c>
      <c r="B72" s="413">
        <v>3.2035640000000001</v>
      </c>
      <c r="C72" s="413">
        <v>5.2628069999999996</v>
      </c>
      <c r="D72" s="413">
        <v>0.81127800000000005</v>
      </c>
      <c r="E72" s="413">
        <v>2.3394279999999998</v>
      </c>
      <c r="F72" s="413">
        <v>4.9206519999999996</v>
      </c>
      <c r="G72" s="413">
        <v>5.5844509999999996</v>
      </c>
      <c r="H72" s="413">
        <v>4.764888</v>
      </c>
      <c r="I72" s="413">
        <v>5.5979260000000002</v>
      </c>
      <c r="J72" s="413">
        <v>6.8812810000000004</v>
      </c>
      <c r="K72" s="413">
        <v>9.0656320000000008</v>
      </c>
    </row>
    <row r="73" spans="1:11">
      <c r="A73" s="417" t="s">
        <v>181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83BC-F10F-304B-A361-F5C352C1C0BE}">
  <sheetPr>
    <outlinePr summaryBelow="0" summaryRight="0"/>
  </sheetPr>
  <dimension ref="A1:L56"/>
  <sheetViews>
    <sheetView workbookViewId="0">
      <selection activeCell="B19" sqref="B19"/>
    </sheetView>
  </sheetViews>
  <sheetFormatPr baseColWidth="10" defaultColWidth="9.1640625" defaultRowHeight="15" customHeight="1" outlineLevelRow="3"/>
  <cols>
    <col min="1" max="1" width="50.33203125" style="237" customWidth="1"/>
    <col min="2" max="11" width="8" style="237" customWidth="1"/>
    <col min="12" max="12" width="7.83203125" style="237" customWidth="1"/>
    <col min="13" max="16384" width="9.1640625" style="237"/>
  </cols>
  <sheetData>
    <row r="1" spans="1:12" ht="15" customHeight="1">
      <c r="A1" s="236" t="s">
        <v>139</v>
      </c>
    </row>
    <row r="2" spans="1:12" ht="15" customHeight="1">
      <c r="A2" s="238" t="s">
        <v>140</v>
      </c>
    </row>
    <row r="3" spans="1:12" ht="15" customHeight="1">
      <c r="A3" s="239"/>
      <c r="B3" s="239"/>
      <c r="C3" s="239"/>
      <c r="D3" s="239"/>
      <c r="E3" s="239"/>
      <c r="F3" s="239"/>
      <c r="G3" s="239"/>
      <c r="H3" s="239"/>
      <c r="I3" s="239"/>
      <c r="J3" s="239"/>
      <c r="K3" s="239"/>
      <c r="L3" s="239"/>
    </row>
    <row r="5" spans="1:12" ht="15" customHeight="1">
      <c r="A5" s="394" t="s">
        <v>248</v>
      </c>
      <c r="B5" s="394"/>
      <c r="C5" s="394"/>
      <c r="D5" s="394"/>
      <c r="E5" s="394"/>
      <c r="F5" s="394"/>
      <c r="G5" s="394"/>
      <c r="H5" s="394"/>
      <c r="I5" s="394"/>
      <c r="J5" s="394"/>
      <c r="K5" s="394"/>
      <c r="L5" s="443"/>
    </row>
    <row r="6" spans="1:12" ht="15" customHeight="1">
      <c r="A6" s="394" t="s">
        <v>249</v>
      </c>
      <c r="B6" s="394"/>
      <c r="C6" s="394"/>
      <c r="D6" s="394"/>
      <c r="E6" s="394"/>
      <c r="F6" s="394"/>
      <c r="G6" s="394"/>
      <c r="H6" s="394"/>
      <c r="I6" s="394"/>
      <c r="J6" s="394"/>
      <c r="K6" s="394"/>
      <c r="L6" s="443"/>
    </row>
    <row r="7" spans="1:12" ht="15" customHeight="1">
      <c r="A7" s="394" t="s">
        <v>141</v>
      </c>
      <c r="B7" s="394"/>
      <c r="C7" s="394"/>
      <c r="D7" s="394"/>
      <c r="E7" s="394"/>
      <c r="F7" s="394"/>
      <c r="G7" s="394"/>
      <c r="H7" s="394"/>
      <c r="I7" s="394"/>
      <c r="J7" s="394"/>
      <c r="K7" s="394"/>
      <c r="L7" s="443"/>
    </row>
    <row r="8" spans="1:12" ht="15" customHeight="1">
      <c r="A8" s="394"/>
      <c r="B8" s="394" t="s">
        <v>142</v>
      </c>
      <c r="C8" s="394" t="s">
        <v>143</v>
      </c>
      <c r="D8" s="394" t="s">
        <v>144</v>
      </c>
      <c r="E8" s="394" t="s">
        <v>145</v>
      </c>
      <c r="F8" s="394" t="s">
        <v>146</v>
      </c>
      <c r="G8" s="394" t="s">
        <v>147</v>
      </c>
      <c r="H8" s="394" t="s">
        <v>148</v>
      </c>
      <c r="I8" s="394" t="s">
        <v>149</v>
      </c>
      <c r="J8" s="394" t="s">
        <v>251</v>
      </c>
      <c r="K8" s="394" t="s">
        <v>250</v>
      </c>
      <c r="L8" s="443"/>
    </row>
    <row r="9" spans="1:12" ht="15" customHeight="1">
      <c r="A9" s="394"/>
      <c r="B9" s="394"/>
      <c r="C9" s="394"/>
      <c r="D9" s="394"/>
      <c r="E9" s="394" t="s">
        <v>150</v>
      </c>
      <c r="F9" s="394"/>
      <c r="G9" s="394"/>
      <c r="H9" s="394"/>
      <c r="I9" s="394"/>
      <c r="J9" s="394"/>
      <c r="K9" s="394"/>
      <c r="L9" s="443"/>
    </row>
    <row r="10" spans="1:12" ht="15" customHeight="1">
      <c r="A10" s="395" t="s">
        <v>182</v>
      </c>
      <c r="B10" s="395"/>
      <c r="C10" s="395"/>
      <c r="D10" s="395"/>
      <c r="E10" s="395"/>
      <c r="F10" s="395"/>
      <c r="G10" s="395"/>
      <c r="H10" s="395"/>
      <c r="I10" s="395"/>
      <c r="J10" s="395"/>
      <c r="K10" s="395"/>
      <c r="L10" s="443"/>
    </row>
    <row r="11" spans="1:12" ht="15" customHeight="1">
      <c r="A11" s="411" t="s">
        <v>183</v>
      </c>
      <c r="B11" s="415">
        <v>35.575000000000003</v>
      </c>
      <c r="C11" s="415">
        <v>123.70099999999999</v>
      </c>
      <c r="D11" s="415">
        <v>173.584</v>
      </c>
      <c r="E11" s="415">
        <v>41.301000000000002</v>
      </c>
      <c r="F11" s="415">
        <v>177.535</v>
      </c>
      <c r="G11" s="415">
        <v>54.414000000000001</v>
      </c>
      <c r="H11" s="415">
        <v>94.582999999999998</v>
      </c>
      <c r="I11" s="441">
        <v>-18.718</v>
      </c>
      <c r="J11" s="415">
        <v>56.298999999999999</v>
      </c>
      <c r="K11" s="415">
        <v>177.44800000000001</v>
      </c>
      <c r="L11" s="444"/>
    </row>
    <row r="12" spans="1:12" ht="15" customHeight="1" outlineLevel="1">
      <c r="A12" s="408" t="s">
        <v>184</v>
      </c>
      <c r="B12" s="416">
        <v>180.48099999999999</v>
      </c>
      <c r="C12" s="416">
        <v>174.44300000000001</v>
      </c>
      <c r="D12" s="416">
        <v>225.577</v>
      </c>
      <c r="E12" s="416">
        <v>219.87</v>
      </c>
      <c r="F12" s="416">
        <v>166.12899999999999</v>
      </c>
      <c r="G12" s="416">
        <v>127.331</v>
      </c>
      <c r="H12" s="416">
        <v>133.90700000000001</v>
      </c>
      <c r="I12" s="416">
        <v>160.73099999999999</v>
      </c>
      <c r="J12" s="416">
        <v>150.125</v>
      </c>
      <c r="K12" s="416">
        <v>147.17099999999999</v>
      </c>
      <c r="L12" s="445"/>
    </row>
    <row r="13" spans="1:12" ht="15" customHeight="1" outlineLevel="1">
      <c r="A13" s="406" t="s">
        <v>185</v>
      </c>
      <c r="B13" s="415">
        <v>156.22900000000001</v>
      </c>
      <c r="C13" s="415">
        <v>150.809</v>
      </c>
      <c r="D13" s="415">
        <v>162.55099999999999</v>
      </c>
      <c r="E13" s="415">
        <v>166.57400000000001</v>
      </c>
      <c r="F13" s="415">
        <v>120.947</v>
      </c>
      <c r="G13" s="415">
        <v>85.941999999999993</v>
      </c>
      <c r="H13" s="415">
        <v>91.275999999999996</v>
      </c>
      <c r="I13" s="415">
        <v>99.155000000000001</v>
      </c>
      <c r="J13" s="415">
        <v>105.233</v>
      </c>
      <c r="K13" s="415">
        <v>110.274</v>
      </c>
      <c r="L13" s="446"/>
    </row>
    <row r="14" spans="1:12" ht="15" customHeight="1" outlineLevel="2">
      <c r="A14" s="399" t="s">
        <v>326</v>
      </c>
      <c r="B14" s="413">
        <v>24.251999999999999</v>
      </c>
      <c r="C14" s="413">
        <v>23.634</v>
      </c>
      <c r="D14" s="413">
        <v>63.026000000000003</v>
      </c>
      <c r="E14" s="413">
        <v>53.295999999999999</v>
      </c>
      <c r="F14" s="413">
        <v>45.182000000000002</v>
      </c>
      <c r="G14" s="413">
        <v>41.389000000000003</v>
      </c>
      <c r="H14" s="413">
        <v>42.631</v>
      </c>
      <c r="I14" s="413">
        <v>61.576000000000001</v>
      </c>
      <c r="J14" s="413">
        <v>44.892000000000003</v>
      </c>
      <c r="K14" s="413">
        <v>36.896999999999998</v>
      </c>
      <c r="L14" s="445"/>
    </row>
    <row r="15" spans="1:12" ht="15" customHeight="1" outlineLevel="1">
      <c r="A15" s="397" t="s">
        <v>186</v>
      </c>
      <c r="B15" s="414">
        <v>0.9</v>
      </c>
      <c r="C15" s="414">
        <v>-9.19</v>
      </c>
      <c r="D15" s="414">
        <v>-98.290999999999997</v>
      </c>
      <c r="E15" s="414">
        <v>-12.454000000000001</v>
      </c>
      <c r="F15" s="414">
        <v>6.6529999999999996</v>
      </c>
      <c r="G15" s="414">
        <v>9.7449999999999992</v>
      </c>
      <c r="H15" s="414">
        <v>61.304000000000002</v>
      </c>
      <c r="I15" s="414">
        <v>-11.347</v>
      </c>
      <c r="J15" s="414">
        <v>-1.722</v>
      </c>
      <c r="K15" s="414">
        <v>3.3490000000000002</v>
      </c>
      <c r="L15" s="446"/>
    </row>
    <row r="16" spans="1:12" ht="15" customHeight="1" outlineLevel="2">
      <c r="A16" s="399" t="s">
        <v>187</v>
      </c>
      <c r="B16" s="413">
        <v>0.9</v>
      </c>
      <c r="C16" s="442">
        <v>-9.19</v>
      </c>
      <c r="D16" s="442">
        <v>-98.290999999999997</v>
      </c>
      <c r="E16" s="442">
        <v>-12.454000000000001</v>
      </c>
      <c r="F16" s="413">
        <v>6.6529999999999996</v>
      </c>
      <c r="G16" s="413">
        <v>9.7449999999999992</v>
      </c>
      <c r="H16" s="413">
        <v>61.304000000000002</v>
      </c>
      <c r="I16" s="442">
        <v>-11.347</v>
      </c>
      <c r="J16" s="442">
        <v>-1.722</v>
      </c>
      <c r="K16" s="413">
        <v>3.3490000000000002</v>
      </c>
      <c r="L16" s="447"/>
    </row>
    <row r="17" spans="1:12" ht="15" customHeight="1" outlineLevel="1">
      <c r="A17" s="411" t="s">
        <v>188</v>
      </c>
      <c r="B17" s="415">
        <v>76.623999999999995</v>
      </c>
      <c r="C17" s="415">
        <v>41.036000000000001</v>
      </c>
      <c r="D17" s="415">
        <v>31.736000000000001</v>
      </c>
      <c r="E17" s="415">
        <v>27.135999999999999</v>
      </c>
      <c r="F17" s="441">
        <v>-132.56100000000001</v>
      </c>
      <c r="G17" s="415">
        <v>25.388000000000002</v>
      </c>
      <c r="H17" s="441">
        <v>-35.305999999999997</v>
      </c>
      <c r="I17" s="415">
        <v>68.56</v>
      </c>
      <c r="J17" s="415">
        <v>62.523000000000003</v>
      </c>
      <c r="K17" s="415">
        <v>49.201000000000001</v>
      </c>
      <c r="L17" s="445"/>
    </row>
    <row r="18" spans="1:12" ht="15" customHeight="1" outlineLevel="1">
      <c r="A18" s="412" t="s">
        <v>189</v>
      </c>
      <c r="B18" s="413">
        <v>293.58</v>
      </c>
      <c r="C18" s="413">
        <v>329.99</v>
      </c>
      <c r="D18" s="413">
        <v>332.60599999999999</v>
      </c>
      <c r="E18" s="413">
        <v>275.85300000000001</v>
      </c>
      <c r="F18" s="413">
        <v>217.756</v>
      </c>
      <c r="G18" s="413">
        <v>216.87799999999999</v>
      </c>
      <c r="H18" s="413">
        <v>254.488</v>
      </c>
      <c r="I18" s="413">
        <v>199.226</v>
      </c>
      <c r="J18" s="413">
        <v>267.22500000000002</v>
      </c>
      <c r="K18" s="413">
        <v>377.16899999999998</v>
      </c>
      <c r="L18" s="445"/>
    </row>
    <row r="19" spans="1:12" ht="15" customHeight="1" outlineLevel="1">
      <c r="A19" s="397" t="s">
        <v>190</v>
      </c>
      <c r="B19" s="414">
        <v>4.7560000000000002</v>
      </c>
      <c r="C19" s="414">
        <v>2.7650000000000001</v>
      </c>
      <c r="D19" s="414">
        <v>-59.468000000000004</v>
      </c>
      <c r="E19" s="414">
        <v>34.280999999999999</v>
      </c>
      <c r="F19" s="414">
        <v>69.42</v>
      </c>
      <c r="G19" s="414">
        <v>-40.246000000000002</v>
      </c>
      <c r="H19" s="414">
        <v>18.385000000000002</v>
      </c>
      <c r="I19" s="414">
        <v>-11.942</v>
      </c>
      <c r="J19" s="414">
        <v>-30.331</v>
      </c>
      <c r="K19" s="414">
        <v>-85.287000000000006</v>
      </c>
      <c r="L19" s="446"/>
    </row>
    <row r="20" spans="1:12" ht="15" customHeight="1" outlineLevel="2">
      <c r="A20" s="399" t="s">
        <v>191</v>
      </c>
      <c r="B20" s="413">
        <v>23.212</v>
      </c>
      <c r="C20" s="442">
        <v>-51.115000000000002</v>
      </c>
      <c r="D20" s="442">
        <v>-2.1360000000000001</v>
      </c>
      <c r="E20" s="413">
        <v>19.007000000000001</v>
      </c>
      <c r="F20" s="413">
        <v>97.453999999999994</v>
      </c>
      <c r="G20" s="442">
        <v>-56.847999999999999</v>
      </c>
      <c r="H20" s="442">
        <v>-20.204000000000001</v>
      </c>
      <c r="I20" s="413">
        <v>92.525000000000006</v>
      </c>
      <c r="J20" s="442">
        <v>-124.386</v>
      </c>
      <c r="K20" s="442">
        <v>-201.75399999999999</v>
      </c>
      <c r="L20" s="447"/>
    </row>
    <row r="21" spans="1:12" ht="15" customHeight="1" outlineLevel="2">
      <c r="A21" s="406" t="s">
        <v>192</v>
      </c>
      <c r="B21" s="441">
        <v>-0.28899999999999998</v>
      </c>
      <c r="C21" s="441">
        <v>-25.376000000000001</v>
      </c>
      <c r="D21" s="415">
        <v>18.254000000000001</v>
      </c>
      <c r="E21" s="441">
        <v>-12.641999999999999</v>
      </c>
      <c r="F21" s="415">
        <v>1.38</v>
      </c>
      <c r="G21" s="441">
        <v>-11.961</v>
      </c>
      <c r="H21" s="441">
        <v>-4.4109999999999996</v>
      </c>
      <c r="I21" s="441">
        <v>-45.392000000000003</v>
      </c>
      <c r="J21" s="441">
        <v>-11.91</v>
      </c>
      <c r="K21" s="441">
        <v>-25.071999999999999</v>
      </c>
      <c r="L21" s="445"/>
    </row>
    <row r="22" spans="1:12" ht="15" customHeight="1" outlineLevel="2">
      <c r="A22" s="399" t="s">
        <v>193</v>
      </c>
      <c r="B22" s="442">
        <v>-7.7960000000000003</v>
      </c>
      <c r="C22" s="413">
        <v>54.601999999999997</v>
      </c>
      <c r="D22" s="442">
        <v>-45.738999999999997</v>
      </c>
      <c r="E22" s="413">
        <v>42.045000000000002</v>
      </c>
      <c r="F22" s="413">
        <v>1.21</v>
      </c>
      <c r="G22" s="413">
        <v>40.951000000000001</v>
      </c>
      <c r="H22" s="442">
        <v>-14.804</v>
      </c>
      <c r="I22" s="442">
        <v>-34.582000000000001</v>
      </c>
      <c r="J22" s="413">
        <v>49.719000000000001</v>
      </c>
      <c r="K22" s="413">
        <v>138.971</v>
      </c>
      <c r="L22" s="445"/>
    </row>
    <row r="23" spans="1:12" ht="15" customHeight="1" outlineLevel="2">
      <c r="A23" s="406" t="s">
        <v>194</v>
      </c>
      <c r="B23" s="441">
        <v>-13.977</v>
      </c>
      <c r="C23" s="415">
        <v>26.658999999999999</v>
      </c>
      <c r="D23" s="441">
        <v>-30.488</v>
      </c>
      <c r="E23" s="415">
        <v>3.77</v>
      </c>
      <c r="F23" s="415">
        <v>7.94</v>
      </c>
      <c r="G23" s="441">
        <v>-7.8220000000000001</v>
      </c>
      <c r="H23" s="415">
        <v>15.462</v>
      </c>
      <c r="I23" s="441">
        <v>-16.446999999999999</v>
      </c>
      <c r="J23" s="415">
        <v>9.5879999999999992</v>
      </c>
      <c r="K23" s="415">
        <v>24.038</v>
      </c>
      <c r="L23" s="445"/>
    </row>
    <row r="24" spans="1:12" ht="15" customHeight="1" outlineLevel="2">
      <c r="A24" s="399" t="s">
        <v>195</v>
      </c>
      <c r="B24" s="413">
        <v>3.6059999999999999</v>
      </c>
      <c r="C24" s="442">
        <v>-2.0049999999999999</v>
      </c>
      <c r="D24" s="413">
        <v>0.64100000000000001</v>
      </c>
      <c r="E24" s="442">
        <v>-17.899000000000001</v>
      </c>
      <c r="F24" s="442">
        <v>-38.564</v>
      </c>
      <c r="G24" s="442">
        <v>-4.5659999999999998</v>
      </c>
      <c r="H24" s="413">
        <v>42.341999999999999</v>
      </c>
      <c r="I24" s="442">
        <v>-8.0459999999999994</v>
      </c>
      <c r="J24" s="413">
        <v>46.658000000000001</v>
      </c>
      <c r="K24" s="442">
        <v>-21.47</v>
      </c>
      <c r="L24" s="447"/>
    </row>
    <row r="25" spans="1:12" ht="15" customHeight="1" outlineLevel="1">
      <c r="A25" s="411" t="s">
        <v>196</v>
      </c>
      <c r="B25" s="415">
        <v>298.33600000000001</v>
      </c>
      <c r="C25" s="415">
        <v>332.755</v>
      </c>
      <c r="D25" s="415">
        <v>273.13799999999998</v>
      </c>
      <c r="E25" s="415">
        <v>310.13400000000001</v>
      </c>
      <c r="F25" s="415">
        <v>287.17599999999999</v>
      </c>
      <c r="G25" s="415">
        <v>176.63200000000001</v>
      </c>
      <c r="H25" s="415">
        <v>272.87299999999999</v>
      </c>
      <c r="I25" s="415">
        <v>187.28399999999999</v>
      </c>
      <c r="J25" s="415">
        <v>236.89400000000001</v>
      </c>
      <c r="K25" s="415">
        <v>291.88200000000001</v>
      </c>
      <c r="L25" s="445"/>
    </row>
    <row r="26" spans="1:12" ht="15" customHeight="1">
      <c r="A26" s="395" t="s">
        <v>197</v>
      </c>
      <c r="B26" s="395"/>
      <c r="C26" s="395"/>
      <c r="D26" s="395"/>
      <c r="E26" s="395"/>
      <c r="F26" s="395"/>
      <c r="G26" s="395"/>
      <c r="H26" s="395"/>
      <c r="I26" s="395"/>
      <c r="J26" s="395"/>
      <c r="K26" s="395"/>
      <c r="L26" s="444"/>
    </row>
    <row r="27" spans="1:12" ht="15" customHeight="1" outlineLevel="1">
      <c r="A27" s="397" t="s">
        <v>198</v>
      </c>
      <c r="B27" s="398">
        <v>-85.138999999999996</v>
      </c>
      <c r="C27" s="398">
        <v>-151.345</v>
      </c>
      <c r="D27" s="398">
        <v>-150.12700000000001</v>
      </c>
      <c r="E27" s="398">
        <v>-142.57599999999999</v>
      </c>
      <c r="F27" s="398">
        <v>-103.289</v>
      </c>
      <c r="G27" s="398">
        <v>-81.950999999999993</v>
      </c>
      <c r="H27" s="398">
        <v>-102.884</v>
      </c>
      <c r="I27" s="398">
        <v>-160.24199999999999</v>
      </c>
      <c r="J27" s="398">
        <v>-185.739</v>
      </c>
      <c r="K27" s="398">
        <v>-292.565</v>
      </c>
      <c r="L27" s="446"/>
    </row>
    <row r="28" spans="1:12" ht="15" customHeight="1" outlineLevel="2">
      <c r="A28" s="399" t="s">
        <v>199</v>
      </c>
      <c r="B28" s="407">
        <v>-85.138999999999996</v>
      </c>
      <c r="C28" s="407">
        <v>-151.345</v>
      </c>
      <c r="D28" s="407">
        <v>-150.12700000000001</v>
      </c>
      <c r="E28" s="407">
        <v>-142.57599999999999</v>
      </c>
      <c r="F28" s="407">
        <v>-103.289</v>
      </c>
      <c r="G28" s="407">
        <v>-81.950999999999993</v>
      </c>
      <c r="H28" s="407">
        <v>-102.884</v>
      </c>
      <c r="I28" s="407">
        <v>-160.24199999999999</v>
      </c>
      <c r="J28" s="407">
        <v>-185.739</v>
      </c>
      <c r="K28" s="407">
        <v>-292.565</v>
      </c>
      <c r="L28" s="447"/>
    </row>
    <row r="29" spans="1:12" ht="15" customHeight="1" outlineLevel="1">
      <c r="A29" s="411" t="s">
        <v>327</v>
      </c>
      <c r="B29" s="404">
        <v>0</v>
      </c>
      <c r="C29" s="410">
        <v>-8.5679999999999996</v>
      </c>
      <c r="D29" s="410">
        <v>-596.39599999999996</v>
      </c>
      <c r="E29" s="404">
        <v>0</v>
      </c>
      <c r="F29" s="404">
        <v>0</v>
      </c>
      <c r="G29" s="404">
        <v>0</v>
      </c>
      <c r="H29" s="410">
        <v>-298.339</v>
      </c>
      <c r="I29" s="404">
        <v>0</v>
      </c>
      <c r="J29" s="404">
        <v>0</v>
      </c>
      <c r="K29" s="404">
        <v>0</v>
      </c>
      <c r="L29" s="445"/>
    </row>
    <row r="30" spans="1:12" ht="15" customHeight="1" outlineLevel="1">
      <c r="A30" s="412" t="s">
        <v>200</v>
      </c>
      <c r="B30" s="400">
        <v>3.641</v>
      </c>
      <c r="C30" s="400">
        <v>27.254999999999999</v>
      </c>
      <c r="D30" s="400">
        <v>0.33100000000000002</v>
      </c>
      <c r="E30" s="400">
        <v>6.6040000000000001</v>
      </c>
      <c r="F30" s="400">
        <v>508.20400000000001</v>
      </c>
      <c r="G30" s="400">
        <v>1.427</v>
      </c>
      <c r="H30" s="400">
        <v>6.01</v>
      </c>
      <c r="I30" s="400">
        <v>68.313000000000002</v>
      </c>
      <c r="J30" s="400">
        <v>39.604999999999997</v>
      </c>
      <c r="K30" s="400">
        <v>18.625</v>
      </c>
      <c r="L30" s="446"/>
    </row>
    <row r="31" spans="1:12" ht="15" customHeight="1" outlineLevel="2">
      <c r="A31" s="397" t="s">
        <v>201</v>
      </c>
      <c r="B31" s="398">
        <v>0</v>
      </c>
      <c r="C31" s="398">
        <v>0</v>
      </c>
      <c r="D31" s="398">
        <v>0</v>
      </c>
      <c r="E31" s="398">
        <v>0</v>
      </c>
      <c r="F31" s="398">
        <v>0</v>
      </c>
      <c r="G31" s="398">
        <v>-3.1880000000000002</v>
      </c>
      <c r="H31" s="398">
        <v>0</v>
      </c>
      <c r="I31" s="398">
        <v>0</v>
      </c>
      <c r="J31" s="398">
        <v>0</v>
      </c>
      <c r="K31" s="398">
        <v>0</v>
      </c>
      <c r="L31" s="445"/>
    </row>
    <row r="32" spans="1:12" ht="15" customHeight="1" outlineLevel="2">
      <c r="A32" s="399" t="s">
        <v>202</v>
      </c>
      <c r="B32" s="405"/>
      <c r="C32" s="400">
        <v>0</v>
      </c>
      <c r="D32" s="400">
        <v>0</v>
      </c>
      <c r="E32" s="400">
        <v>0</v>
      </c>
      <c r="F32" s="400">
        <v>0</v>
      </c>
      <c r="G32" s="400">
        <v>3.1880000000000002</v>
      </c>
      <c r="H32" s="400">
        <v>0</v>
      </c>
      <c r="I32" s="400">
        <v>0</v>
      </c>
      <c r="J32" s="400">
        <v>0</v>
      </c>
      <c r="K32" s="400">
        <v>0</v>
      </c>
      <c r="L32" s="445"/>
    </row>
    <row r="33" spans="1:12" ht="15" customHeight="1" outlineLevel="1">
      <c r="A33" s="397" t="s">
        <v>188</v>
      </c>
      <c r="B33" s="398">
        <v>0</v>
      </c>
      <c r="C33" s="398">
        <v>0</v>
      </c>
      <c r="D33" s="398">
        <v>0</v>
      </c>
      <c r="E33" s="398">
        <v>0</v>
      </c>
      <c r="F33" s="398">
        <v>-0.623</v>
      </c>
      <c r="G33" s="398">
        <v>-0.43099999999999999</v>
      </c>
      <c r="H33" s="398">
        <v>-0.245</v>
      </c>
      <c r="I33" s="398">
        <v>-0.10100000000000001</v>
      </c>
      <c r="J33" s="398">
        <v>-7.5999999999999998E-2</v>
      </c>
      <c r="K33" s="398">
        <v>0</v>
      </c>
      <c r="L33" s="447"/>
    </row>
    <row r="34" spans="1:12" ht="15" customHeight="1">
      <c r="A34" s="399" t="s">
        <v>208</v>
      </c>
      <c r="B34" s="400">
        <v>0</v>
      </c>
      <c r="C34" s="400">
        <v>0</v>
      </c>
      <c r="D34" s="400">
        <v>0</v>
      </c>
      <c r="E34" s="400">
        <v>0</v>
      </c>
      <c r="F34" s="407">
        <v>-0.623</v>
      </c>
      <c r="G34" s="407">
        <v>-0.43099999999999999</v>
      </c>
      <c r="H34" s="407">
        <v>-0.245</v>
      </c>
      <c r="I34" s="407">
        <v>-0.10100000000000001</v>
      </c>
      <c r="J34" s="407">
        <v>-7.5999999999999998E-2</v>
      </c>
      <c r="K34" s="400">
        <v>0</v>
      </c>
      <c r="L34" s="444"/>
    </row>
    <row r="35" spans="1:12" ht="15" customHeight="1" outlineLevel="1">
      <c r="A35" s="411" t="s">
        <v>203</v>
      </c>
      <c r="B35" s="410">
        <v>-81.498000000000005</v>
      </c>
      <c r="C35" s="410">
        <v>-132.65799999999999</v>
      </c>
      <c r="D35" s="410">
        <v>-746.19200000000001</v>
      </c>
      <c r="E35" s="410">
        <v>-135.97200000000001</v>
      </c>
      <c r="F35" s="404">
        <v>404.29199999999997</v>
      </c>
      <c r="G35" s="410">
        <v>-84.143000000000001</v>
      </c>
      <c r="H35" s="410">
        <v>-395.45800000000003</v>
      </c>
      <c r="I35" s="410">
        <v>-92.03</v>
      </c>
      <c r="J35" s="410">
        <v>-146.21</v>
      </c>
      <c r="K35" s="410">
        <v>-273.94</v>
      </c>
      <c r="L35" s="446"/>
    </row>
    <row r="36" spans="1:12" ht="15" customHeight="1" outlineLevel="2">
      <c r="A36" s="395" t="s">
        <v>204</v>
      </c>
      <c r="B36" s="395"/>
      <c r="C36" s="395"/>
      <c r="D36" s="395"/>
      <c r="E36" s="395"/>
      <c r="F36" s="395"/>
      <c r="G36" s="395"/>
      <c r="H36" s="395"/>
      <c r="I36" s="395"/>
      <c r="J36" s="395"/>
      <c r="K36" s="395"/>
      <c r="L36" s="447"/>
    </row>
    <row r="37" spans="1:12" ht="15" customHeight="1" outlineLevel="2">
      <c r="A37" s="397" t="s">
        <v>205</v>
      </c>
      <c r="B37" s="398">
        <v>1.7430000000000001</v>
      </c>
      <c r="C37" s="398">
        <v>7.3999999999999996E-2</v>
      </c>
      <c r="D37" s="398">
        <v>0.191</v>
      </c>
      <c r="E37" s="398">
        <v>0</v>
      </c>
      <c r="F37" s="398">
        <v>0.191</v>
      </c>
      <c r="G37" s="398">
        <v>-64.725999999999999</v>
      </c>
      <c r="H37" s="398">
        <v>-35.423999999999999</v>
      </c>
      <c r="I37" s="398">
        <v>-24.431999999999999</v>
      </c>
      <c r="J37" s="398">
        <v>-34.478999999999999</v>
      </c>
      <c r="K37" s="398">
        <v>-17.638999999999999</v>
      </c>
      <c r="L37" s="446"/>
    </row>
    <row r="38" spans="1:12" ht="15" customHeight="1" outlineLevel="3">
      <c r="A38" s="399" t="s">
        <v>206</v>
      </c>
      <c r="B38" s="400">
        <v>0</v>
      </c>
      <c r="C38" s="400">
        <v>0</v>
      </c>
      <c r="D38" s="400">
        <v>0</v>
      </c>
      <c r="E38" s="400">
        <v>0</v>
      </c>
      <c r="F38" s="400">
        <v>0</v>
      </c>
      <c r="G38" s="407">
        <v>-64.725999999999999</v>
      </c>
      <c r="H38" s="407">
        <v>-35.423999999999999</v>
      </c>
      <c r="I38" s="407">
        <v>-24.431999999999999</v>
      </c>
      <c r="J38" s="407">
        <v>-34.478999999999999</v>
      </c>
      <c r="K38" s="407">
        <v>-17.875</v>
      </c>
      <c r="L38" s="447"/>
    </row>
    <row r="39" spans="1:12" ht="15" customHeight="1" outlineLevel="1">
      <c r="A39" s="401" t="s">
        <v>207</v>
      </c>
      <c r="B39" s="398">
        <v>1.7430000000000001</v>
      </c>
      <c r="C39" s="398">
        <v>7.3999999999999996E-2</v>
      </c>
      <c r="D39" s="398">
        <v>0.191</v>
      </c>
      <c r="E39" s="398">
        <v>0</v>
      </c>
      <c r="F39" s="398">
        <v>0.191</v>
      </c>
      <c r="G39" s="398">
        <v>0</v>
      </c>
      <c r="H39" s="398">
        <v>0</v>
      </c>
      <c r="I39" s="398">
        <v>0</v>
      </c>
      <c r="J39" s="398">
        <v>0</v>
      </c>
      <c r="K39" s="398">
        <v>0.23599999999999999</v>
      </c>
      <c r="L39" s="446"/>
    </row>
    <row r="40" spans="1:12" ht="15" customHeight="1" outlineLevel="2">
      <c r="A40" s="402" t="s">
        <v>328</v>
      </c>
      <c r="B40" s="400">
        <v>1.7430000000000001</v>
      </c>
      <c r="C40" s="400">
        <v>7.3999999999999996E-2</v>
      </c>
      <c r="D40" s="400">
        <v>0.191</v>
      </c>
      <c r="E40" s="400">
        <v>0</v>
      </c>
      <c r="F40" s="400">
        <v>0.191</v>
      </c>
      <c r="G40" s="400">
        <v>0</v>
      </c>
      <c r="H40" s="400">
        <v>0</v>
      </c>
      <c r="I40" s="400">
        <v>0</v>
      </c>
      <c r="J40" s="400">
        <v>0</v>
      </c>
      <c r="K40" s="400">
        <v>0.23599999999999999</v>
      </c>
      <c r="L40" s="447"/>
    </row>
    <row r="41" spans="1:12" ht="15" customHeight="1" outlineLevel="2">
      <c r="A41" s="397" t="s">
        <v>329</v>
      </c>
      <c r="B41" s="398">
        <v>-215.322</v>
      </c>
      <c r="C41" s="398">
        <v>-48.731999999999999</v>
      </c>
      <c r="D41" s="398">
        <v>322.36500000000001</v>
      </c>
      <c r="E41" s="398">
        <v>-30.01</v>
      </c>
      <c r="F41" s="398">
        <v>-649.97500000000002</v>
      </c>
      <c r="G41" s="398">
        <v>68.201999999999998</v>
      </c>
      <c r="H41" s="398">
        <v>0</v>
      </c>
      <c r="I41" s="398">
        <v>-12.241</v>
      </c>
      <c r="J41" s="398">
        <v>-2.3420000000000001</v>
      </c>
      <c r="K41" s="398">
        <v>-3.7949999999999999</v>
      </c>
      <c r="L41" s="445"/>
    </row>
    <row r="42" spans="1:12" ht="15" customHeight="1" outlineLevel="1">
      <c r="A42" s="399" t="s">
        <v>330</v>
      </c>
      <c r="B42" s="400">
        <v>3.53</v>
      </c>
      <c r="C42" s="400">
        <v>0</v>
      </c>
      <c r="D42" s="400">
        <v>0</v>
      </c>
      <c r="E42" s="400">
        <v>0</v>
      </c>
      <c r="F42" s="400">
        <v>0</v>
      </c>
      <c r="G42" s="400">
        <v>0</v>
      </c>
      <c r="H42" s="400">
        <v>0</v>
      </c>
      <c r="I42" s="400">
        <v>0</v>
      </c>
      <c r="J42" s="400">
        <v>0</v>
      </c>
      <c r="K42" s="400">
        <v>0</v>
      </c>
      <c r="L42" s="447"/>
    </row>
    <row r="43" spans="1:12" ht="15" customHeight="1">
      <c r="A43" s="401" t="s">
        <v>331</v>
      </c>
      <c r="B43" s="398">
        <v>-218.852</v>
      </c>
      <c r="C43" s="398">
        <v>-48.731999999999999</v>
      </c>
      <c r="D43" s="398">
        <v>322.36500000000001</v>
      </c>
      <c r="E43" s="398">
        <v>-30.01</v>
      </c>
      <c r="F43" s="398">
        <v>-649.97500000000002</v>
      </c>
      <c r="G43" s="398">
        <v>68.201999999999998</v>
      </c>
      <c r="H43" s="398">
        <v>0</v>
      </c>
      <c r="I43" s="398">
        <v>-12.241</v>
      </c>
      <c r="J43" s="398">
        <v>-2.3420000000000001</v>
      </c>
      <c r="K43" s="398">
        <v>-3.7949999999999999</v>
      </c>
      <c r="L43" s="444"/>
    </row>
    <row r="44" spans="1:12" ht="15" customHeight="1" outlineLevel="1">
      <c r="A44" s="402" t="s">
        <v>332</v>
      </c>
      <c r="B44" s="400">
        <v>803.77300000000002</v>
      </c>
      <c r="C44" s="400">
        <v>715.15800000000002</v>
      </c>
      <c r="D44" s="400">
        <v>615.34699999999998</v>
      </c>
      <c r="E44" s="400">
        <v>0</v>
      </c>
      <c r="F44" s="400">
        <v>0</v>
      </c>
      <c r="G44" s="400">
        <v>494.04</v>
      </c>
      <c r="H44" s="400">
        <v>50</v>
      </c>
      <c r="I44" s="400">
        <v>279.33100000000002</v>
      </c>
      <c r="J44" s="400">
        <v>7.2539999999999996</v>
      </c>
      <c r="K44" s="400">
        <v>0</v>
      </c>
      <c r="L44" s="447"/>
    </row>
    <row r="45" spans="1:12" ht="15" customHeight="1" outlineLevel="1">
      <c r="A45" s="403" t="s">
        <v>333</v>
      </c>
      <c r="B45" s="410">
        <v>-1022.625</v>
      </c>
      <c r="C45" s="410">
        <v>-763.89</v>
      </c>
      <c r="D45" s="410">
        <v>-292.98200000000003</v>
      </c>
      <c r="E45" s="410">
        <v>-30.01</v>
      </c>
      <c r="F45" s="410">
        <v>-649.97500000000002</v>
      </c>
      <c r="G45" s="410">
        <v>-425.83800000000002</v>
      </c>
      <c r="H45" s="410">
        <v>-50</v>
      </c>
      <c r="I45" s="410">
        <v>-291.572</v>
      </c>
      <c r="J45" s="410">
        <v>-9.5960000000000001</v>
      </c>
      <c r="K45" s="410">
        <v>-3.7949999999999999</v>
      </c>
      <c r="L45" s="445"/>
    </row>
    <row r="46" spans="1:12" ht="15" customHeight="1" outlineLevel="1">
      <c r="A46" s="408" t="s">
        <v>188</v>
      </c>
      <c r="B46" s="396">
        <v>0</v>
      </c>
      <c r="C46" s="396">
        <v>-1.75</v>
      </c>
      <c r="D46" s="396">
        <v>-1.5</v>
      </c>
      <c r="E46" s="396">
        <v>0</v>
      </c>
      <c r="F46" s="396">
        <v>7.4779999999999998</v>
      </c>
      <c r="G46" s="396">
        <v>-10.708</v>
      </c>
      <c r="H46" s="396">
        <v>24.113</v>
      </c>
      <c r="I46" s="396">
        <v>-11</v>
      </c>
      <c r="J46" s="396">
        <v>0</v>
      </c>
      <c r="K46" s="396">
        <v>0.51300000000000001</v>
      </c>
      <c r="L46" s="446"/>
    </row>
    <row r="47" spans="1:12" ht="15" customHeight="1" outlineLevel="2">
      <c r="A47" s="406" t="s">
        <v>208</v>
      </c>
      <c r="B47" s="404">
        <v>0</v>
      </c>
      <c r="C47" s="410">
        <v>-1.75</v>
      </c>
      <c r="D47" s="410">
        <v>-1.5</v>
      </c>
      <c r="E47" s="404">
        <v>0</v>
      </c>
      <c r="F47" s="404">
        <v>0</v>
      </c>
      <c r="G47" s="410">
        <v>-10.708</v>
      </c>
      <c r="H47" s="410">
        <v>-0.88700000000000001</v>
      </c>
      <c r="I47" s="410">
        <v>-11</v>
      </c>
      <c r="J47" s="404">
        <v>0</v>
      </c>
      <c r="K47" s="410">
        <v>-0.98699999999999999</v>
      </c>
      <c r="L47" s="445"/>
    </row>
    <row r="48" spans="1:12" ht="15" customHeight="1" outlineLevel="2">
      <c r="A48" s="399" t="s">
        <v>209</v>
      </c>
      <c r="B48" s="400">
        <v>0</v>
      </c>
      <c r="C48" s="400">
        <v>0</v>
      </c>
      <c r="D48" s="400">
        <v>0</v>
      </c>
      <c r="E48" s="400">
        <v>0</v>
      </c>
      <c r="F48" s="400">
        <v>7.4779999999999998</v>
      </c>
      <c r="G48" s="400">
        <v>0</v>
      </c>
      <c r="H48" s="400">
        <v>25</v>
      </c>
      <c r="I48" s="400">
        <v>0</v>
      </c>
      <c r="J48" s="400">
        <v>0</v>
      </c>
      <c r="K48" s="400">
        <v>1.5</v>
      </c>
      <c r="L48" s="448"/>
    </row>
    <row r="49" spans="1:11" ht="15" customHeight="1">
      <c r="A49" s="411" t="s">
        <v>210</v>
      </c>
      <c r="B49" s="410">
        <v>-213.57900000000001</v>
      </c>
      <c r="C49" s="410">
        <v>-50.408000000000001</v>
      </c>
      <c r="D49" s="404">
        <v>321.05599999999998</v>
      </c>
      <c r="E49" s="410">
        <v>-30.01</v>
      </c>
      <c r="F49" s="410">
        <v>-642.30600000000004</v>
      </c>
      <c r="G49" s="410">
        <v>-7.2320000000000002</v>
      </c>
      <c r="H49" s="410">
        <v>-11.311</v>
      </c>
      <c r="I49" s="410">
        <v>-47.673000000000002</v>
      </c>
      <c r="J49" s="410">
        <v>-36.820999999999998</v>
      </c>
      <c r="K49" s="410">
        <v>-20.920999999999999</v>
      </c>
    </row>
    <row r="50" spans="1:11" ht="15" customHeight="1">
      <c r="A50" s="395" t="s">
        <v>211</v>
      </c>
      <c r="B50" s="395"/>
      <c r="C50" s="395"/>
      <c r="D50" s="395"/>
      <c r="E50" s="395"/>
      <c r="F50" s="395"/>
      <c r="G50" s="395"/>
      <c r="H50" s="395"/>
      <c r="I50" s="395"/>
      <c r="J50" s="395"/>
      <c r="K50" s="395"/>
    </row>
    <row r="51" spans="1:11" ht="15" customHeight="1">
      <c r="A51" s="411" t="s">
        <v>212</v>
      </c>
      <c r="B51" s="441">
        <v>-6.0819999999999999</v>
      </c>
      <c r="C51" s="415">
        <v>3.36</v>
      </c>
      <c r="D51" s="441">
        <v>-0.96799999999999997</v>
      </c>
      <c r="E51" s="441">
        <v>-0.35799999999999998</v>
      </c>
      <c r="F51" s="415">
        <v>2.2490000000000001</v>
      </c>
      <c r="G51" s="415">
        <v>0.85599999999999998</v>
      </c>
      <c r="H51" s="441">
        <v>-1.0329999999999999</v>
      </c>
      <c r="I51" s="441">
        <v>-0.122</v>
      </c>
      <c r="J51" s="441">
        <v>-0.13900000000000001</v>
      </c>
      <c r="K51" s="415">
        <v>0.28100000000000003</v>
      </c>
    </row>
    <row r="52" spans="1:11" ht="15" customHeight="1">
      <c r="A52" s="412" t="s">
        <v>213</v>
      </c>
      <c r="B52" s="442">
        <v>-2.823</v>
      </c>
      <c r="C52" s="413">
        <v>153.04900000000001</v>
      </c>
      <c r="D52" s="442">
        <v>-152.96600000000001</v>
      </c>
      <c r="E52" s="413">
        <v>143.79400000000001</v>
      </c>
      <c r="F52" s="413">
        <v>51.411000000000001</v>
      </c>
      <c r="G52" s="413">
        <v>86.113</v>
      </c>
      <c r="H52" s="442">
        <v>-134.929</v>
      </c>
      <c r="I52" s="413">
        <v>47.459000000000003</v>
      </c>
      <c r="J52" s="413">
        <v>53.723999999999997</v>
      </c>
      <c r="K52" s="442">
        <v>-2.698</v>
      </c>
    </row>
    <row r="53" spans="1:11" ht="15" customHeight="1">
      <c r="A53" s="397" t="s">
        <v>214</v>
      </c>
      <c r="B53" s="414">
        <v>213.197</v>
      </c>
      <c r="C53" s="414">
        <v>181.41</v>
      </c>
      <c r="D53" s="414">
        <v>123.011</v>
      </c>
      <c r="E53" s="414">
        <v>167.55799999999999</v>
      </c>
      <c r="F53" s="414">
        <v>183.887</v>
      </c>
      <c r="G53" s="414">
        <v>94.680999999999997</v>
      </c>
      <c r="H53" s="414">
        <v>169.989</v>
      </c>
      <c r="I53" s="414">
        <v>27.042000000000002</v>
      </c>
      <c r="J53" s="414">
        <v>51.155000000000001</v>
      </c>
      <c r="K53" s="414">
        <v>-0.68300000000000005</v>
      </c>
    </row>
    <row r="54" spans="1:11" ht="15" customHeight="1">
      <c r="A54" s="399" t="s">
        <v>215</v>
      </c>
      <c r="B54" s="413">
        <v>2.1008360000000001</v>
      </c>
      <c r="C54" s="413">
        <v>1.36938</v>
      </c>
      <c r="D54" s="413">
        <v>0.91774599999999995</v>
      </c>
      <c r="E54" s="413">
        <v>1.5758000000000001</v>
      </c>
      <c r="F54" s="413">
        <v>1.7288140000000001</v>
      </c>
      <c r="G54" s="413">
        <v>0.87543599999999999</v>
      </c>
      <c r="H54" s="413">
        <v>1.6366179999999999</v>
      </c>
      <c r="I54" s="413">
        <v>0.26319799999999999</v>
      </c>
      <c r="J54" s="413">
        <v>0.49141200000000002</v>
      </c>
      <c r="K54" s="442">
        <v>-6.4770000000000001E-3</v>
      </c>
    </row>
    <row r="55" spans="1:11" ht="15" customHeight="1">
      <c r="A55" s="406" t="s">
        <v>216</v>
      </c>
      <c r="B55" s="415">
        <v>15.413321</v>
      </c>
      <c r="C55" s="415">
        <v>8.7388650000000005</v>
      </c>
      <c r="D55" s="415">
        <v>9.4321269999999995</v>
      </c>
      <c r="E55" s="415">
        <v>10.590056000000001</v>
      </c>
      <c r="F55" s="415">
        <v>12.573191</v>
      </c>
      <c r="G55" s="415">
        <v>5.7822699999999996</v>
      </c>
      <c r="H55" s="415">
        <v>10.852907</v>
      </c>
      <c r="I55" s="415">
        <v>1.6647559999999999</v>
      </c>
      <c r="J55" s="415">
        <v>1.989522</v>
      </c>
      <c r="K55" s="441">
        <v>-9.0950000000000007E-3</v>
      </c>
    </row>
    <row r="56" spans="1:11" ht="15" customHeight="1">
      <c r="A56" s="417" t="s">
        <v>181</v>
      </c>
      <c r="B56"/>
      <c r="C56"/>
      <c r="D56"/>
      <c r="E56"/>
      <c r="F56"/>
      <c r="G56"/>
      <c r="H56"/>
      <c r="I56"/>
      <c r="J56"/>
      <c r="K56"/>
    </row>
  </sheetData>
  <pageMargins left="0.75" right="0.75" top="1" bottom="1" header="0.5" footer="0.5"/>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88C5-A807-E549-B308-C979C29A1BA9}">
  <sheetPr>
    <tabColor rgb="FF202846"/>
  </sheetPr>
  <dimension ref="A2:T35"/>
  <sheetViews>
    <sheetView showGridLines="0" zoomScale="136" zoomScaleNormal="136" workbookViewId="0">
      <selection activeCell="L6" sqref="L6"/>
    </sheetView>
  </sheetViews>
  <sheetFormatPr baseColWidth="10" defaultRowHeight="15"/>
  <cols>
    <col min="1" max="1" width="4.6640625" customWidth="1"/>
    <col min="5" max="10" width="10.83203125" customWidth="1"/>
  </cols>
  <sheetData>
    <row r="2" spans="1:20" s="2" customFormat="1" ht="21" customHeight="1">
      <c r="B2" s="65" t="s">
        <v>119</v>
      </c>
    </row>
    <row r="4" spans="1:20">
      <c r="D4" s="64"/>
    </row>
    <row r="5" spans="1:20">
      <c r="A5" s="3" t="s">
        <v>0</v>
      </c>
      <c r="B5" s="4" t="s">
        <v>27</v>
      </c>
      <c r="C5" s="4"/>
      <c r="D5" s="4"/>
      <c r="E5" s="11">
        <f>F5-1</f>
        <v>2016</v>
      </c>
      <c r="F5" s="11">
        <f t="shared" ref="F5:M5" si="0">G5-1</f>
        <v>2017</v>
      </c>
      <c r="G5" s="11">
        <f>H5-1</f>
        <v>2018</v>
      </c>
      <c r="H5" s="11">
        <f t="shared" si="0"/>
        <v>2019</v>
      </c>
      <c r="I5" s="11">
        <f t="shared" si="0"/>
        <v>2020</v>
      </c>
      <c r="J5" s="11">
        <f t="shared" si="0"/>
        <v>2021</v>
      </c>
      <c r="K5" s="11">
        <f>L5-1</f>
        <v>2022</v>
      </c>
      <c r="L5" s="11">
        <f t="shared" si="0"/>
        <v>2023</v>
      </c>
      <c r="M5" s="11">
        <f t="shared" si="0"/>
        <v>2024</v>
      </c>
      <c r="N5" s="11">
        <f>O5-1</f>
        <v>2025</v>
      </c>
      <c r="O5" s="12">
        <f>DCF!O16</f>
        <v>2026</v>
      </c>
      <c r="P5" s="291">
        <f>O5+1</f>
        <v>2027</v>
      </c>
      <c r="Q5" s="291">
        <f t="shared" ref="Q5:R5" si="1">P5+1</f>
        <v>2028</v>
      </c>
      <c r="R5" s="291">
        <f t="shared" si="1"/>
        <v>2029</v>
      </c>
      <c r="S5" s="291">
        <f>R5+1</f>
        <v>2030</v>
      </c>
      <c r="T5" s="13"/>
    </row>
    <row r="6" spans="1:20">
      <c r="A6" s="198">
        <v>3</v>
      </c>
      <c r="B6" s="229"/>
      <c r="C6" s="229"/>
      <c r="D6" s="229"/>
      <c r="E6" s="230">
        <f>E12</f>
        <v>2533.35009765625</v>
      </c>
      <c r="F6" s="230">
        <f t="shared" ref="F6:J6" si="2">F12</f>
        <v>2658.590087890625</v>
      </c>
      <c r="G6" s="230">
        <f t="shared" si="2"/>
        <v>2847.260009765625</v>
      </c>
      <c r="H6" s="230">
        <f t="shared" si="2"/>
        <v>2689.30810546875</v>
      </c>
      <c r="I6" s="230">
        <f t="shared" si="2"/>
        <v>2105.322021484375</v>
      </c>
      <c r="J6" s="230">
        <f t="shared" si="2"/>
        <v>2248.739990234375</v>
      </c>
      <c r="K6" s="230">
        <f>K12</f>
        <v>2495.0458984375</v>
      </c>
      <c r="L6" s="230">
        <f t="shared" ref="L6:N6" si="3">L12</f>
        <v>2232.56689453125</v>
      </c>
      <c r="M6" s="230">
        <f t="shared" si="3"/>
        <v>2442.7529296875</v>
      </c>
      <c r="N6" s="230">
        <f t="shared" si="3"/>
        <v>2906.3449999999998</v>
      </c>
      <c r="O6" s="231">
        <f t="shared" ref="O6:R6" si="4">N6*(1+O7)</f>
        <v>3487.6139999999996</v>
      </c>
      <c r="P6" s="231">
        <f t="shared" si="4"/>
        <v>4080.5083799999993</v>
      </c>
      <c r="Q6" s="231">
        <f t="shared" si="4"/>
        <v>4651.7795532</v>
      </c>
      <c r="R6" s="231">
        <f t="shared" si="4"/>
        <v>5116.9575085200004</v>
      </c>
      <c r="S6" s="231">
        <f>R6*(1+S7)</f>
        <v>5475.1445341164008</v>
      </c>
    </row>
    <row r="7" spans="1:20" ht="14.5" customHeight="1">
      <c r="B7" s="235" t="s">
        <v>29</v>
      </c>
      <c r="E7" s="23" t="s">
        <v>334</v>
      </c>
      <c r="F7" s="23">
        <f t="shared" ref="F7:K7" si="5">(F6-E6)/E6</f>
        <v>4.9436511104502229E-2</v>
      </c>
      <c r="G7" s="23">
        <f t="shared" si="5"/>
        <v>7.0966157112507047E-2</v>
      </c>
      <c r="H7" s="23">
        <f t="shared" si="5"/>
        <v>-5.5475054527906277E-2</v>
      </c>
      <c r="I7" s="23">
        <f t="shared" si="5"/>
        <v>-0.21715105189949421</v>
      </c>
      <c r="J7" s="23">
        <f t="shared" si="5"/>
        <v>6.8121630461492041E-2</v>
      </c>
      <c r="K7" s="23">
        <f t="shared" si="5"/>
        <v>0.10953063016300686</v>
      </c>
      <c r="L7" s="23">
        <f>(L6-K6)/K6</f>
        <v>-0.10520007029555052</v>
      </c>
      <c r="M7" s="23">
        <f t="shared" ref="M7:N7" si="6">(M6-L6)/L6</f>
        <v>9.4145459054825173E-2</v>
      </c>
      <c r="N7" s="23">
        <f t="shared" si="6"/>
        <v>0.18978262790244893</v>
      </c>
      <c r="O7" s="17">
        <f>CHOOSE($A$6,O8,O9,O10)</f>
        <v>0.2</v>
      </c>
      <c r="P7" s="17">
        <f t="shared" ref="P7:S7" si="7">CHOOSE($A$6,P8,P9,P10)</f>
        <v>0.17</v>
      </c>
      <c r="Q7" s="17">
        <f t="shared" si="7"/>
        <v>0.14000000000000001</v>
      </c>
      <c r="R7" s="17">
        <f t="shared" si="7"/>
        <v>0.1</v>
      </c>
      <c r="S7" s="17">
        <f t="shared" si="7"/>
        <v>7.0000000000000007E-2</v>
      </c>
    </row>
    <row r="8" spans="1:20">
      <c r="B8" s="14" t="s">
        <v>23</v>
      </c>
      <c r="O8" s="451">
        <v>0.15</v>
      </c>
      <c r="P8" s="451">
        <v>0.1</v>
      </c>
      <c r="Q8" s="451">
        <v>0.06</v>
      </c>
      <c r="R8" s="451">
        <v>0.04</v>
      </c>
      <c r="S8" s="451">
        <v>0.03</v>
      </c>
    </row>
    <row r="9" spans="1:20">
      <c r="B9" s="14" t="s">
        <v>36</v>
      </c>
      <c r="O9" s="452">
        <v>0.18</v>
      </c>
      <c r="P9" s="452">
        <v>0.14000000000000001</v>
      </c>
      <c r="Q9" s="452">
        <v>0.1</v>
      </c>
      <c r="R9" s="452">
        <v>7.0000000000000007E-2</v>
      </c>
      <c r="S9" s="452">
        <v>0.05</v>
      </c>
    </row>
    <row r="10" spans="1:20">
      <c r="B10" s="14" t="s">
        <v>24</v>
      </c>
      <c r="O10" s="451">
        <v>0.2</v>
      </c>
      <c r="P10" s="451">
        <v>0.17</v>
      </c>
      <c r="Q10" s="451">
        <v>0.14000000000000001</v>
      </c>
      <c r="R10" s="451">
        <v>0.1</v>
      </c>
      <c r="S10" s="451">
        <v>7.0000000000000007E-2</v>
      </c>
    </row>
    <row r="11" spans="1:20">
      <c r="B11" s="14"/>
      <c r="O11" s="43"/>
      <c r="P11" s="44"/>
      <c r="Q11" s="44"/>
      <c r="R11" s="44"/>
      <c r="S11" s="44"/>
    </row>
    <row r="12" spans="1:20">
      <c r="B12" s="226" t="s">
        <v>138</v>
      </c>
      <c r="C12" s="18"/>
      <c r="D12" s="18"/>
      <c r="E12" s="233">
        <f>'Case Assumptions'!E6</f>
        <v>2533.35009765625</v>
      </c>
      <c r="F12" s="233">
        <f>'Case Assumptions'!F6</f>
        <v>2658.590087890625</v>
      </c>
      <c r="G12" s="233">
        <f>'Case Assumptions'!G6</f>
        <v>2847.260009765625</v>
      </c>
      <c r="H12" s="233">
        <f>'Case Assumptions'!H6</f>
        <v>2689.30810546875</v>
      </c>
      <c r="I12" s="233">
        <f>'Case Assumptions'!I6</f>
        <v>2105.322021484375</v>
      </c>
      <c r="J12" s="233">
        <f>'Case Assumptions'!J6</f>
        <v>2248.739990234375</v>
      </c>
      <c r="K12" s="233">
        <f>'Case Assumptions'!K6</f>
        <v>2495.0458984375</v>
      </c>
      <c r="L12" s="233">
        <f>'Case Assumptions'!L6</f>
        <v>2232.56689453125</v>
      </c>
      <c r="M12" s="233">
        <f>'Case Assumptions'!M6</f>
        <v>2442.7529296875</v>
      </c>
      <c r="N12" s="233">
        <f>'Case Assumptions'!N6</f>
        <v>2906.3449999999998</v>
      </c>
      <c r="O12" s="234">
        <f>O6</f>
        <v>3487.6139999999996</v>
      </c>
      <c r="P12" s="234">
        <f t="shared" ref="P12:R12" si="8">P6</f>
        <v>4080.5083799999993</v>
      </c>
      <c r="Q12" s="234">
        <f t="shared" si="8"/>
        <v>4651.7795532</v>
      </c>
      <c r="R12" s="234">
        <f t="shared" si="8"/>
        <v>5116.9575085200004</v>
      </c>
      <c r="S12" s="234">
        <f>S6</f>
        <v>5475.1445341164008</v>
      </c>
    </row>
    <row r="13" spans="1:20">
      <c r="B13" s="181"/>
    </row>
    <row r="14" spans="1:20">
      <c r="B14" s="14"/>
    </row>
    <row r="15" spans="1:20">
      <c r="B15" s="14"/>
      <c r="O15" s="43"/>
      <c r="P15" s="44"/>
      <c r="Q15" s="44"/>
      <c r="R15" s="44"/>
      <c r="S15" s="44"/>
    </row>
    <row r="16" spans="1:20">
      <c r="B16" s="14"/>
      <c r="O16" s="179"/>
      <c r="P16" s="179"/>
      <c r="Q16" s="180"/>
      <c r="R16" s="180"/>
      <c r="S16" s="180"/>
    </row>
    <row r="17" spans="2:19">
      <c r="B17" s="14"/>
      <c r="O17" s="43"/>
      <c r="P17" s="44"/>
      <c r="Q17" s="44"/>
      <c r="R17" s="44"/>
      <c r="S17" s="44"/>
    </row>
    <row r="18" spans="2:19">
      <c r="B18" s="14"/>
    </row>
    <row r="20" spans="2:19">
      <c r="B20" s="14"/>
    </row>
    <row r="21" spans="2:19">
      <c r="B21" s="14"/>
      <c r="O21" s="43"/>
      <c r="P21" s="44"/>
      <c r="Q21" s="44"/>
      <c r="R21" s="44"/>
      <c r="S21" s="44"/>
    </row>
    <row r="22" spans="2:19">
      <c r="B22" s="14"/>
      <c r="O22" s="179"/>
      <c r="P22" s="179"/>
      <c r="Q22" s="180"/>
      <c r="R22" s="180"/>
      <c r="S22" s="180"/>
    </row>
    <row r="23" spans="2:19">
      <c r="B23" s="14"/>
      <c r="O23" s="43"/>
      <c r="P23" s="44"/>
      <c r="Q23" s="44"/>
      <c r="R23" s="44"/>
      <c r="S23" s="44"/>
    </row>
    <row r="24" spans="2:19">
      <c r="B24" s="14"/>
    </row>
    <row r="26" spans="2:19">
      <c r="B26" s="14"/>
    </row>
    <row r="27" spans="2:19">
      <c r="B27" s="14"/>
      <c r="O27" s="43"/>
      <c r="P27" s="44"/>
      <c r="Q27" s="44"/>
      <c r="R27" s="44"/>
      <c r="S27" s="44"/>
    </row>
    <row r="28" spans="2:19">
      <c r="B28" s="14"/>
      <c r="O28" s="179"/>
      <c r="P28" s="179"/>
      <c r="Q28" s="180"/>
      <c r="R28" s="180"/>
      <c r="S28" s="180"/>
    </row>
    <row r="29" spans="2:19">
      <c r="B29" s="14"/>
      <c r="O29" s="43"/>
      <c r="P29" s="44"/>
      <c r="Q29" s="44"/>
      <c r="R29" s="44"/>
      <c r="S29" s="44"/>
    </row>
    <row r="30" spans="2:19">
      <c r="B30" s="14"/>
    </row>
    <row r="32" spans="2:19">
      <c r="B32" s="14"/>
      <c r="O32" s="43"/>
      <c r="P32" s="44"/>
      <c r="Q32" s="44"/>
      <c r="R32" s="44"/>
      <c r="S32" s="44"/>
    </row>
    <row r="33" spans="2:2">
      <c r="B33" s="14"/>
    </row>
    <row r="35" spans="2:2">
      <c r="B35" s="14"/>
    </row>
  </sheetData>
  <dataValidations count="1">
    <dataValidation type="list" allowBlank="1" showInputMessage="1" showErrorMessage="1" sqref="A6" xr:uid="{37B4AB8E-2C69-054D-BC47-1C2955490ED0}">
      <formula1>"1,2,3"</formula1>
    </dataValidation>
  </dataValidation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3FA03-970C-6248-AA62-5DA916CB4D35}">
  <sheetPr>
    <tabColor rgb="FF202846"/>
  </sheetPr>
  <dimension ref="A2:T55"/>
  <sheetViews>
    <sheetView showGridLines="0" topLeftCell="A5" zoomScale="125" zoomScaleNormal="125" workbookViewId="0">
      <selection activeCell="A9" sqref="A9"/>
    </sheetView>
  </sheetViews>
  <sheetFormatPr baseColWidth="10" defaultRowHeight="15"/>
  <cols>
    <col min="1" max="1" width="4.6640625" customWidth="1"/>
    <col min="2" max="2" width="13.83203125" customWidth="1"/>
    <col min="5" max="5" width="12.1640625" customWidth="1"/>
    <col min="15" max="15" width="12.33203125" bestFit="1" customWidth="1"/>
  </cols>
  <sheetData>
    <row r="2" spans="1:20" s="2" customFormat="1" ht="21" customHeight="1">
      <c r="B2" s="65" t="s">
        <v>59</v>
      </c>
    </row>
    <row r="4" spans="1:20">
      <c r="D4" s="64"/>
    </row>
    <row r="5" spans="1:20">
      <c r="A5" s="3" t="s">
        <v>0</v>
      </c>
      <c r="B5" s="4" t="s">
        <v>59</v>
      </c>
      <c r="C5" s="4"/>
      <c r="D5" s="4"/>
      <c r="E5" s="199">
        <f t="shared" ref="E5:M5" si="0">F5-1</f>
        <v>2016</v>
      </c>
      <c r="F5" s="199">
        <f t="shared" si="0"/>
        <v>2017</v>
      </c>
      <c r="G5" s="199">
        <f t="shared" si="0"/>
        <v>2018</v>
      </c>
      <c r="H5" s="199">
        <f t="shared" si="0"/>
        <v>2019</v>
      </c>
      <c r="I5" s="199">
        <f t="shared" si="0"/>
        <v>2020</v>
      </c>
      <c r="J5" s="199">
        <f t="shared" si="0"/>
        <v>2021</v>
      </c>
      <c r="K5" s="199">
        <f t="shared" si="0"/>
        <v>2022</v>
      </c>
      <c r="L5" s="199">
        <f t="shared" si="0"/>
        <v>2023</v>
      </c>
      <c r="M5" s="199">
        <f t="shared" si="0"/>
        <v>2024</v>
      </c>
      <c r="N5" s="199">
        <f>O5-1</f>
        <v>2025</v>
      </c>
      <c r="O5" s="200">
        <f>DCF!O16</f>
        <v>2026</v>
      </c>
      <c r="P5" s="292">
        <f>O5+1</f>
        <v>2027</v>
      </c>
      <c r="Q5" s="292">
        <f t="shared" ref="Q5:S5" si="1">P5+1</f>
        <v>2028</v>
      </c>
      <c r="R5" s="292">
        <f t="shared" si="1"/>
        <v>2029</v>
      </c>
      <c r="S5" s="292">
        <f t="shared" si="1"/>
        <v>2030</v>
      </c>
      <c r="T5" s="13"/>
    </row>
    <row r="6" spans="1:20">
      <c r="B6" t="s">
        <v>27</v>
      </c>
      <c r="E6" s="232" cm="1">
        <f t="array" ref="E6">_xll.FDSLIVE(DCF!$D$4,"RTP_SALES(ANN,-9)")</f>
        <v>2533.35009765625</v>
      </c>
      <c r="F6" s="232" cm="1">
        <f t="array" ref="F6">_xll.FDSLIVE(DCF!$D$4,"RTP_SALES(ANN,-8)")</f>
        <v>2658.590087890625</v>
      </c>
      <c r="G6" s="232" cm="1">
        <f t="array" ref="G6">_xll.FDSLIVE(DCF!$D$4,"RTP_SALES(ANN,-7)")</f>
        <v>2847.260009765625</v>
      </c>
      <c r="H6" s="232" cm="1">
        <f t="array" ref="H6">_xll.FDSLIVE(DCF!$D$4,"RTP_SALES(ANN,-6)")</f>
        <v>2689.30810546875</v>
      </c>
      <c r="I6" s="232" cm="1">
        <f t="array" ref="I6">_xll.FDSLIVE(DCF!$D$4,"RTP_SALES(ANN,-5)")</f>
        <v>2105.322021484375</v>
      </c>
      <c r="J6" s="232" cm="1">
        <f t="array" ref="J6">_xll.FDSLIVE(DCF!$D$4,"RTP_SALES(ANN,-4)")</f>
        <v>2248.739990234375</v>
      </c>
      <c r="K6" s="232" cm="1">
        <f t="array" ref="K6">_xll.FDSLIVE(DCF!$D$4,"RTP_SALES(ANN,-3)")</f>
        <v>2495.0458984375</v>
      </c>
      <c r="L6" s="232" cm="1">
        <f t="array" ref="L6">_xll.FDSLIVE(DCF!$D$4,"RTP_SALES(ANN,-2)")</f>
        <v>2232.56689453125</v>
      </c>
      <c r="M6" s="232" cm="1">
        <f t="array" ref="M6">_xll.FDSLIVE(DCF!$D$4,"RTP_SALES(ANN,-1)")</f>
        <v>2442.7529296875</v>
      </c>
      <c r="N6" s="232" cm="1">
        <f t="array" ref="N6">_xll.FDSLIVE(DCF!$D$4,"RTP_SALES(ANN,0)")</f>
        <v>2906.3449999999998</v>
      </c>
      <c r="O6" s="15">
        <f>'Revenue Build'!O12</f>
        <v>3487.6139999999996</v>
      </c>
      <c r="P6" s="15">
        <f>'Revenue Build'!P12</f>
        <v>4080.5083799999993</v>
      </c>
      <c r="Q6" s="15">
        <f>'Revenue Build'!Q12</f>
        <v>4651.7795532</v>
      </c>
      <c r="R6" s="15">
        <f>'Revenue Build'!R12</f>
        <v>5116.9575085200004</v>
      </c>
      <c r="S6" s="15">
        <f>'Revenue Build'!S12</f>
        <v>5475.1445341164008</v>
      </c>
    </row>
    <row r="7" spans="1:20" ht="14.5" customHeight="1">
      <c r="B7" s="14" t="s">
        <v>62</v>
      </c>
      <c r="E7" s="23"/>
      <c r="F7" s="23"/>
      <c r="G7" s="23"/>
      <c r="H7" s="23"/>
      <c r="I7" s="23"/>
      <c r="J7" s="23"/>
      <c r="K7" s="23"/>
      <c r="L7" s="23"/>
      <c r="M7" s="23"/>
      <c r="N7" s="23"/>
      <c r="O7" s="17"/>
      <c r="P7" s="17"/>
      <c r="Q7" s="17"/>
      <c r="R7" s="17"/>
      <c r="S7" s="17"/>
    </row>
    <row r="8" spans="1:20">
      <c r="B8" s="14"/>
      <c r="O8" s="43"/>
      <c r="P8" s="44"/>
      <c r="Q8" s="44"/>
      <c r="R8" s="44"/>
      <c r="S8" s="44"/>
    </row>
    <row r="9" spans="1:20" s="182" customFormat="1">
      <c r="A9" s="198">
        <v>3</v>
      </c>
      <c r="B9" s="182" t="s">
        <v>60</v>
      </c>
      <c r="E9" s="241">
        <f>IS!B12</f>
        <v>1953.5</v>
      </c>
      <c r="F9" s="241">
        <f>IS!C12</f>
        <v>2078.1999999999998</v>
      </c>
      <c r="G9" s="241">
        <f>IS!D12</f>
        <v>2224.1999999999998</v>
      </c>
      <c r="H9" s="241">
        <f>IS!E12</f>
        <v>1657.8</v>
      </c>
      <c r="I9" s="241">
        <f>IS!F12</f>
        <v>1641.2</v>
      </c>
      <c r="J9" s="241">
        <f>IS!G12</f>
        <v>1785.1</v>
      </c>
      <c r="K9" s="241">
        <f>IS!H12</f>
        <v>1940.3</v>
      </c>
      <c r="L9" s="241">
        <f>IS!I12</f>
        <v>1707.2</v>
      </c>
      <c r="M9" s="241">
        <f>IS!J12</f>
        <v>1850.8</v>
      </c>
      <c r="N9" s="241">
        <f>IS!K12</f>
        <v>2185</v>
      </c>
      <c r="O9" s="244">
        <f>O10*O$6</f>
        <v>2574.0375419519478</v>
      </c>
      <c r="P9" s="244">
        <f t="shared" ref="P9:S9" si="2">P10*P$6</f>
        <v>2897.1609497999993</v>
      </c>
      <c r="Q9" s="244">
        <f t="shared" si="2"/>
        <v>3279.5045850059996</v>
      </c>
      <c r="R9" s="244">
        <f t="shared" si="2"/>
        <v>3581.8702559640001</v>
      </c>
      <c r="S9" s="244">
        <f t="shared" si="2"/>
        <v>3777.8497285403164</v>
      </c>
      <c r="T9" s="182" t="s">
        <v>66</v>
      </c>
    </row>
    <row r="10" spans="1:20">
      <c r="B10" s="14" t="s">
        <v>30</v>
      </c>
      <c r="E10" s="186">
        <f>E9/E$6</f>
        <v>0.771113318213419</v>
      </c>
      <c r="F10" s="186">
        <f t="shared" ref="F10:M10" si="3">F9/F6</f>
        <v>0.78169252547273371</v>
      </c>
      <c r="G10" s="186">
        <f t="shared" si="3"/>
        <v>0.78117207152538448</v>
      </c>
      <c r="H10" s="186">
        <f t="shared" si="3"/>
        <v>0.6164410826073955</v>
      </c>
      <c r="I10" s="186">
        <f t="shared" si="3"/>
        <v>0.77954820367235711</v>
      </c>
      <c r="J10" s="186">
        <f t="shared" si="3"/>
        <v>0.79382232172335221</v>
      </c>
      <c r="K10" s="186">
        <f t="shared" si="3"/>
        <v>0.77766104471869446</v>
      </c>
      <c r="L10" s="186">
        <f t="shared" si="3"/>
        <v>0.76468033463268026</v>
      </c>
      <c r="M10" s="186">
        <f t="shared" si="3"/>
        <v>0.75766974936624953</v>
      </c>
      <c r="N10" s="186">
        <f>N9/N6</f>
        <v>0.75180338191095697</v>
      </c>
      <c r="O10" s="17">
        <f>CHOOSE($A9,O11,O12,O13)</f>
        <v>0.73805115530329557</v>
      </c>
      <c r="P10" s="17">
        <f t="shared" ref="P10:R10" si="4">CHOOSE($A9,P11,P12,P13)</f>
        <v>0.71</v>
      </c>
      <c r="Q10" s="17">
        <f t="shared" si="4"/>
        <v>0.70499999999999996</v>
      </c>
      <c r="R10" s="17">
        <f t="shared" si="4"/>
        <v>0.7</v>
      </c>
      <c r="S10" s="17">
        <f>CHOOSE($A9,S11,S12,S13)</f>
        <v>0.69</v>
      </c>
    </row>
    <row r="11" spans="1:20">
      <c r="B11" s="14" t="s">
        <v>23</v>
      </c>
      <c r="O11" s="451">
        <f>O12+2%</f>
        <v>0.77805115530329561</v>
      </c>
      <c r="P11" s="451">
        <f t="shared" ref="P11:S11" si="5">P12+2%</f>
        <v>0.75</v>
      </c>
      <c r="Q11" s="451">
        <f t="shared" si="5"/>
        <v>0.745</v>
      </c>
      <c r="R11" s="451">
        <f t="shared" si="5"/>
        <v>0.74</v>
      </c>
      <c r="S11" s="451">
        <f t="shared" si="5"/>
        <v>0.73</v>
      </c>
    </row>
    <row r="12" spans="1:20">
      <c r="B12" s="14" t="s">
        <v>36</v>
      </c>
      <c r="O12" s="452">
        <f>AVERAGE(L10:N10)</f>
        <v>0.75805115530329559</v>
      </c>
      <c r="P12" s="452">
        <v>0.73</v>
      </c>
      <c r="Q12" s="452">
        <v>0.72499999999999998</v>
      </c>
      <c r="R12" s="452">
        <v>0.72</v>
      </c>
      <c r="S12" s="452">
        <v>0.71</v>
      </c>
    </row>
    <row r="13" spans="1:20">
      <c r="B13" s="14" t="s">
        <v>24</v>
      </c>
      <c r="O13" s="451">
        <f>O12-2%</f>
        <v>0.73805115530329557</v>
      </c>
      <c r="P13" s="451">
        <f t="shared" ref="P13:S13" si="6">P12-2%</f>
        <v>0.71</v>
      </c>
      <c r="Q13" s="451">
        <f t="shared" si="6"/>
        <v>0.70499999999999996</v>
      </c>
      <c r="R13" s="451">
        <f t="shared" si="6"/>
        <v>0.7</v>
      </c>
      <c r="S13" s="451">
        <f t="shared" si="6"/>
        <v>0.69</v>
      </c>
    </row>
    <row r="14" spans="1:20">
      <c r="B14" s="14"/>
    </row>
    <row r="15" spans="1:20" s="182" customFormat="1">
      <c r="A15" s="198">
        <v>2</v>
      </c>
      <c r="B15" s="183" t="s">
        <v>33</v>
      </c>
      <c r="E15" s="240">
        <f>IS!B13</f>
        <v>180.3</v>
      </c>
      <c r="F15" s="240">
        <f>IS!C13</f>
        <v>174.3</v>
      </c>
      <c r="G15" s="240">
        <f>IS!D13</f>
        <v>225.6</v>
      </c>
      <c r="H15" s="240">
        <f>IS!E13</f>
        <v>144</v>
      </c>
      <c r="I15" s="240">
        <f>IS!F13</f>
        <v>143.9</v>
      </c>
      <c r="J15" s="240">
        <f>IS!G13</f>
        <v>127.3</v>
      </c>
      <c r="K15" s="240">
        <f>IS!H13</f>
        <v>133.9</v>
      </c>
      <c r="L15" s="240">
        <f>IS!I13</f>
        <v>160.69999999999999</v>
      </c>
      <c r="M15" s="240">
        <f>IS!J13</f>
        <v>150.1</v>
      </c>
      <c r="N15" s="240">
        <f>IS!K13</f>
        <v>147.19999999999999</v>
      </c>
      <c r="O15" s="244">
        <f>O16*O$6</f>
        <v>209.25683999999995</v>
      </c>
      <c r="P15" s="244">
        <f t="shared" ref="P15:R15" si="7">P16*P$6</f>
        <v>244.83050279999995</v>
      </c>
      <c r="Q15" s="244">
        <f t="shared" si="7"/>
        <v>274.45499363879998</v>
      </c>
      <c r="R15" s="244">
        <f t="shared" si="7"/>
        <v>296.78353549416005</v>
      </c>
      <c r="S15" s="244">
        <f>S16*S$6</f>
        <v>312.08323844463484</v>
      </c>
      <c r="T15" s="182" t="s">
        <v>65</v>
      </c>
    </row>
    <row r="16" spans="1:20">
      <c r="B16" s="14" t="s">
        <v>30</v>
      </c>
      <c r="E16" s="186">
        <f>E15/E$6</f>
        <v>7.1170581660547461E-2</v>
      </c>
      <c r="F16" s="186">
        <f t="shared" ref="F16:M16" si="8">F15/F$6</f>
        <v>6.5561065917571701E-2</v>
      </c>
      <c r="G16" s="186">
        <f t="shared" si="8"/>
        <v>7.923407037862007E-2</v>
      </c>
      <c r="H16" s="186">
        <f t="shared" si="8"/>
        <v>5.3545370910522951E-2</v>
      </c>
      <c r="I16" s="186">
        <f t="shared" si="8"/>
        <v>6.8350588903517057E-2</v>
      </c>
      <c r="J16" s="186">
        <f t="shared" si="8"/>
        <v>5.6609479331904508E-2</v>
      </c>
      <c r="K16" s="186">
        <f t="shared" si="8"/>
        <v>5.3666347414231409E-2</v>
      </c>
      <c r="L16" s="186">
        <f t="shared" si="8"/>
        <v>7.1979926063420629E-2</v>
      </c>
      <c r="M16" s="186">
        <f t="shared" si="8"/>
        <v>6.1447065798505542E-2</v>
      </c>
      <c r="N16" s="186">
        <f>N15/N$6</f>
        <v>5.0647806781369729E-2</v>
      </c>
      <c r="O16" s="17">
        <f>CHOOSE($A15,O17,O18,O19)</f>
        <v>0.06</v>
      </c>
      <c r="P16" s="17">
        <f t="shared" ref="P16:S16" si="9">CHOOSE($A15,P17,P18,P19)</f>
        <v>0.06</v>
      </c>
      <c r="Q16" s="17">
        <f t="shared" si="9"/>
        <v>5.8999999999999997E-2</v>
      </c>
      <c r="R16" s="17">
        <f t="shared" si="9"/>
        <v>5.8000000000000003E-2</v>
      </c>
      <c r="S16" s="17">
        <f t="shared" si="9"/>
        <v>5.7000000000000002E-2</v>
      </c>
    </row>
    <row r="17" spans="1:20">
      <c r="B17" s="14" t="s">
        <v>23</v>
      </c>
      <c r="O17" s="453">
        <v>6.0999999999999999E-2</v>
      </c>
      <c r="P17" s="453">
        <v>6.0999999999999999E-2</v>
      </c>
      <c r="Q17" s="453">
        <v>0.06</v>
      </c>
      <c r="R17" s="453">
        <v>5.8999999999999997E-2</v>
      </c>
      <c r="S17" s="453">
        <v>5.8000000000000003E-2</v>
      </c>
    </row>
    <row r="18" spans="1:20">
      <c r="B18" s="14" t="s">
        <v>36</v>
      </c>
      <c r="O18" s="454">
        <v>0.06</v>
      </c>
      <c r="P18" s="454">
        <v>0.06</v>
      </c>
      <c r="Q18" s="454">
        <v>5.8999999999999997E-2</v>
      </c>
      <c r="R18" s="454">
        <v>5.8000000000000003E-2</v>
      </c>
      <c r="S18" s="454">
        <v>5.7000000000000002E-2</v>
      </c>
    </row>
    <row r="19" spans="1:20">
      <c r="B19" s="14" t="s">
        <v>24</v>
      </c>
      <c r="O19" s="453">
        <v>5.8999999999999997E-2</v>
      </c>
      <c r="P19" s="453">
        <v>5.8999999999999997E-2</v>
      </c>
      <c r="Q19" s="453">
        <v>5.8000000000000003E-2</v>
      </c>
      <c r="R19" s="453">
        <v>5.7000000000000002E-2</v>
      </c>
      <c r="S19" s="453">
        <v>5.6000000000000001E-2</v>
      </c>
    </row>
    <row r="20" spans="1:20">
      <c r="B20" s="14"/>
    </row>
    <row r="21" spans="1:20" s="182" customFormat="1">
      <c r="A21" s="198">
        <v>2</v>
      </c>
      <c r="B21" s="182" t="s">
        <v>61</v>
      </c>
      <c r="E21" s="240">
        <f>IS!B17</f>
        <v>211.9</v>
      </c>
      <c r="F21" s="240">
        <f>IS!C17</f>
        <v>189.7</v>
      </c>
      <c r="G21" s="240">
        <f>IS!D17</f>
        <v>219.5</v>
      </c>
      <c r="H21" s="240">
        <f>IS!E17</f>
        <v>216.4</v>
      </c>
      <c r="I21" s="240">
        <f>IS!F17</f>
        <v>199.4</v>
      </c>
      <c r="J21" s="240">
        <f>IS!G17</f>
        <v>199.3</v>
      </c>
      <c r="K21" s="240">
        <f>IS!H17</f>
        <v>246.6</v>
      </c>
      <c r="L21" s="240">
        <f>IS!I17</f>
        <v>253.2</v>
      </c>
      <c r="M21" s="240">
        <f>IS!J17</f>
        <v>282</v>
      </c>
      <c r="N21" s="240">
        <f>IS!K17</f>
        <v>306.60000000000002</v>
      </c>
      <c r="O21" s="244">
        <f t="shared" ref="O21:S21" si="10">O22*O$6</f>
        <v>331.32332999999994</v>
      </c>
      <c r="P21" s="244">
        <f t="shared" si="10"/>
        <v>375.4067709599999</v>
      </c>
      <c r="Q21" s="244">
        <f t="shared" si="10"/>
        <v>409.35660068159996</v>
      </c>
      <c r="R21" s="244">
        <f t="shared" si="10"/>
        <v>434.94138822420007</v>
      </c>
      <c r="S21" s="244">
        <f t="shared" si="10"/>
        <v>454.43699633166131</v>
      </c>
      <c r="T21" s="182" t="s">
        <v>67</v>
      </c>
    </row>
    <row r="22" spans="1:20">
      <c r="B22" s="14" t="s">
        <v>30</v>
      </c>
      <c r="E22" s="186">
        <f t="shared" ref="E22:N22" si="11">E21/E$6</f>
        <v>8.3644183327066024E-2</v>
      </c>
      <c r="F22" s="186">
        <f t="shared" si="11"/>
        <v>7.1353609894224609E-2</v>
      </c>
      <c r="G22" s="186">
        <f t="shared" si="11"/>
        <v>7.7091659787708794E-2</v>
      </c>
      <c r="H22" s="186">
        <f t="shared" si="11"/>
        <v>8.0466793507202553E-2</v>
      </c>
      <c r="I22" s="186">
        <f t="shared" si="11"/>
        <v>9.471235182321959E-2</v>
      </c>
      <c r="J22" s="186">
        <f t="shared" si="11"/>
        <v>8.8627409511771948E-2</v>
      </c>
      <c r="K22" s="186">
        <f t="shared" si="11"/>
        <v>9.8835857149734613E-2</v>
      </c>
      <c r="L22" s="186">
        <f t="shared" si="11"/>
        <v>0.11341205525362853</v>
      </c>
      <c r="M22" s="186">
        <f t="shared" si="11"/>
        <v>0.11544352135362135</v>
      </c>
      <c r="N22" s="186">
        <f t="shared" si="11"/>
        <v>0.10549332580956496</v>
      </c>
      <c r="O22" s="17">
        <f t="shared" ref="O22:S22" si="12">CHOOSE($A21,O23,O24,O25)</f>
        <v>9.5000000000000001E-2</v>
      </c>
      <c r="P22" s="17">
        <f t="shared" si="12"/>
        <v>9.1999999999999998E-2</v>
      </c>
      <c r="Q22" s="17">
        <f t="shared" si="12"/>
        <v>8.7999999999999995E-2</v>
      </c>
      <c r="R22" s="17">
        <f t="shared" si="12"/>
        <v>8.5000000000000006E-2</v>
      </c>
      <c r="S22" s="17">
        <f t="shared" si="12"/>
        <v>8.3000000000000004E-2</v>
      </c>
    </row>
    <row r="23" spans="1:20">
      <c r="B23" s="14" t="s">
        <v>23</v>
      </c>
      <c r="O23" s="453">
        <v>0.1</v>
      </c>
      <c r="P23" s="453">
        <v>9.7000000000000003E-2</v>
      </c>
      <c r="Q23" s="453">
        <v>9.4E-2</v>
      </c>
      <c r="R23" s="453">
        <v>9.0999999999999998E-2</v>
      </c>
      <c r="S23" s="453">
        <v>8.7999999999999995E-2</v>
      </c>
    </row>
    <row r="24" spans="1:20">
      <c r="B24" s="14" t="s">
        <v>36</v>
      </c>
      <c r="O24" s="454">
        <v>9.5000000000000001E-2</v>
      </c>
      <c r="P24" s="454">
        <v>9.1999999999999998E-2</v>
      </c>
      <c r="Q24" s="454">
        <v>8.7999999999999995E-2</v>
      </c>
      <c r="R24" s="454">
        <v>8.5000000000000006E-2</v>
      </c>
      <c r="S24" s="454">
        <v>8.3000000000000004E-2</v>
      </c>
    </row>
    <row r="25" spans="1:20">
      <c r="B25" s="14" t="s">
        <v>24</v>
      </c>
      <c r="O25" s="453">
        <v>9.2999999999999999E-2</v>
      </c>
      <c r="P25" s="453">
        <v>8.8999999999999996E-2</v>
      </c>
      <c r="Q25" s="453">
        <v>8.5000000000000006E-2</v>
      </c>
      <c r="R25" s="453">
        <v>8.2000000000000003E-2</v>
      </c>
      <c r="S25" s="453">
        <v>0.08</v>
      </c>
    </row>
    <row r="26" spans="1:20">
      <c r="B26" s="14"/>
      <c r="O26" s="451"/>
      <c r="P26" s="451"/>
      <c r="Q26" s="451"/>
      <c r="R26" s="451"/>
      <c r="S26" s="451"/>
    </row>
    <row r="27" spans="1:20" s="182" customFormat="1">
      <c r="A27" s="198">
        <v>2</v>
      </c>
      <c r="B27" s="182" t="s">
        <v>63</v>
      </c>
      <c r="E27" s="240">
        <v>0</v>
      </c>
      <c r="F27" s="240">
        <v>0</v>
      </c>
      <c r="G27" s="240">
        <v>0</v>
      </c>
      <c r="H27" s="240">
        <v>0</v>
      </c>
      <c r="I27" s="240">
        <v>0</v>
      </c>
      <c r="J27" s="240">
        <v>0</v>
      </c>
      <c r="K27" s="240">
        <v>0</v>
      </c>
      <c r="L27" s="240">
        <v>0</v>
      </c>
      <c r="M27" s="240">
        <v>0</v>
      </c>
      <c r="N27" s="240">
        <v>0</v>
      </c>
      <c r="O27" s="240">
        <v>0</v>
      </c>
      <c r="P27" s="240">
        <v>0</v>
      </c>
      <c r="Q27" s="240">
        <v>0</v>
      </c>
      <c r="R27" s="240">
        <v>0</v>
      </c>
      <c r="S27" s="240">
        <v>0</v>
      </c>
    </row>
    <row r="28" spans="1:20">
      <c r="B28" s="14" t="s">
        <v>30</v>
      </c>
      <c r="E28" s="186">
        <f t="shared" ref="E28" si="13">E27/E$6</f>
        <v>0</v>
      </c>
      <c r="F28" s="186">
        <f t="shared" ref="F28" si="14">F27/F$6</f>
        <v>0</v>
      </c>
      <c r="G28" s="186">
        <f t="shared" ref="G28" si="15">G27/G$6</f>
        <v>0</v>
      </c>
      <c r="H28" s="186">
        <f t="shared" ref="H28" si="16">H27/H$6</f>
        <v>0</v>
      </c>
      <c r="I28" s="186">
        <f t="shared" ref="I28" si="17">I27/I$6</f>
        <v>0</v>
      </c>
      <c r="J28" s="186">
        <f t="shared" ref="J28" si="18">J27/J$6</f>
        <v>0</v>
      </c>
      <c r="K28" s="186">
        <f t="shared" ref="K28" si="19">K27/K$6</f>
        <v>0</v>
      </c>
      <c r="L28" s="186">
        <f t="shared" ref="L28" si="20">L27/L$6</f>
        <v>0</v>
      </c>
      <c r="M28" s="186">
        <f t="shared" ref="M28" si="21">M27/M$6</f>
        <v>0</v>
      </c>
      <c r="N28" s="186">
        <f t="shared" ref="N28" si="22">N27/N$6</f>
        <v>0</v>
      </c>
      <c r="O28" s="17">
        <f>CHOOSE($A27,O29,O30,O31)</f>
        <v>0</v>
      </c>
      <c r="P28" s="17">
        <f t="shared" ref="P28" si="23">CHOOSE($A27,P29,P30,P31)</f>
        <v>0</v>
      </c>
      <c r="Q28" s="17">
        <f t="shared" ref="Q28" si="24">CHOOSE($A27,Q29,Q30,Q31)</f>
        <v>0</v>
      </c>
      <c r="R28" s="17">
        <f t="shared" ref="R28" si="25">CHOOSE($A27,R29,R30,R31)</f>
        <v>0</v>
      </c>
      <c r="S28" s="17">
        <f t="shared" ref="S28" si="26">CHOOSE($A27,S29,S30,S31)</f>
        <v>0</v>
      </c>
    </row>
    <row r="29" spans="1:20">
      <c r="B29" s="14" t="s">
        <v>23</v>
      </c>
      <c r="O29" s="245">
        <v>0</v>
      </c>
      <c r="P29" s="245">
        <v>0</v>
      </c>
      <c r="Q29" s="245">
        <v>0</v>
      </c>
      <c r="R29" s="245">
        <v>0</v>
      </c>
      <c r="S29" s="245">
        <v>0</v>
      </c>
    </row>
    <row r="30" spans="1:20">
      <c r="B30" s="14" t="s">
        <v>36</v>
      </c>
      <c r="O30" s="245">
        <v>0</v>
      </c>
      <c r="P30" s="245">
        <v>0</v>
      </c>
      <c r="Q30" s="245">
        <v>0</v>
      </c>
      <c r="R30" s="245">
        <v>0</v>
      </c>
      <c r="S30" s="245">
        <v>0</v>
      </c>
    </row>
    <row r="31" spans="1:20">
      <c r="B31" s="14" t="s">
        <v>24</v>
      </c>
      <c r="O31" s="245">
        <v>0</v>
      </c>
      <c r="P31" s="245">
        <v>0</v>
      </c>
      <c r="Q31" s="245">
        <v>0</v>
      </c>
      <c r="R31" s="245">
        <v>0</v>
      </c>
      <c r="S31" s="245">
        <v>0</v>
      </c>
    </row>
    <row r="32" spans="1:20">
      <c r="B32" s="14"/>
      <c r="O32" s="43"/>
      <c r="P32" s="43"/>
      <c r="Q32" s="43"/>
      <c r="R32" s="43"/>
      <c r="S32" s="43"/>
    </row>
    <row r="33" spans="1:20" s="182" customFormat="1">
      <c r="A33" s="198">
        <v>2</v>
      </c>
      <c r="B33" s="182" t="s">
        <v>133</v>
      </c>
      <c r="E33" s="240">
        <f>IS!B21</f>
        <v>17.100000000000001</v>
      </c>
      <c r="F33" s="240">
        <f>IS!C21</f>
        <v>-18.3</v>
      </c>
      <c r="G33" s="240">
        <f>IS!D21</f>
        <v>7.9</v>
      </c>
      <c r="H33" s="240">
        <f>IS!E21</f>
        <v>4.5</v>
      </c>
      <c r="I33" s="240">
        <f>IS!F21</f>
        <v>-10.199999999999999</v>
      </c>
      <c r="J33" s="240">
        <f>IS!G21</f>
        <v>-6.5</v>
      </c>
      <c r="K33" s="240">
        <f>IS!H21</f>
        <v>65.7</v>
      </c>
      <c r="L33" s="240">
        <f>IS!I21</f>
        <v>4</v>
      </c>
      <c r="M33" s="240">
        <f>IS!J21</f>
        <v>11.2</v>
      </c>
      <c r="N33" s="240">
        <f>IS!K21</f>
        <v>-10.9</v>
      </c>
      <c r="O33" s="244">
        <f>O34*$O$9</f>
        <v>25.740375419519477</v>
      </c>
      <c r="P33" s="244">
        <f t="shared" ref="P33" si="27">P34*$O$9</f>
        <v>25.740375419519477</v>
      </c>
      <c r="Q33" s="244">
        <f t="shared" ref="Q33" si="28">Q34*$O$9</f>
        <v>25.740375419519477</v>
      </c>
      <c r="R33" s="244">
        <f t="shared" ref="R33" si="29">R34*$O$9</f>
        <v>25.740375419519477</v>
      </c>
      <c r="S33" s="244">
        <f t="shared" ref="S33" si="30">S34*$O$9</f>
        <v>25.740375419519477</v>
      </c>
    </row>
    <row r="34" spans="1:20">
      <c r="B34" s="14" t="s">
        <v>220</v>
      </c>
      <c r="E34" s="186">
        <f>E33/E$9</f>
        <v>8.753519324289737E-3</v>
      </c>
      <c r="F34" s="186">
        <f t="shared" ref="F34:N34" si="31">F33/F$9</f>
        <v>-8.8056972379944188E-3</v>
      </c>
      <c r="G34" s="186">
        <f t="shared" si="31"/>
        <v>3.5518388634115643E-3</v>
      </c>
      <c r="H34" s="186">
        <f t="shared" si="31"/>
        <v>2.7144408251900108E-3</v>
      </c>
      <c r="I34" s="186">
        <f t="shared" si="31"/>
        <v>-6.2149646600048736E-3</v>
      </c>
      <c r="J34" s="186">
        <f t="shared" si="31"/>
        <v>-3.6412525908912667E-3</v>
      </c>
      <c r="K34" s="186">
        <f t="shared" si="31"/>
        <v>3.386074318404371E-2</v>
      </c>
      <c r="L34" s="186">
        <f t="shared" si="31"/>
        <v>2.3430178069353325E-3</v>
      </c>
      <c r="M34" s="186">
        <f t="shared" si="31"/>
        <v>6.0514372163388806E-3</v>
      </c>
      <c r="N34" s="186">
        <f t="shared" si="31"/>
        <v>-4.9885583524027464E-3</v>
      </c>
      <c r="O34" s="17">
        <f t="shared" ref="O34" si="32">CHOOSE($A33,O35,O36,O37)</f>
        <v>0.01</v>
      </c>
      <c r="P34" s="17">
        <f t="shared" ref="P34" si="33">CHOOSE($A33,P35,P36,P37)</f>
        <v>0.01</v>
      </c>
      <c r="Q34" s="17">
        <f t="shared" ref="Q34" si="34">CHOOSE($A33,Q35,Q36,Q37)</f>
        <v>0.01</v>
      </c>
      <c r="R34" s="17">
        <f t="shared" ref="R34" si="35">CHOOSE($A33,R35,R36,R37)</f>
        <v>0.01</v>
      </c>
      <c r="S34" s="17">
        <f t="shared" ref="S34" si="36">CHOOSE($A33,S35,S36,S37)</f>
        <v>0.01</v>
      </c>
    </row>
    <row r="35" spans="1:20">
      <c r="B35" s="14" t="s">
        <v>23</v>
      </c>
      <c r="O35" s="245">
        <v>5.0000000000000001E-3</v>
      </c>
      <c r="P35" s="245">
        <v>5.0000000000000001E-3</v>
      </c>
      <c r="Q35" s="245">
        <v>5.0000000000000001E-3</v>
      </c>
      <c r="R35" s="245">
        <v>5.0000000000000001E-3</v>
      </c>
      <c r="S35" s="245">
        <v>5.0000000000000001E-3</v>
      </c>
    </row>
    <row r="36" spans="1:20">
      <c r="B36" s="14" t="s">
        <v>36</v>
      </c>
      <c r="O36" s="245">
        <v>0.01</v>
      </c>
      <c r="P36" s="245">
        <v>0.01</v>
      </c>
      <c r="Q36" s="245">
        <v>0.01</v>
      </c>
      <c r="R36" s="245">
        <v>0.01</v>
      </c>
      <c r="S36" s="245">
        <v>0.01</v>
      </c>
    </row>
    <row r="37" spans="1:20">
      <c r="B37" s="14" t="s">
        <v>24</v>
      </c>
      <c r="O37" s="245">
        <v>1.4999999999999999E-2</v>
      </c>
      <c r="P37" s="245">
        <v>1.4999999999999999E-2</v>
      </c>
      <c r="Q37" s="245">
        <v>1.4999999999999999E-2</v>
      </c>
      <c r="R37" s="245">
        <v>1.4999999999999999E-2</v>
      </c>
      <c r="S37" s="245">
        <v>1.4999999999999999E-2</v>
      </c>
    </row>
    <row r="38" spans="1:20">
      <c r="B38" s="14"/>
    </row>
    <row r="39" spans="1:20">
      <c r="B39" s="14"/>
    </row>
    <row r="40" spans="1:20">
      <c r="B40" s="14"/>
    </row>
    <row r="41" spans="1:20">
      <c r="B41" s="14"/>
    </row>
    <row r="42" spans="1:20">
      <c r="B42" s="14"/>
    </row>
    <row r="43" spans="1:20">
      <c r="B43" s="14"/>
    </row>
    <row r="44" spans="1:20" s="182" customFormat="1">
      <c r="A44" s="198">
        <v>2</v>
      </c>
      <c r="B44" s="182" t="s">
        <v>34</v>
      </c>
      <c r="E44" s="240">
        <f>-CFS!B27</f>
        <v>85.138999999999996</v>
      </c>
      <c r="F44" s="240">
        <f>-CFS!C27</f>
        <v>151.345</v>
      </c>
      <c r="G44" s="240">
        <f>-CFS!D27</f>
        <v>150.12700000000001</v>
      </c>
      <c r="H44" s="240">
        <f>-CFS!E27</f>
        <v>142.57599999999999</v>
      </c>
      <c r="I44" s="240">
        <f>-CFS!F27</f>
        <v>103.289</v>
      </c>
      <c r="J44" s="240">
        <f>-CFS!G27</f>
        <v>81.950999999999993</v>
      </c>
      <c r="K44" s="240">
        <f>-CFS!H27</f>
        <v>102.884</v>
      </c>
      <c r="L44" s="240">
        <f>-CFS!I27</f>
        <v>160.24199999999999</v>
      </c>
      <c r="M44" s="240">
        <f>-CFS!J27</f>
        <v>185.739</v>
      </c>
      <c r="N44" s="240">
        <f>-CFS!K27</f>
        <v>292.565</v>
      </c>
      <c r="O44" s="244">
        <f>O45*O$6</f>
        <v>261.57104999999996</v>
      </c>
      <c r="P44" s="244">
        <f t="shared" ref="P44:S44" si="37">P45*P$6</f>
        <v>285.63558659999995</v>
      </c>
      <c r="Q44" s="244">
        <f t="shared" si="37"/>
        <v>302.36567095800001</v>
      </c>
      <c r="R44" s="244">
        <f t="shared" si="37"/>
        <v>307.01745051120002</v>
      </c>
      <c r="S44" s="244">
        <f t="shared" si="37"/>
        <v>301.13294937640205</v>
      </c>
      <c r="T44" s="182" t="s">
        <v>217</v>
      </c>
    </row>
    <row r="45" spans="1:20">
      <c r="B45" s="14" t="s">
        <v>30</v>
      </c>
      <c r="E45" s="186">
        <f t="shared" ref="E45" si="38">E44/E$6</f>
        <v>3.3607277603978643E-2</v>
      </c>
      <c r="F45" s="186">
        <f t="shared" ref="F45" si="39">F44/F$6</f>
        <v>5.6926790139385473E-2</v>
      </c>
      <c r="G45" s="186">
        <f t="shared" ref="G45" si="40">G44/G$6</f>
        <v>5.2726831931432162E-2</v>
      </c>
      <c r="H45" s="186">
        <f t="shared" ref="H45" si="41">H44/H$6</f>
        <v>5.3015866687074448E-2</v>
      </c>
      <c r="I45" s="186">
        <f t="shared" ref="I45" si="42">I44/I$6</f>
        <v>4.9060903247083891E-2</v>
      </c>
      <c r="J45" s="186">
        <f t="shared" ref="J45" si="43">J44/J$6</f>
        <v>3.6443074946809949E-2</v>
      </c>
      <c r="K45" s="186">
        <f t="shared" ref="K45" si="44">K44/K$6</f>
        <v>4.1235313572560002E-2</v>
      </c>
      <c r="L45" s="186">
        <f t="shared" ref="L45" si="45">L44/L$6</f>
        <v>7.1774781034565333E-2</v>
      </c>
      <c r="M45" s="186">
        <f t="shared" ref="M45" si="46">M44/M$6</f>
        <v>7.6036752527305934E-2</v>
      </c>
      <c r="N45" s="186">
        <f t="shared" ref="N45" si="47">N44/N$6</f>
        <v>0.10066423635184399</v>
      </c>
      <c r="O45" s="17">
        <f t="shared" ref="O45" si="48">CHOOSE($A44,O46,O47,O48)</f>
        <v>7.4999999999999997E-2</v>
      </c>
      <c r="P45" s="17">
        <f t="shared" ref="P45" si="49">CHOOSE($A44,P46,P47,P48)</f>
        <v>7.0000000000000007E-2</v>
      </c>
      <c r="Q45" s="17">
        <f t="shared" ref="Q45" si="50">CHOOSE($A44,Q46,Q47,Q48)</f>
        <v>6.5000000000000002E-2</v>
      </c>
      <c r="R45" s="17">
        <f t="shared" ref="R45" si="51">CHOOSE($A44,R46,R47,R48)</f>
        <v>0.06</v>
      </c>
      <c r="S45" s="17">
        <f>CHOOSE($A44,S46,S47,S48)</f>
        <v>5.5E-2</v>
      </c>
    </row>
    <row r="46" spans="1:20">
      <c r="B46" s="14" t="s">
        <v>23</v>
      </c>
      <c r="O46" s="451">
        <v>7.0000000000000007E-2</v>
      </c>
      <c r="P46" s="451">
        <v>6.5000000000000002E-2</v>
      </c>
      <c r="Q46" s="451">
        <v>0.06</v>
      </c>
      <c r="R46" s="451">
        <v>5.5E-2</v>
      </c>
      <c r="S46" s="451">
        <v>0.05</v>
      </c>
    </row>
    <row r="47" spans="1:20">
      <c r="B47" s="14" t="s">
        <v>36</v>
      </c>
      <c r="O47" s="452">
        <v>7.4999999999999997E-2</v>
      </c>
      <c r="P47" s="452">
        <v>7.0000000000000007E-2</v>
      </c>
      <c r="Q47" s="452">
        <v>6.5000000000000002E-2</v>
      </c>
      <c r="R47" s="452">
        <v>0.06</v>
      </c>
      <c r="S47" s="452">
        <v>5.5E-2</v>
      </c>
    </row>
    <row r="48" spans="1:20">
      <c r="B48" s="14" t="s">
        <v>24</v>
      </c>
      <c r="O48" s="451">
        <v>0.08</v>
      </c>
      <c r="P48" s="451">
        <v>7.4999999999999997E-2</v>
      </c>
      <c r="Q48" s="451">
        <v>7.0000000000000007E-2</v>
      </c>
      <c r="R48" s="451">
        <v>6.5000000000000002E-2</v>
      </c>
      <c r="S48" s="451">
        <v>0.06</v>
      </c>
    </row>
    <row r="49" spans="2:19">
      <c r="B49" s="14"/>
    </row>
    <row r="50" spans="2:19">
      <c r="E50" s="249"/>
      <c r="F50" s="249"/>
      <c r="G50" s="249"/>
      <c r="H50" s="249"/>
      <c r="I50" s="249"/>
      <c r="J50" s="249"/>
      <c r="K50" s="249"/>
      <c r="L50" s="249"/>
      <c r="M50" s="249"/>
      <c r="N50" s="249"/>
      <c r="O50" s="246"/>
      <c r="P50" s="246"/>
      <c r="Q50" s="246"/>
      <c r="R50" s="246"/>
      <c r="S50" s="246"/>
    </row>
    <row r="51" spans="2:19">
      <c r="B51" s="14"/>
      <c r="E51" s="247"/>
      <c r="F51" s="247"/>
      <c r="G51" s="247"/>
      <c r="H51" s="247"/>
      <c r="I51" s="247"/>
      <c r="J51" s="247"/>
      <c r="K51" s="247"/>
      <c r="L51" s="247"/>
      <c r="M51" s="247"/>
      <c r="N51" s="247"/>
      <c r="O51" s="43"/>
      <c r="P51" s="43"/>
      <c r="Q51" s="43"/>
      <c r="R51" s="43"/>
      <c r="S51" s="43"/>
    </row>
    <row r="52" spans="2:19">
      <c r="B52" s="14"/>
    </row>
    <row r="53" spans="2:19">
      <c r="E53" s="248"/>
      <c r="F53" s="248"/>
      <c r="G53" s="248"/>
      <c r="H53" s="248"/>
      <c r="I53" s="248"/>
      <c r="J53" s="248"/>
      <c r="K53" s="248"/>
      <c r="L53" s="248"/>
      <c r="M53" s="248"/>
      <c r="N53" s="248"/>
      <c r="O53" s="5"/>
      <c r="P53" s="5"/>
      <c r="Q53" s="5"/>
      <c r="R53" s="5"/>
      <c r="S53" s="5"/>
    </row>
    <row r="54" spans="2:19">
      <c r="B54" s="14"/>
      <c r="E54" s="247"/>
      <c r="F54" s="247"/>
      <c r="G54" s="247"/>
      <c r="H54" s="247"/>
      <c r="I54" s="247"/>
      <c r="J54" s="247"/>
      <c r="K54" s="247"/>
      <c r="L54" s="247"/>
      <c r="M54" s="247"/>
      <c r="N54" s="247"/>
      <c r="O54" s="247"/>
      <c r="P54" s="247"/>
      <c r="Q54" s="247"/>
      <c r="R54" s="247"/>
      <c r="S54" s="247"/>
    </row>
    <row r="55" spans="2:19">
      <c r="B55" s="14"/>
      <c r="E55" s="242"/>
      <c r="F55" s="242"/>
      <c r="G55" s="242"/>
      <c r="H55" s="242"/>
      <c r="I55" s="242"/>
      <c r="J55" s="242"/>
      <c r="K55" s="242"/>
      <c r="L55" s="242"/>
      <c r="M55" s="242"/>
      <c r="N55" s="242"/>
    </row>
  </sheetData>
  <dataValidations count="1">
    <dataValidation type="list" allowBlank="1" showInputMessage="1" showErrorMessage="1" sqref="A9 A15 A21 A44 A27 A33" xr:uid="{A8E6CC74-323E-7640-B3B0-81ED78A7A808}">
      <formula1>"1,2,3"</formula1>
    </dataValidation>
  </dataValidation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B408-3903-3145-8915-32202F6B6211}">
  <sheetPr>
    <tabColor rgb="FF0033CC"/>
  </sheetPr>
  <dimension ref="A1:R52"/>
  <sheetViews>
    <sheetView showGridLines="0" zoomScale="111" zoomScaleNormal="100" workbookViewId="0">
      <selection activeCell="M9" sqref="M9"/>
    </sheetView>
  </sheetViews>
  <sheetFormatPr baseColWidth="10" defaultRowHeight="15" customHeight="1"/>
  <cols>
    <col min="1" max="1" width="4.6640625" style="204" customWidth="1"/>
    <col min="2" max="2" width="34.5" style="204" customWidth="1"/>
    <col min="3" max="3" width="12.33203125" style="204" bestFit="1" customWidth="1"/>
    <col min="4" max="6" width="10.83203125" style="204"/>
    <col min="7" max="7" width="12.33203125" style="204" bestFit="1" customWidth="1"/>
    <col min="8" max="12" width="10.83203125" style="204"/>
    <col min="13" max="13" width="14.33203125" style="204" bestFit="1" customWidth="1"/>
    <col min="14" max="17" width="11" style="204" bestFit="1" customWidth="1"/>
    <col min="18" max="16384" width="10.83203125" style="204"/>
  </cols>
  <sheetData>
    <row r="1" spans="1:18" customFormat="1"/>
    <row r="2" spans="1:18" s="2" customFormat="1" ht="21" customHeight="1">
      <c r="B2" s="65" t="s">
        <v>137</v>
      </c>
    </row>
    <row r="4" spans="1:18" ht="15" customHeight="1" thickBot="1"/>
    <row r="5" spans="1:18" ht="15" customHeight="1">
      <c r="A5" s="205" t="s">
        <v>0</v>
      </c>
      <c r="B5" s="220" t="s">
        <v>137</v>
      </c>
      <c r="C5" s="218">
        <f t="shared" ref="C5:K5" si="0">D5-1</f>
        <v>2016</v>
      </c>
      <c r="D5" s="218">
        <f t="shared" si="0"/>
        <v>2017</v>
      </c>
      <c r="E5" s="218">
        <f t="shared" si="0"/>
        <v>2018</v>
      </c>
      <c r="F5" s="218">
        <f t="shared" si="0"/>
        <v>2019</v>
      </c>
      <c r="G5" s="218">
        <f t="shared" si="0"/>
        <v>2020</v>
      </c>
      <c r="H5" s="218">
        <f t="shared" si="0"/>
        <v>2021</v>
      </c>
      <c r="I5" s="218">
        <f t="shared" si="0"/>
        <v>2022</v>
      </c>
      <c r="J5" s="218">
        <f t="shared" si="0"/>
        <v>2023</v>
      </c>
      <c r="K5" s="218">
        <f t="shared" si="0"/>
        <v>2024</v>
      </c>
      <c r="L5" s="218">
        <f>M5-1</f>
        <v>2025</v>
      </c>
      <c r="M5" s="219">
        <f>DCF!O16</f>
        <v>2026</v>
      </c>
      <c r="N5" s="293">
        <f>M5+1</f>
        <v>2027</v>
      </c>
      <c r="O5" s="293">
        <f t="shared" ref="O5:Q5" si="1">N5+1</f>
        <v>2028</v>
      </c>
      <c r="P5" s="293">
        <f t="shared" si="1"/>
        <v>2029</v>
      </c>
      <c r="Q5" s="294">
        <f t="shared" si="1"/>
        <v>2030</v>
      </c>
      <c r="R5" s="206"/>
    </row>
    <row r="6" spans="1:18" ht="15" customHeight="1">
      <c r="B6" s="221" t="s">
        <v>27</v>
      </c>
      <c r="C6" s="216">
        <f>'Case Assumptions'!E6</f>
        <v>2533.35009765625</v>
      </c>
      <c r="D6" s="216">
        <f>'Case Assumptions'!F6</f>
        <v>2658.590087890625</v>
      </c>
      <c r="E6" s="216">
        <f>'Case Assumptions'!G6</f>
        <v>2847.260009765625</v>
      </c>
      <c r="F6" s="216">
        <f>'Case Assumptions'!H6</f>
        <v>2689.30810546875</v>
      </c>
      <c r="G6" s="216">
        <f>'Case Assumptions'!I6</f>
        <v>2105.322021484375</v>
      </c>
      <c r="H6" s="216">
        <f>'Case Assumptions'!J6</f>
        <v>2248.739990234375</v>
      </c>
      <c r="I6" s="216">
        <f>'Case Assumptions'!K6</f>
        <v>2495.0458984375</v>
      </c>
      <c r="J6" s="216">
        <f>'Case Assumptions'!L6</f>
        <v>2232.56689453125</v>
      </c>
      <c r="K6" s="216">
        <f>'Case Assumptions'!M6</f>
        <v>2442.7529296875</v>
      </c>
      <c r="L6" s="216">
        <f>'Case Assumptions'!N6</f>
        <v>2906.3449999999998</v>
      </c>
      <c r="M6" s="260">
        <f>'Case Assumptions'!O6</f>
        <v>3487.6139999999996</v>
      </c>
      <c r="N6" s="260">
        <f>'Case Assumptions'!P6</f>
        <v>4080.5083799999993</v>
      </c>
      <c r="O6" s="260">
        <f>'Case Assumptions'!Q6</f>
        <v>4651.7795532</v>
      </c>
      <c r="P6" s="260">
        <f>'Case Assumptions'!R6</f>
        <v>5116.9575085200004</v>
      </c>
      <c r="Q6" s="261">
        <f>'Case Assumptions'!S6</f>
        <v>5475.1445341164008</v>
      </c>
    </row>
    <row r="7" spans="1:18" ht="15" customHeight="1">
      <c r="B7" s="222" t="s">
        <v>126</v>
      </c>
      <c r="C7" s="213"/>
      <c r="D7" s="257">
        <f>(D6-C6)/D6</f>
        <v>4.7107672147285687E-2</v>
      </c>
      <c r="E7" s="257">
        <f t="shared" ref="E7:Q7" si="2">(E6-D6)/E6</f>
        <v>6.6263678493672429E-2</v>
      </c>
      <c r="F7" s="257">
        <f t="shared" si="2"/>
        <v>-5.8733286816663864E-2</v>
      </c>
      <c r="G7" s="257">
        <f t="shared" si="2"/>
        <v>-0.27738563413336204</v>
      </c>
      <c r="H7" s="257">
        <f t="shared" si="2"/>
        <v>6.377703486077653E-2</v>
      </c>
      <c r="I7" s="257">
        <f t="shared" si="2"/>
        <v>9.8717986854418932E-2</v>
      </c>
      <c r="J7" s="257">
        <f t="shared" si="2"/>
        <v>-0.11756825945471171</v>
      </c>
      <c r="K7" s="257">
        <f t="shared" si="2"/>
        <v>8.6044737722672168E-2</v>
      </c>
      <c r="L7" s="257">
        <f t="shared" si="2"/>
        <v>0.1595103369739311</v>
      </c>
      <c r="M7" s="262">
        <f t="shared" si="2"/>
        <v>0.16666666666666663</v>
      </c>
      <c r="N7" s="262">
        <f t="shared" si="2"/>
        <v>0.14529914529914525</v>
      </c>
      <c r="O7" s="262">
        <f t="shared" si="2"/>
        <v>0.12280701754385979</v>
      </c>
      <c r="P7" s="262">
        <f t="shared" si="2"/>
        <v>9.0909090909090967E-2</v>
      </c>
      <c r="Q7" s="263">
        <f t="shared" si="2"/>
        <v>6.5420560747663614E-2</v>
      </c>
    </row>
    <row r="8" spans="1:18" ht="15" customHeight="1">
      <c r="B8" s="222"/>
      <c r="C8" s="213"/>
      <c r="D8" s="213"/>
      <c r="E8" s="214"/>
      <c r="F8" s="214"/>
      <c r="G8" s="214"/>
      <c r="H8" s="214"/>
      <c r="I8" s="213"/>
      <c r="J8" s="213"/>
      <c r="K8" s="213"/>
      <c r="L8" s="213"/>
      <c r="M8" s="264"/>
      <c r="N8" s="265"/>
      <c r="O8" s="265"/>
      <c r="P8" s="265"/>
      <c r="Q8" s="266"/>
    </row>
    <row r="9" spans="1:18" ht="15" customHeight="1">
      <c r="B9" s="223" t="s">
        <v>60</v>
      </c>
      <c r="C9" s="216">
        <f>'Case Assumptions'!E9</f>
        <v>1953.5</v>
      </c>
      <c r="D9" s="216">
        <f>'Case Assumptions'!F9</f>
        <v>2078.1999999999998</v>
      </c>
      <c r="E9" s="216">
        <f>'Case Assumptions'!G9</f>
        <v>2224.1999999999998</v>
      </c>
      <c r="F9" s="216">
        <f>'Case Assumptions'!H9</f>
        <v>1657.8</v>
      </c>
      <c r="G9" s="216">
        <f>'Case Assumptions'!I9</f>
        <v>1641.2</v>
      </c>
      <c r="H9" s="216">
        <f>'Case Assumptions'!J9</f>
        <v>1785.1</v>
      </c>
      <c r="I9" s="216">
        <f>'Case Assumptions'!K9</f>
        <v>1940.3</v>
      </c>
      <c r="J9" s="216">
        <f>'Case Assumptions'!L9</f>
        <v>1707.2</v>
      </c>
      <c r="K9" s="216">
        <f>'Case Assumptions'!M9</f>
        <v>1850.8</v>
      </c>
      <c r="L9" s="216">
        <f>'Case Assumptions'!N9</f>
        <v>2185</v>
      </c>
      <c r="M9" s="260">
        <f>'Case Assumptions'!O9</f>
        <v>2574.0375419519478</v>
      </c>
      <c r="N9" s="260">
        <f>'Case Assumptions'!P9</f>
        <v>2897.1609497999993</v>
      </c>
      <c r="O9" s="260">
        <f>'Case Assumptions'!Q9</f>
        <v>3279.5045850059996</v>
      </c>
      <c r="P9" s="260">
        <f>'Case Assumptions'!R9</f>
        <v>3581.8702559640001</v>
      </c>
      <c r="Q9" s="261">
        <f>'Case Assumptions'!S9</f>
        <v>3777.8497285403164</v>
      </c>
    </row>
    <row r="10" spans="1:18" ht="15" customHeight="1">
      <c r="B10" s="222" t="s">
        <v>127</v>
      </c>
      <c r="C10" s="213"/>
      <c r="D10" s="257">
        <f>(D9-C9)/D9</f>
        <v>6.000384948513128E-2</v>
      </c>
      <c r="E10" s="257">
        <f t="shared" ref="E10" si="3">(E9-D9)/E9</f>
        <v>6.5641578994694721E-2</v>
      </c>
      <c r="F10" s="257">
        <f t="shared" ref="F10" si="4">(F9-E9)/F9</f>
        <v>-0.34165761853058263</v>
      </c>
      <c r="G10" s="257">
        <f t="shared" ref="G10" si="5">(G9-F9)/G9</f>
        <v>-1.0114550329027486E-2</v>
      </c>
      <c r="H10" s="257">
        <f t="shared" ref="H10" si="6">(H9-G9)/H9</f>
        <v>8.061173043526966E-2</v>
      </c>
      <c r="I10" s="257">
        <f t="shared" ref="I10" si="7">(I9-H9)/I9</f>
        <v>7.9987630778745586E-2</v>
      </c>
      <c r="J10" s="257">
        <f t="shared" ref="J10" si="8">(J9-I9)/J9</f>
        <v>-0.13653936269915645</v>
      </c>
      <c r="K10" s="257">
        <f t="shared" ref="K10" si="9">(K9-J9)/K9</f>
        <v>7.7588070023773451E-2</v>
      </c>
      <c r="L10" s="257">
        <f t="shared" ref="L10" si="10">(L9-K9)/L9</f>
        <v>0.15295194508009155</v>
      </c>
      <c r="M10" s="262">
        <f t="shared" ref="M10" si="11">(M9-L9)/M9</f>
        <v>0.15113903181727967</v>
      </c>
      <c r="N10" s="262">
        <f t="shared" ref="N10" si="12">(N9-M9)/N9</f>
        <v>0.1115310517596055</v>
      </c>
      <c r="O10" s="262">
        <f t="shared" ref="O10" si="13">(O9-N9)/O9</f>
        <v>0.11658579071792967</v>
      </c>
      <c r="P10" s="262">
        <f t="shared" ref="P10" si="14">(P9-O9)/P9</f>
        <v>8.4415584415584541E-2</v>
      </c>
      <c r="Q10" s="263">
        <f t="shared" ref="Q10" si="15">(Q9-P9)/Q9</f>
        <v>5.1875931193281939E-2</v>
      </c>
    </row>
    <row r="11" spans="1:18" ht="15" customHeight="1">
      <c r="B11" s="222"/>
      <c r="C11" s="213"/>
      <c r="D11" s="213"/>
      <c r="E11" s="214"/>
      <c r="F11" s="214"/>
      <c r="G11" s="214"/>
      <c r="H11" s="214"/>
      <c r="I11" s="213"/>
      <c r="J11" s="213"/>
      <c r="K11" s="213"/>
      <c r="L11" s="213"/>
      <c r="M11" s="264"/>
      <c r="N11" s="265"/>
      <c r="O11" s="265"/>
      <c r="P11" s="265"/>
      <c r="Q11" s="266"/>
    </row>
    <row r="12" spans="1:18" ht="15" customHeight="1">
      <c r="B12" s="252" t="s">
        <v>128</v>
      </c>
      <c r="C12" s="254">
        <f>C6-C9</f>
        <v>579.85009765625</v>
      </c>
      <c r="D12" s="254">
        <f t="shared" ref="D12:Q12" si="16">D6-D9</f>
        <v>580.39008789062518</v>
      </c>
      <c r="E12" s="254">
        <f t="shared" si="16"/>
        <v>623.06000976562518</v>
      </c>
      <c r="F12" s="254">
        <f t="shared" si="16"/>
        <v>1031.50810546875</v>
      </c>
      <c r="G12" s="254">
        <f t="shared" si="16"/>
        <v>464.12202148437495</v>
      </c>
      <c r="H12" s="254">
        <f t="shared" si="16"/>
        <v>463.63999023437509</v>
      </c>
      <c r="I12" s="254">
        <f t="shared" si="16"/>
        <v>554.74589843750005</v>
      </c>
      <c r="J12" s="254">
        <f t="shared" si="16"/>
        <v>525.36689453124995</v>
      </c>
      <c r="K12" s="254">
        <f t="shared" si="16"/>
        <v>591.95292968750005</v>
      </c>
      <c r="L12" s="254">
        <f t="shared" si="16"/>
        <v>721.3449999999998</v>
      </c>
      <c r="M12" s="254">
        <f>M6-M9</f>
        <v>913.57645804805179</v>
      </c>
      <c r="N12" s="254">
        <f t="shared" si="16"/>
        <v>1183.3474302</v>
      </c>
      <c r="O12" s="254">
        <f t="shared" si="16"/>
        <v>1372.2749681940004</v>
      </c>
      <c r="P12" s="254">
        <f t="shared" si="16"/>
        <v>1535.0872525560003</v>
      </c>
      <c r="Q12" s="255">
        <f t="shared" si="16"/>
        <v>1697.2948055760844</v>
      </c>
    </row>
    <row r="13" spans="1:18" ht="15" customHeight="1">
      <c r="B13" s="222" t="s">
        <v>129</v>
      </c>
      <c r="C13" s="257">
        <f>C12/C6</f>
        <v>0.228886681786581</v>
      </c>
      <c r="D13" s="257">
        <f>D12/D6</f>
        <v>0.21830747452726626</v>
      </c>
      <c r="E13" s="257">
        <f t="shared" ref="E13:Q13" si="17">E12/E6</f>
        <v>0.21882792847461549</v>
      </c>
      <c r="F13" s="257">
        <f t="shared" si="17"/>
        <v>0.3835589173926045</v>
      </c>
      <c r="G13" s="257">
        <f t="shared" si="17"/>
        <v>0.22045179632764295</v>
      </c>
      <c r="H13" s="257">
        <f t="shared" si="17"/>
        <v>0.20617767827664779</v>
      </c>
      <c r="I13" s="257">
        <f t="shared" si="17"/>
        <v>0.22233895528130551</v>
      </c>
      <c r="J13" s="257">
        <f t="shared" si="17"/>
        <v>0.23531966536731974</v>
      </c>
      <c r="K13" s="257">
        <f t="shared" si="17"/>
        <v>0.24233025063375044</v>
      </c>
      <c r="L13" s="257">
        <f t="shared" si="17"/>
        <v>0.24819661808904306</v>
      </c>
      <c r="M13" s="262">
        <f t="shared" si="17"/>
        <v>0.26194884469670437</v>
      </c>
      <c r="N13" s="262">
        <f t="shared" si="17"/>
        <v>0.29000000000000004</v>
      </c>
      <c r="O13" s="262">
        <f t="shared" si="17"/>
        <v>0.2950000000000001</v>
      </c>
      <c r="P13" s="262">
        <f t="shared" si="17"/>
        <v>0.30000000000000004</v>
      </c>
      <c r="Q13" s="263">
        <f t="shared" si="17"/>
        <v>0.31000000000000005</v>
      </c>
    </row>
    <row r="14" spans="1:18" ht="15" customHeight="1">
      <c r="B14" s="222"/>
      <c r="C14" s="213"/>
      <c r="D14" s="213"/>
      <c r="E14" s="213"/>
      <c r="F14" s="213"/>
      <c r="G14" s="213"/>
      <c r="H14" s="213"/>
      <c r="I14" s="213"/>
      <c r="J14" s="213"/>
      <c r="K14" s="213"/>
      <c r="L14" s="213"/>
      <c r="M14" s="264"/>
      <c r="N14" s="265"/>
      <c r="O14" s="265"/>
      <c r="P14" s="265"/>
      <c r="Q14" s="266"/>
    </row>
    <row r="15" spans="1:18" ht="15" customHeight="1">
      <c r="A15" s="210"/>
      <c r="B15" s="223" t="s">
        <v>130</v>
      </c>
      <c r="C15" s="216">
        <f>'Case Assumptions'!E15</f>
        <v>180.3</v>
      </c>
      <c r="D15" s="216">
        <f>'Case Assumptions'!F15</f>
        <v>174.3</v>
      </c>
      <c r="E15" s="216">
        <f>'Case Assumptions'!G15</f>
        <v>225.6</v>
      </c>
      <c r="F15" s="216">
        <f>'Case Assumptions'!H15</f>
        <v>144</v>
      </c>
      <c r="G15" s="216">
        <f>'Case Assumptions'!I15</f>
        <v>143.9</v>
      </c>
      <c r="H15" s="216">
        <f>'Case Assumptions'!J15</f>
        <v>127.3</v>
      </c>
      <c r="I15" s="216">
        <f>'Case Assumptions'!K15</f>
        <v>133.9</v>
      </c>
      <c r="J15" s="216">
        <f>'Case Assumptions'!L15</f>
        <v>160.69999999999999</v>
      </c>
      <c r="K15" s="216">
        <f>'Case Assumptions'!M15</f>
        <v>150.1</v>
      </c>
      <c r="L15" s="216">
        <f>'Case Assumptions'!N15</f>
        <v>147.19999999999999</v>
      </c>
      <c r="M15" s="260">
        <f>'Case Assumptions'!O15</f>
        <v>209.25683999999995</v>
      </c>
      <c r="N15" s="260">
        <f>'Case Assumptions'!P15</f>
        <v>244.83050279999995</v>
      </c>
      <c r="O15" s="260">
        <f>'Case Assumptions'!Q15</f>
        <v>274.45499363879998</v>
      </c>
      <c r="P15" s="260">
        <f>'Case Assumptions'!R15</f>
        <v>296.78353549416005</v>
      </c>
      <c r="Q15" s="261">
        <f>'Case Assumptions'!S15</f>
        <v>312.08323844463484</v>
      </c>
    </row>
    <row r="16" spans="1:18" ht="15" customHeight="1">
      <c r="B16" s="222" t="s">
        <v>127</v>
      </c>
      <c r="C16" s="257"/>
      <c r="D16" s="257">
        <f>(D15-C15)/D15</f>
        <v>-3.4423407917383818E-2</v>
      </c>
      <c r="E16" s="257">
        <f t="shared" ref="E16" si="18">(E15-D15)/E15</f>
        <v>0.22739361702127653</v>
      </c>
      <c r="F16" s="257">
        <f t="shared" ref="F16" si="19">(F15-E15)/F15</f>
        <v>-0.56666666666666665</v>
      </c>
      <c r="G16" s="257">
        <f t="shared" ref="G16" si="20">(G15-F15)/G15</f>
        <v>-6.9492703266153105E-4</v>
      </c>
      <c r="H16" s="257">
        <f t="shared" ref="H16" si="21">(H15-G15)/H15</f>
        <v>-0.13040062843676362</v>
      </c>
      <c r="I16" s="257">
        <f t="shared" ref="I16" si="22">(I15-H15)/I15</f>
        <v>4.929051530993285E-2</v>
      </c>
      <c r="J16" s="257">
        <f t="shared" ref="J16" si="23">(J15-I15)/J15</f>
        <v>0.16677037958929672</v>
      </c>
      <c r="K16" s="257">
        <f t="shared" ref="K16" si="24">(K15-J15)/K15</f>
        <v>-7.0619586942038612E-2</v>
      </c>
      <c r="L16" s="257">
        <f t="shared" ref="L16" si="25">(L15-K15)/L15</f>
        <v>-1.9701086956521778E-2</v>
      </c>
      <c r="M16" s="262">
        <f t="shared" ref="M16" si="26">(M15-L15)/M15</f>
        <v>0.29655823914764257</v>
      </c>
      <c r="N16" s="262">
        <f t="shared" ref="N16" si="27">(N15-M15)/N15</f>
        <v>0.14529914529914531</v>
      </c>
      <c r="O16" s="262">
        <f t="shared" ref="O16" si="28">(O15-N15)/O15</f>
        <v>0.10793933987511162</v>
      </c>
      <c r="P16" s="262">
        <f t="shared" ref="P16" si="29">(P15-O15)/P15</f>
        <v>7.5235109717868565E-2</v>
      </c>
      <c r="Q16" s="263">
        <f t="shared" ref="Q16" si="30">(Q15-P15)/Q15</f>
        <v>4.9024430234464643E-2</v>
      </c>
    </row>
    <row r="17" spans="2:17" ht="15" customHeight="1">
      <c r="B17" s="222"/>
      <c r="C17" s="213"/>
      <c r="D17" s="213"/>
      <c r="E17" s="213"/>
      <c r="F17" s="213"/>
      <c r="G17" s="213"/>
      <c r="H17" s="213"/>
      <c r="I17" s="213"/>
      <c r="J17" s="213"/>
      <c r="K17" s="213"/>
      <c r="L17" s="213"/>
      <c r="M17" s="264"/>
      <c r="N17" s="265"/>
      <c r="O17" s="265"/>
      <c r="P17" s="265"/>
      <c r="Q17" s="266"/>
    </row>
    <row r="18" spans="2:17" ht="15" customHeight="1">
      <c r="B18" s="223" t="s">
        <v>131</v>
      </c>
      <c r="C18" s="216">
        <f>'Case Assumptions'!E21</f>
        <v>211.9</v>
      </c>
      <c r="D18" s="216">
        <f>'Case Assumptions'!F21</f>
        <v>189.7</v>
      </c>
      <c r="E18" s="216">
        <f>'Case Assumptions'!G21</f>
        <v>219.5</v>
      </c>
      <c r="F18" s="216">
        <f>'Case Assumptions'!H21</f>
        <v>216.4</v>
      </c>
      <c r="G18" s="216">
        <f>'Case Assumptions'!I21</f>
        <v>199.4</v>
      </c>
      <c r="H18" s="216">
        <f>'Case Assumptions'!J21</f>
        <v>199.3</v>
      </c>
      <c r="I18" s="216">
        <f>'Case Assumptions'!K21</f>
        <v>246.6</v>
      </c>
      <c r="J18" s="216">
        <f>'Case Assumptions'!L21</f>
        <v>253.2</v>
      </c>
      <c r="K18" s="216">
        <f>'Case Assumptions'!M21</f>
        <v>282</v>
      </c>
      <c r="L18" s="216">
        <f>'Case Assumptions'!N21</f>
        <v>306.60000000000002</v>
      </c>
      <c r="M18" s="260">
        <f>'Case Assumptions'!O21</f>
        <v>331.32332999999994</v>
      </c>
      <c r="N18" s="260">
        <f>'Case Assumptions'!P21</f>
        <v>375.4067709599999</v>
      </c>
      <c r="O18" s="260">
        <f>'Case Assumptions'!Q21</f>
        <v>409.35660068159996</v>
      </c>
      <c r="P18" s="260">
        <f>'Case Assumptions'!R21</f>
        <v>434.94138822420007</v>
      </c>
      <c r="Q18" s="261">
        <f>'Case Assumptions'!S21</f>
        <v>454.43699633166131</v>
      </c>
    </row>
    <row r="19" spans="2:17" ht="15" customHeight="1">
      <c r="B19" s="222" t="s">
        <v>127</v>
      </c>
      <c r="C19" s="213"/>
      <c r="D19" s="257">
        <f>(D18-C18)/D18</f>
        <v>-0.11702688455455992</v>
      </c>
      <c r="E19" s="257">
        <f t="shared" ref="E19" si="31">(E18-D18)/E18</f>
        <v>0.13576309794988617</v>
      </c>
      <c r="F19" s="257">
        <f t="shared" ref="F19" si="32">(F18-E18)/F18</f>
        <v>-1.4325323475046184E-2</v>
      </c>
      <c r="G19" s="257">
        <f t="shared" ref="G19" si="33">(G18-F18)/G18</f>
        <v>-8.5255767301905719E-2</v>
      </c>
      <c r="H19" s="257">
        <f t="shared" ref="H19" si="34">(H18-G18)/H18</f>
        <v>-5.0175614651276623E-4</v>
      </c>
      <c r="I19" s="257">
        <f t="shared" ref="I19" si="35">(I18-H18)/I18</f>
        <v>0.19180859691808591</v>
      </c>
      <c r="J19" s="257">
        <f t="shared" ref="J19" si="36">(J18-I18)/J18</f>
        <v>2.6066350710900452E-2</v>
      </c>
      <c r="K19" s="257">
        <f t="shared" ref="K19" si="37">(K18-J18)/K18</f>
        <v>0.10212765957446812</v>
      </c>
      <c r="L19" s="257">
        <f t="shared" ref="L19" si="38">(L18-K18)/L18</f>
        <v>8.0234833659491259E-2</v>
      </c>
      <c r="M19" s="262">
        <f t="shared" ref="M19" si="39">(M18-L18)/M18</f>
        <v>7.4619949038903857E-2</v>
      </c>
      <c r="N19" s="262">
        <f t="shared" ref="N19" si="40">(N18-M18)/N18</f>
        <v>0.11742846525455214</v>
      </c>
      <c r="O19" s="262">
        <f t="shared" ref="O19" si="41">(O18-N18)/O18</f>
        <v>8.2934609250398861E-2</v>
      </c>
      <c r="P19" s="262">
        <f t="shared" ref="P19" si="42">(P18-O18)/P18</f>
        <v>5.8823529411764955E-2</v>
      </c>
      <c r="Q19" s="263">
        <f t="shared" ref="Q19" si="43">(Q18-P18)/Q18</f>
        <v>4.2900574259655516E-2</v>
      </c>
    </row>
    <row r="20" spans="2:17" ht="15" customHeight="1">
      <c r="B20" s="222"/>
      <c r="C20" s="213"/>
      <c r="D20" s="213"/>
      <c r="E20" s="213"/>
      <c r="F20" s="213"/>
      <c r="G20" s="213"/>
      <c r="H20" s="213"/>
      <c r="I20" s="213"/>
      <c r="J20" s="213"/>
      <c r="K20" s="213"/>
      <c r="L20" s="213"/>
      <c r="M20" s="264"/>
      <c r="N20" s="265"/>
      <c r="O20" s="265"/>
      <c r="P20" s="265"/>
      <c r="Q20" s="266"/>
    </row>
    <row r="21" spans="2:17" ht="15" hidden="1" customHeight="1">
      <c r="B21" s="223" t="s">
        <v>63</v>
      </c>
      <c r="C21" s="216">
        <v>0</v>
      </c>
      <c r="D21" s="216">
        <v>0</v>
      </c>
      <c r="E21" s="216">
        <v>0</v>
      </c>
      <c r="F21" s="216">
        <v>0</v>
      </c>
      <c r="G21" s="216">
        <v>0</v>
      </c>
      <c r="H21" s="216">
        <v>0</v>
      </c>
      <c r="I21" s="216">
        <v>0</v>
      </c>
      <c r="J21" s="216">
        <v>0</v>
      </c>
      <c r="K21" s="216">
        <v>0</v>
      </c>
      <c r="L21" s="216">
        <v>0</v>
      </c>
      <c r="M21" s="260">
        <v>0</v>
      </c>
      <c r="N21" s="260">
        <v>0</v>
      </c>
      <c r="O21" s="260">
        <v>0</v>
      </c>
      <c r="P21" s="260">
        <v>0</v>
      </c>
      <c r="Q21" s="261">
        <v>0</v>
      </c>
    </row>
    <row r="22" spans="2:17" ht="15" hidden="1" customHeight="1">
      <c r="B22" s="222" t="s">
        <v>127</v>
      </c>
      <c r="C22" s="213"/>
      <c r="D22" s="213"/>
      <c r="E22" s="213"/>
      <c r="F22" s="213"/>
      <c r="G22" s="213"/>
      <c r="H22" s="213"/>
      <c r="I22" s="213"/>
      <c r="J22" s="213"/>
      <c r="K22" s="213"/>
      <c r="L22" s="213"/>
      <c r="M22" s="264"/>
      <c r="N22" s="267"/>
      <c r="O22" s="267"/>
      <c r="P22" s="267"/>
      <c r="Q22" s="268"/>
    </row>
    <row r="23" spans="2:17" ht="15" hidden="1" customHeight="1">
      <c r="B23" s="224"/>
      <c r="C23" s="213"/>
      <c r="D23" s="213"/>
      <c r="E23" s="213"/>
      <c r="F23" s="213"/>
      <c r="G23" s="213"/>
      <c r="H23" s="213"/>
      <c r="I23" s="213"/>
      <c r="J23" s="213"/>
      <c r="K23" s="213"/>
      <c r="L23" s="213"/>
      <c r="M23" s="264"/>
      <c r="N23" s="267"/>
      <c r="O23" s="267"/>
      <c r="P23" s="267"/>
      <c r="Q23" s="268"/>
    </row>
    <row r="24" spans="2:17" ht="15" customHeight="1">
      <c r="B24" s="252" t="s">
        <v>132</v>
      </c>
      <c r="C24" s="254">
        <f>C12-C15-C18-C21</f>
        <v>187.65009765624998</v>
      </c>
      <c r="D24" s="254">
        <f t="shared" ref="D24:Q24" si="44">D12-D15-D18-D21</f>
        <v>216.39008789062518</v>
      </c>
      <c r="E24" s="254">
        <f t="shared" si="44"/>
        <v>177.96000976562516</v>
      </c>
      <c r="F24" s="254">
        <f t="shared" si="44"/>
        <v>671.10810546875007</v>
      </c>
      <c r="G24" s="254">
        <f t="shared" si="44"/>
        <v>120.82202148437497</v>
      </c>
      <c r="H24" s="254">
        <f t="shared" si="44"/>
        <v>137.03999023437507</v>
      </c>
      <c r="I24" s="254">
        <f t="shared" si="44"/>
        <v>174.24589843750007</v>
      </c>
      <c r="J24" s="254">
        <f t="shared" si="44"/>
        <v>111.46689453124998</v>
      </c>
      <c r="K24" s="254">
        <f t="shared" si="44"/>
        <v>159.85292968750002</v>
      </c>
      <c r="L24" s="254">
        <f t="shared" si="44"/>
        <v>267.54499999999973</v>
      </c>
      <c r="M24" s="254">
        <f t="shared" si="44"/>
        <v>372.99628804805184</v>
      </c>
      <c r="N24" s="254">
        <f t="shared" si="44"/>
        <v>563.11015644000008</v>
      </c>
      <c r="O24" s="254">
        <f t="shared" si="44"/>
        <v>688.4633738736004</v>
      </c>
      <c r="P24" s="254">
        <f t="shared" si="44"/>
        <v>803.36232883764012</v>
      </c>
      <c r="Q24" s="255">
        <f t="shared" si="44"/>
        <v>930.77457079978831</v>
      </c>
    </row>
    <row r="25" spans="2:17" ht="15" hidden="1" customHeight="1">
      <c r="B25" s="251" t="s">
        <v>219</v>
      </c>
      <c r="C25" s="253">
        <f>IS!K19</f>
        <v>277.60000000000002</v>
      </c>
      <c r="D25" s="253">
        <f>IS!J19</f>
        <v>250.1</v>
      </c>
      <c r="E25" s="253">
        <f>IS!I19</f>
        <v>226</v>
      </c>
      <c r="F25" s="253">
        <f>IS!H19</f>
        <v>221.8</v>
      </c>
      <c r="G25" s="253">
        <f>IS!G19</f>
        <v>181.2</v>
      </c>
      <c r="H25" s="253">
        <f>IS!F19</f>
        <v>179.7</v>
      </c>
      <c r="I25" s="253">
        <f>IS!E19</f>
        <v>198.5</v>
      </c>
      <c r="J25" s="253">
        <f>IS!D19</f>
        <v>219.5</v>
      </c>
      <c r="K25" s="253">
        <f>IS!C19</f>
        <v>189.7</v>
      </c>
      <c r="L25" s="253">
        <f>IS!B19</f>
        <v>211.9</v>
      </c>
      <c r="M25" s="264"/>
      <c r="N25" s="265"/>
      <c r="O25" s="265"/>
      <c r="P25" s="265"/>
      <c r="Q25" s="266"/>
    </row>
    <row r="26" spans="2:17" ht="15" customHeight="1">
      <c r="B26" s="225"/>
      <c r="C26" s="215"/>
      <c r="D26" s="215"/>
      <c r="E26" s="215"/>
      <c r="F26" s="215"/>
      <c r="G26" s="215"/>
      <c r="H26" s="215"/>
      <c r="I26" s="215"/>
      <c r="J26" s="215"/>
      <c r="K26" s="215"/>
      <c r="L26" s="215"/>
      <c r="M26" s="264"/>
      <c r="N26" s="265"/>
      <c r="O26" s="265"/>
      <c r="P26" s="265"/>
      <c r="Q26" s="266"/>
    </row>
    <row r="27" spans="2:17" ht="15" customHeight="1">
      <c r="B27" s="223" t="s">
        <v>160</v>
      </c>
      <c r="C27" s="216">
        <f>'Case Assumptions'!E33</f>
        <v>17.100000000000001</v>
      </c>
      <c r="D27" s="216">
        <f>'Case Assumptions'!F33</f>
        <v>-18.3</v>
      </c>
      <c r="E27" s="216">
        <f>'Case Assumptions'!G33</f>
        <v>7.9</v>
      </c>
      <c r="F27" s="216">
        <f>'Case Assumptions'!H33</f>
        <v>4.5</v>
      </c>
      <c r="G27" s="216">
        <f>'Case Assumptions'!I33</f>
        <v>-10.199999999999999</v>
      </c>
      <c r="H27" s="216">
        <f>'Case Assumptions'!J33</f>
        <v>-6.5</v>
      </c>
      <c r="I27" s="216">
        <f>'Case Assumptions'!K33</f>
        <v>65.7</v>
      </c>
      <c r="J27" s="216">
        <f>'Case Assumptions'!L33</f>
        <v>4</v>
      </c>
      <c r="K27" s="216">
        <f>'Case Assumptions'!M33</f>
        <v>11.2</v>
      </c>
      <c r="L27" s="216">
        <f>'Case Assumptions'!N33</f>
        <v>-10.9</v>
      </c>
      <c r="M27" s="260">
        <f>'Case Assumptions'!O33</f>
        <v>25.740375419519477</v>
      </c>
      <c r="N27" s="260">
        <f>'Case Assumptions'!P33</f>
        <v>25.740375419519477</v>
      </c>
      <c r="O27" s="260">
        <f>'Case Assumptions'!Q33</f>
        <v>25.740375419519477</v>
      </c>
      <c r="P27" s="260">
        <f>'Case Assumptions'!R33</f>
        <v>25.740375419519477</v>
      </c>
      <c r="Q27" s="261">
        <f>'Case Assumptions'!S33</f>
        <v>25.740375419519477</v>
      </c>
    </row>
    <row r="28" spans="2:17" ht="15" customHeight="1">
      <c r="B28" s="222" t="s">
        <v>134</v>
      </c>
      <c r="C28" s="257"/>
      <c r="D28" s="257">
        <f t="shared" ref="D28:L28" si="45">(D27-C27)/$M$9</f>
        <v>-1.3752713168726912E-2</v>
      </c>
      <c r="E28" s="257">
        <f t="shared" si="45"/>
        <v>1.0178561723747037E-2</v>
      </c>
      <c r="F28" s="257">
        <f t="shared" si="45"/>
        <v>-1.3208820557534323E-3</v>
      </c>
      <c r="G28" s="257">
        <f t="shared" si="45"/>
        <v>-5.7108724175221918E-3</v>
      </c>
      <c r="H28" s="257">
        <f t="shared" si="45"/>
        <v>1.4374304724375582E-3</v>
      </c>
      <c r="I28" s="257">
        <f t="shared" si="45"/>
        <v>2.8049318948646412E-2</v>
      </c>
      <c r="J28" s="257">
        <f t="shared" si="45"/>
        <v>-2.397012436470199E-2</v>
      </c>
      <c r="K28" s="257">
        <f t="shared" si="45"/>
        <v>2.7971620004190326E-3</v>
      </c>
      <c r="L28" s="257">
        <f t="shared" si="45"/>
        <v>-8.58573336239731E-3</v>
      </c>
      <c r="M28" s="262">
        <f>(M27-L27)/$M$9</f>
        <v>1.4234592472856591E-2</v>
      </c>
      <c r="N28" s="262">
        <f t="shared" ref="N28:Q28" si="46">(N27-M27)/$M$9</f>
        <v>0</v>
      </c>
      <c r="O28" s="262">
        <f t="shared" si="46"/>
        <v>0</v>
      </c>
      <c r="P28" s="262">
        <f t="shared" si="46"/>
        <v>0</v>
      </c>
      <c r="Q28" s="263">
        <f t="shared" si="46"/>
        <v>0</v>
      </c>
    </row>
    <row r="29" spans="2:17" ht="15" customHeight="1">
      <c r="B29" s="222"/>
      <c r="C29" s="217"/>
      <c r="D29" s="217"/>
      <c r="E29" s="217"/>
      <c r="F29" s="217"/>
      <c r="G29" s="217"/>
      <c r="H29" s="217"/>
      <c r="I29" s="217"/>
      <c r="J29" s="217"/>
      <c r="K29" s="217"/>
      <c r="L29" s="217"/>
      <c r="M29" s="269"/>
      <c r="N29" s="270"/>
      <c r="O29" s="270"/>
      <c r="P29" s="270"/>
      <c r="Q29" s="271"/>
    </row>
    <row r="30" spans="2:17" ht="15" customHeight="1">
      <c r="B30" s="223" t="s">
        <v>221</v>
      </c>
      <c r="C30" s="216">
        <f>(C24+C27)-C33</f>
        <v>137.75009765624998</v>
      </c>
      <c r="D30" s="216">
        <f t="shared" ref="D30:L30" si="47">(D24+D27)-D33</f>
        <v>58.090087890625171</v>
      </c>
      <c r="E30" s="216">
        <f t="shared" si="47"/>
        <v>96.060009765625168</v>
      </c>
      <c r="F30" s="216">
        <f t="shared" si="47"/>
        <v>641.30810546875011</v>
      </c>
      <c r="G30" s="216">
        <f t="shared" si="47"/>
        <v>156.92202148437497</v>
      </c>
      <c r="H30" s="216">
        <f t="shared" si="47"/>
        <v>60.439990234375074</v>
      </c>
      <c r="I30" s="216">
        <f t="shared" si="47"/>
        <v>57.045898437500085</v>
      </c>
      <c r="J30" s="216">
        <f t="shared" si="47"/>
        <v>115.16689453124998</v>
      </c>
      <c r="K30" s="216">
        <f t="shared" si="47"/>
        <v>87.152929687500006</v>
      </c>
      <c r="L30" s="216">
        <f t="shared" si="47"/>
        <v>46.344999999999743</v>
      </c>
      <c r="M30" s="260">
        <f>M31*M9</f>
        <v>3.8610563129279218</v>
      </c>
      <c r="N30" s="260">
        <f t="shared" ref="N30:Q30" si="48">N31*N9</f>
        <v>4.345741424699999</v>
      </c>
      <c r="O30" s="260">
        <f t="shared" si="48"/>
        <v>4.9192568775089995</v>
      </c>
      <c r="P30" s="260">
        <f t="shared" si="48"/>
        <v>5.3728053839459999</v>
      </c>
      <c r="Q30" s="261">
        <f t="shared" si="48"/>
        <v>5.6667745928104747</v>
      </c>
    </row>
    <row r="31" spans="2:17" ht="15" customHeight="1">
      <c r="B31" s="222" t="s">
        <v>134</v>
      </c>
      <c r="C31" s="216"/>
      <c r="D31" s="257">
        <f t="shared" ref="D31:L31" si="49">(D30-C30)/$M$9</f>
        <v>-3.094749337075205E-2</v>
      </c>
      <c r="E31" s="257">
        <f t="shared" si="49"/>
        <v>1.4751114253837414E-2</v>
      </c>
      <c r="F31" s="257">
        <f t="shared" si="49"/>
        <v>0.21182600751411404</v>
      </c>
      <c r="G31" s="257">
        <f t="shared" si="49"/>
        <v>-0.18818143717401059</v>
      </c>
      <c r="H31" s="257">
        <f t="shared" si="49"/>
        <v>-3.7482759935519624E-2</v>
      </c>
      <c r="I31" s="257">
        <f t="shared" si="49"/>
        <v>-1.3185867500212045E-3</v>
      </c>
      <c r="J31" s="257">
        <f t="shared" si="49"/>
        <v>2.2579700236102812E-2</v>
      </c>
      <c r="K31" s="257">
        <f t="shared" si="49"/>
        <v>-1.088327749194613E-2</v>
      </c>
      <c r="L31" s="257">
        <f t="shared" si="49"/>
        <v>-1.585366531078437E-2</v>
      </c>
      <c r="M31" s="258">
        <v>1.5E-3</v>
      </c>
      <c r="N31" s="258">
        <v>1.5E-3</v>
      </c>
      <c r="O31" s="258">
        <v>1.5E-3</v>
      </c>
      <c r="P31" s="258">
        <v>1.5E-3</v>
      </c>
      <c r="Q31" s="259">
        <v>1.5E-3</v>
      </c>
    </row>
    <row r="32" spans="2:17" ht="15" customHeight="1">
      <c r="B32" s="224"/>
      <c r="C32" s="213"/>
      <c r="D32" s="213"/>
      <c r="E32" s="213"/>
      <c r="F32" s="213"/>
      <c r="G32" s="213"/>
      <c r="H32" s="213"/>
      <c r="I32" s="213"/>
      <c r="J32" s="213"/>
      <c r="K32" s="213"/>
      <c r="L32" s="213"/>
      <c r="M32" s="264"/>
      <c r="N32" s="265"/>
      <c r="O32" s="265"/>
      <c r="P32" s="265"/>
      <c r="Q32" s="266"/>
    </row>
    <row r="33" spans="2:17" ht="15" customHeight="1">
      <c r="B33" s="252" t="s">
        <v>135</v>
      </c>
      <c r="C33" s="272">
        <f>IS!B34</f>
        <v>67</v>
      </c>
      <c r="D33" s="272">
        <f>IS!C34</f>
        <v>140</v>
      </c>
      <c r="E33" s="272">
        <f>IS!D34</f>
        <v>89.8</v>
      </c>
      <c r="F33" s="272">
        <f>IS!E34</f>
        <v>34.299999999999997</v>
      </c>
      <c r="G33" s="272">
        <f>IS!F34</f>
        <v>-46.3</v>
      </c>
      <c r="H33" s="272">
        <f>IS!G34</f>
        <v>70.099999999999994</v>
      </c>
      <c r="I33" s="272">
        <f>IS!H34</f>
        <v>182.9</v>
      </c>
      <c r="J33" s="272">
        <f>IS!I34</f>
        <v>0.3</v>
      </c>
      <c r="K33" s="272">
        <f>IS!J34</f>
        <v>83.9</v>
      </c>
      <c r="L33" s="272">
        <f>IS!K34</f>
        <v>210.3</v>
      </c>
      <c r="M33" s="272">
        <f>M24+M27-M30</f>
        <v>394.87560715464338</v>
      </c>
      <c r="N33" s="272">
        <f t="shared" ref="N33:Q33" si="50">N24+N27-N30</f>
        <v>584.5047904348196</v>
      </c>
      <c r="O33" s="272">
        <f t="shared" si="50"/>
        <v>709.28449241561088</v>
      </c>
      <c r="P33" s="272">
        <f t="shared" si="50"/>
        <v>823.72989887321364</v>
      </c>
      <c r="Q33" s="273">
        <f t="shared" si="50"/>
        <v>950.84817162649733</v>
      </c>
    </row>
    <row r="34" spans="2:17" ht="15" customHeight="1">
      <c r="B34" s="225"/>
      <c r="C34" s="215"/>
      <c r="D34" s="215"/>
      <c r="E34" s="215"/>
      <c r="F34" s="215"/>
      <c r="G34" s="215"/>
      <c r="H34" s="215"/>
      <c r="I34" s="215"/>
      <c r="J34" s="215"/>
      <c r="K34" s="215"/>
      <c r="L34" s="215"/>
      <c r="M34" s="250"/>
      <c r="N34" s="267"/>
      <c r="O34" s="267"/>
      <c r="P34" s="267"/>
      <c r="Q34" s="268"/>
    </row>
    <row r="35" spans="2:17" ht="15" customHeight="1">
      <c r="B35" s="223" t="s">
        <v>136</v>
      </c>
      <c r="C35" s="216">
        <f>IS!B35</f>
        <v>31.4</v>
      </c>
      <c r="D35" s="216">
        <f>IS!C35</f>
        <v>15.2</v>
      </c>
      <c r="E35" s="216">
        <f>IS!D35</f>
        <v>-83.8</v>
      </c>
      <c r="F35" s="216">
        <f>IS!E35</f>
        <v>2.4</v>
      </c>
      <c r="G35" s="216">
        <f>IS!F35</f>
        <v>-29.9</v>
      </c>
      <c r="H35" s="216">
        <f>IS!G35</f>
        <v>15.6</v>
      </c>
      <c r="I35" s="216">
        <f>IS!H35</f>
        <v>88.3</v>
      </c>
      <c r="J35" s="216">
        <f>IS!I35</f>
        <v>19</v>
      </c>
      <c r="K35" s="216">
        <f>IS!J35</f>
        <v>27.7</v>
      </c>
      <c r="L35" s="216">
        <f>IS!K35</f>
        <v>32.9</v>
      </c>
      <c r="M35" s="260">
        <f>M36*M33</f>
        <v>90.821389645567976</v>
      </c>
      <c r="N35" s="260">
        <f t="shared" ref="N35:Q35" si="51">N36*N33</f>
        <v>139.61834519371274</v>
      </c>
      <c r="O35" s="260">
        <f t="shared" si="51"/>
        <v>147.84071027486192</v>
      </c>
      <c r="P35" s="260">
        <f t="shared" si="51"/>
        <v>185.97142531079695</v>
      </c>
      <c r="Q35" s="261">
        <f t="shared" si="51"/>
        <v>213.32910377056191</v>
      </c>
    </row>
    <row r="36" spans="2:17" ht="15" customHeight="1">
      <c r="B36" s="222" t="s">
        <v>222</v>
      </c>
      <c r="C36" s="257">
        <f>C35/C33</f>
        <v>0.4686567164179104</v>
      </c>
      <c r="D36" s="257">
        <f t="shared" ref="D36:L36" si="52">D35/D33</f>
        <v>0.10857142857142857</v>
      </c>
      <c r="E36" s="257">
        <f t="shared" si="52"/>
        <v>-0.93318485523385297</v>
      </c>
      <c r="F36" s="257">
        <f t="shared" si="52"/>
        <v>6.9970845481049565E-2</v>
      </c>
      <c r="G36" s="257">
        <f t="shared" si="52"/>
        <v>0.64578833693304538</v>
      </c>
      <c r="H36" s="257">
        <f t="shared" si="52"/>
        <v>0.22253922967189729</v>
      </c>
      <c r="I36" s="257">
        <f t="shared" si="52"/>
        <v>0.48277747402952431</v>
      </c>
      <c r="J36" s="257">
        <f t="shared" si="52"/>
        <v>63.333333333333336</v>
      </c>
      <c r="K36" s="257">
        <f t="shared" si="52"/>
        <v>0.33015494636471987</v>
      </c>
      <c r="L36" s="257">
        <f t="shared" si="52"/>
        <v>0.15644317641464572</v>
      </c>
      <c r="M36" s="258">
        <v>0.23</v>
      </c>
      <c r="N36" s="258">
        <f t="shared" ref="N36:Q36" si="53">AVERAGE(K36:M36)</f>
        <v>0.23886604092645522</v>
      </c>
      <c r="O36" s="258">
        <f t="shared" si="53"/>
        <v>0.20843640578036701</v>
      </c>
      <c r="P36" s="258">
        <f t="shared" si="53"/>
        <v>0.22576748223560741</v>
      </c>
      <c r="Q36" s="259">
        <f t="shared" si="53"/>
        <v>0.2243566429808099</v>
      </c>
    </row>
    <row r="37" spans="2:17" ht="15" customHeight="1">
      <c r="B37" s="224"/>
      <c r="C37" s="213"/>
      <c r="D37" s="213"/>
      <c r="E37" s="213"/>
      <c r="F37" s="213"/>
      <c r="G37" s="213"/>
      <c r="H37" s="213"/>
      <c r="I37" s="213"/>
      <c r="J37" s="213"/>
      <c r="K37" s="213"/>
      <c r="L37" s="213"/>
      <c r="M37" s="264"/>
      <c r="N37" s="267"/>
      <c r="O37" s="267"/>
      <c r="P37" s="267"/>
      <c r="Q37" s="268"/>
    </row>
    <row r="38" spans="2:17" ht="15" customHeight="1" thickBot="1">
      <c r="B38" s="256" t="s">
        <v>94</v>
      </c>
      <c r="C38" s="275">
        <f>C33-C35</f>
        <v>35.6</v>
      </c>
      <c r="D38" s="275">
        <f t="shared" ref="D38:Q38" si="54">D33-D35</f>
        <v>124.8</v>
      </c>
      <c r="E38" s="275">
        <f t="shared" si="54"/>
        <v>173.6</v>
      </c>
      <c r="F38" s="275">
        <f t="shared" si="54"/>
        <v>31.9</v>
      </c>
      <c r="G38" s="275">
        <f t="shared" si="54"/>
        <v>-16.399999999999999</v>
      </c>
      <c r="H38" s="275">
        <f t="shared" si="54"/>
        <v>54.499999999999993</v>
      </c>
      <c r="I38" s="275">
        <f t="shared" si="54"/>
        <v>94.600000000000009</v>
      </c>
      <c r="J38" s="275">
        <f t="shared" si="54"/>
        <v>-18.7</v>
      </c>
      <c r="K38" s="275">
        <f t="shared" si="54"/>
        <v>56.2</v>
      </c>
      <c r="L38" s="275">
        <f t="shared" si="54"/>
        <v>177.4</v>
      </c>
      <c r="M38" s="275">
        <f t="shared" si="54"/>
        <v>304.05421750907539</v>
      </c>
      <c r="N38" s="275">
        <f t="shared" si="54"/>
        <v>444.88644524110686</v>
      </c>
      <c r="O38" s="275">
        <f t="shared" si="54"/>
        <v>561.44378214074891</v>
      </c>
      <c r="P38" s="275">
        <f t="shared" si="54"/>
        <v>637.75847356241673</v>
      </c>
      <c r="Q38" s="276">
        <f t="shared" si="54"/>
        <v>737.51906785593542</v>
      </c>
    </row>
    <row r="39" spans="2:17" ht="15" customHeight="1">
      <c r="B39" s="278" t="s">
        <v>218</v>
      </c>
      <c r="C39" s="277">
        <f>IS!B40</f>
        <v>35.6</v>
      </c>
      <c r="D39" s="277">
        <f>IS!C40</f>
        <v>124.7</v>
      </c>
      <c r="E39" s="277">
        <f>IS!D40</f>
        <v>173.6</v>
      </c>
      <c r="F39" s="277">
        <f>IS!E40</f>
        <v>31.9</v>
      </c>
      <c r="G39" s="277">
        <f>IS!F40</f>
        <v>-16.399999999999999</v>
      </c>
      <c r="H39" s="277">
        <f>IS!G40</f>
        <v>54.4</v>
      </c>
      <c r="I39" s="277">
        <f>IS!H40</f>
        <v>94.6</v>
      </c>
      <c r="J39" s="277">
        <f>IS!I40</f>
        <v>-18.7</v>
      </c>
      <c r="K39" s="277">
        <f>IS!J40</f>
        <v>56.3</v>
      </c>
      <c r="L39" s="277">
        <f>IS!K40</f>
        <v>177.4</v>
      </c>
      <c r="M39" s="274"/>
      <c r="N39" s="274"/>
      <c r="O39" s="274"/>
      <c r="P39" s="274"/>
      <c r="Q39" s="274"/>
    </row>
    <row r="40" spans="2:17" ht="15" customHeight="1">
      <c r="B40" s="211"/>
      <c r="M40" s="212"/>
      <c r="N40" s="207"/>
      <c r="O40" s="207"/>
      <c r="P40" s="207"/>
      <c r="Q40" s="207"/>
    </row>
    <row r="41" spans="2:17" ht="15" customHeight="1">
      <c r="B41" s="211"/>
    </row>
    <row r="42" spans="2:17" ht="15" customHeight="1">
      <c r="B42" s="215"/>
    </row>
    <row r="43" spans="2:17" ht="15" customHeight="1">
      <c r="B43" s="211"/>
    </row>
    <row r="44" spans="2:17" ht="15" customHeight="1">
      <c r="B44" s="211"/>
      <c r="M44" s="212"/>
      <c r="N44" s="207"/>
      <c r="O44" s="207"/>
      <c r="P44" s="207"/>
      <c r="Q44" s="207"/>
    </row>
    <row r="45" spans="2:17" ht="15" customHeight="1">
      <c r="B45" s="211"/>
      <c r="M45" s="208"/>
      <c r="N45" s="208"/>
      <c r="O45" s="209"/>
      <c r="P45" s="209"/>
      <c r="Q45" s="209"/>
    </row>
    <row r="46" spans="2:17" ht="15" customHeight="1">
      <c r="B46" s="211"/>
      <c r="M46" s="212"/>
      <c r="N46" s="207"/>
      <c r="O46" s="207"/>
      <c r="P46" s="207"/>
      <c r="Q46" s="207"/>
    </row>
    <row r="47" spans="2:17" ht="15" customHeight="1">
      <c r="B47" s="211"/>
    </row>
    <row r="49" spans="2:17" ht="15" customHeight="1">
      <c r="B49" s="211"/>
      <c r="M49" s="212"/>
      <c r="N49" s="207"/>
      <c r="O49" s="207"/>
      <c r="P49" s="207"/>
      <c r="Q49" s="207"/>
    </row>
    <row r="50" spans="2:17" ht="15" customHeight="1">
      <c r="B50" s="211"/>
    </row>
    <row r="52" spans="2:17" ht="15" customHeight="1">
      <c r="B52" s="211"/>
    </row>
  </sheetData>
  <dataValidations disablePrompts="1" count="1">
    <dataValidation type="list" allowBlank="1" showInputMessage="1" showErrorMessage="1" sqref="A15" xr:uid="{337B3D44-6DF7-464B-AB3C-C8C6AC267895}">
      <formula1>"1,2,3"</formula1>
    </dataValidation>
  </dataValidation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1274C-07AA-AB4B-8376-76A258B85D92}">
  <sheetPr>
    <tabColor rgb="FF202846"/>
  </sheetPr>
  <dimension ref="A2:T1048576"/>
  <sheetViews>
    <sheetView showGridLines="0" tabSelected="1" topLeftCell="A2" zoomScale="136" zoomScaleNormal="136" workbookViewId="0">
      <selection activeCell="K10" sqref="K10"/>
    </sheetView>
  </sheetViews>
  <sheetFormatPr baseColWidth="10" defaultRowHeight="15"/>
  <cols>
    <col min="1" max="1" width="4.6640625" customWidth="1"/>
    <col min="5" max="10" width="0" hidden="1" customWidth="1"/>
  </cols>
  <sheetData>
    <row r="2" spans="1:20" s="2" customFormat="1" ht="21" customHeight="1">
      <c r="B2" s="65" t="s">
        <v>225</v>
      </c>
    </row>
    <row r="4" spans="1:20">
      <c r="D4" s="64"/>
    </row>
    <row r="5" spans="1:20">
      <c r="A5" s="3" t="s">
        <v>0</v>
      </c>
      <c r="B5" s="4" t="s">
        <v>226</v>
      </c>
      <c r="C5" s="4"/>
      <c r="D5" s="4"/>
      <c r="E5" s="11">
        <f t="shared" ref="E5:M5" si="0">F5-1</f>
        <v>2016</v>
      </c>
      <c r="F5" s="11">
        <f t="shared" si="0"/>
        <v>2017</v>
      </c>
      <c r="G5" s="11">
        <f t="shared" si="0"/>
        <v>2018</v>
      </c>
      <c r="H5" s="11">
        <f t="shared" si="0"/>
        <v>2019</v>
      </c>
      <c r="I5" s="11">
        <f t="shared" si="0"/>
        <v>2020</v>
      </c>
      <c r="J5" s="11">
        <f t="shared" si="0"/>
        <v>2021</v>
      </c>
      <c r="K5" s="11">
        <f>L5-1</f>
        <v>2022</v>
      </c>
      <c r="L5" s="11">
        <f t="shared" si="0"/>
        <v>2023</v>
      </c>
      <c r="M5" s="11">
        <f t="shared" si="0"/>
        <v>2024</v>
      </c>
      <c r="N5" s="11">
        <f>O5-1</f>
        <v>2025</v>
      </c>
      <c r="O5" s="12">
        <f>DCF!O16</f>
        <v>2026</v>
      </c>
      <c r="P5" s="291">
        <f>O5+1</f>
        <v>2027</v>
      </c>
      <c r="Q5" s="291">
        <f t="shared" ref="Q5:S5" si="1">P5+1</f>
        <v>2028</v>
      </c>
      <c r="R5" s="291">
        <f t="shared" si="1"/>
        <v>2029</v>
      </c>
      <c r="S5" s="291">
        <f t="shared" si="1"/>
        <v>2030</v>
      </c>
      <c r="T5" s="13"/>
    </row>
    <row r="6" spans="1:20">
      <c r="A6" s="3"/>
      <c r="B6" s="332" t="s">
        <v>227</v>
      </c>
      <c r="C6" s="332"/>
      <c r="D6" s="332"/>
      <c r="E6" s="333"/>
      <c r="F6" s="333"/>
      <c r="G6" s="333"/>
      <c r="H6" s="333"/>
      <c r="I6" s="333"/>
      <c r="J6" s="333"/>
      <c r="K6" s="333"/>
      <c r="L6" s="333"/>
      <c r="M6" s="333"/>
      <c r="N6" s="333"/>
      <c r="O6" s="334"/>
      <c r="P6" s="335"/>
      <c r="Q6" s="335"/>
      <c r="R6" s="335"/>
      <c r="S6" s="335"/>
      <c r="T6" s="13"/>
    </row>
    <row r="7" spans="1:20">
      <c r="A7" s="203"/>
      <c r="B7" s="229" t="s">
        <v>231</v>
      </c>
      <c r="C7" s="229"/>
      <c r="D7" s="229"/>
      <c r="E7" s="230"/>
      <c r="F7" s="230"/>
      <c r="G7" s="230"/>
      <c r="H7" s="230"/>
      <c r="I7" s="230"/>
      <c r="J7" s="230"/>
      <c r="K7" s="230">
        <f>BS!B10</f>
        <v>432.78800000000001</v>
      </c>
      <c r="L7" s="230">
        <f>BS!C10</f>
        <v>483.90300000000002</v>
      </c>
      <c r="M7" s="230">
        <f>BS!D10</f>
        <v>810.90599999999995</v>
      </c>
      <c r="N7" s="230">
        <f>BS!E10</f>
        <v>758.19799999999998</v>
      </c>
      <c r="O7" s="231">
        <f>O8*'Operating Model'!M$6</f>
        <v>909.83759999999995</v>
      </c>
      <c r="P7" s="231">
        <f>P8*'Operating Model'!N$6</f>
        <v>1064.509992</v>
      </c>
      <c r="Q7" s="231">
        <f>Q8*'Operating Model'!O$6</f>
        <v>1213.5413908800001</v>
      </c>
      <c r="R7" s="231">
        <f>R8*'Operating Model'!P$6</f>
        <v>1334.8955299680001</v>
      </c>
      <c r="S7" s="231">
        <f>S8*'Operating Model'!Q$6</f>
        <v>1428.3382170657603</v>
      </c>
    </row>
    <row r="8" spans="1:20" ht="14.5" customHeight="1">
      <c r="B8" s="235" t="s">
        <v>234</v>
      </c>
      <c r="E8" s="23"/>
      <c r="F8" s="23"/>
      <c r="G8" s="23"/>
      <c r="H8" s="23"/>
      <c r="I8" s="23"/>
      <c r="J8" s="23"/>
      <c r="K8" s="314">
        <f>K7/'Operating Model'!I$6</f>
        <v>0.17345893326893488</v>
      </c>
      <c r="L8" s="314">
        <f>L7/'Operating Model'!J$6</f>
        <v>0.21674736877328835</v>
      </c>
      <c r="M8" s="314">
        <f>M7/'Operating Model'!K$6</f>
        <v>0.33196398626517609</v>
      </c>
      <c r="N8" s="314">
        <f>N7/'Operating Model'!L$6</f>
        <v>0.26087680574742506</v>
      </c>
      <c r="O8" s="315">
        <f>N8</f>
        <v>0.26087680574742506</v>
      </c>
      <c r="P8" s="315">
        <f t="shared" ref="P8:S8" si="2">O8</f>
        <v>0.26087680574742506</v>
      </c>
      <c r="Q8" s="315">
        <f t="shared" si="2"/>
        <v>0.26087680574742506</v>
      </c>
      <c r="R8" s="315">
        <f t="shared" si="2"/>
        <v>0.26087680574742506</v>
      </c>
      <c r="S8" s="315">
        <f t="shared" si="2"/>
        <v>0.26087680574742506</v>
      </c>
    </row>
    <row r="9" spans="1:20">
      <c r="B9" s="14"/>
      <c r="O9" s="43"/>
      <c r="P9" s="44"/>
      <c r="Q9" s="44"/>
      <c r="R9" s="44"/>
      <c r="S9" s="44"/>
    </row>
    <row r="10" spans="1:20">
      <c r="A10" s="203"/>
      <c r="B10" s="228" t="s">
        <v>192</v>
      </c>
      <c r="C10" s="229"/>
      <c r="D10" s="229"/>
      <c r="E10" s="230"/>
      <c r="F10" s="230"/>
      <c r="G10" s="230"/>
      <c r="H10" s="230"/>
      <c r="I10" s="230"/>
      <c r="J10" s="230"/>
      <c r="K10" s="230">
        <f>BS!B14</f>
        <v>269.21199999999999</v>
      </c>
      <c r="L10" s="230">
        <f>BS!C14</f>
        <v>294.58800000000002</v>
      </c>
      <c r="M10" s="230">
        <f>BS!D14</f>
        <v>109.377</v>
      </c>
      <c r="N10" s="230">
        <f>BS!E14</f>
        <v>113.753</v>
      </c>
      <c r="O10" s="231">
        <f>O11*'Operating Model'!M$6</f>
        <v>136.50360000000001</v>
      </c>
      <c r="P10" s="231">
        <f>P11*'Operating Model'!N6</f>
        <v>159.70921199999998</v>
      </c>
      <c r="Q10" s="231">
        <f>Q11*'Operating Model'!O6</f>
        <v>182.06850168000003</v>
      </c>
      <c r="R10" s="231">
        <f>R11*'Operating Model'!P6</f>
        <v>200.27535184800004</v>
      </c>
      <c r="S10" s="231">
        <f>S11*'Operating Model'!Q6</f>
        <v>214.29462647736005</v>
      </c>
    </row>
    <row r="11" spans="1:20">
      <c r="B11" s="235" t="s">
        <v>234</v>
      </c>
      <c r="E11" s="23"/>
      <c r="F11" s="23"/>
      <c r="G11" s="23"/>
      <c r="H11" s="23"/>
      <c r="I11" s="23"/>
      <c r="J11" s="23"/>
      <c r="K11" s="314">
        <f>K10/'Operating Model'!I$6</f>
        <v>0.10789861628140451</v>
      </c>
      <c r="L11" s="314">
        <f>L10/'Operating Model'!J$6</f>
        <v>0.13195035755551313</v>
      </c>
      <c r="M11" s="314">
        <f>M10/'Operating Model'!K$6</f>
        <v>4.4776120691826383E-2</v>
      </c>
      <c r="N11" s="314">
        <f>N10/'Operating Model'!L$6</f>
        <v>3.9139537804355647E-2</v>
      </c>
      <c r="O11" s="315">
        <f>N11</f>
        <v>3.9139537804355647E-2</v>
      </c>
      <c r="P11" s="315">
        <f t="shared" ref="P11:S11" si="3">O11</f>
        <v>3.9139537804355647E-2</v>
      </c>
      <c r="Q11" s="315">
        <f t="shared" si="3"/>
        <v>3.9139537804355647E-2</v>
      </c>
      <c r="R11" s="315">
        <f t="shared" si="3"/>
        <v>3.9139537804355647E-2</v>
      </c>
      <c r="S11" s="315">
        <f t="shared" si="3"/>
        <v>3.9139537804355647E-2</v>
      </c>
    </row>
    <row r="12" spans="1:20">
      <c r="B12" s="14"/>
      <c r="O12" s="43"/>
      <c r="P12" s="44"/>
      <c r="Q12" s="44"/>
      <c r="R12" s="44"/>
      <c r="S12" s="44"/>
    </row>
    <row r="13" spans="1:20">
      <c r="B13" s="226" t="s">
        <v>228</v>
      </c>
      <c r="C13" s="18"/>
      <c r="D13" s="18"/>
      <c r="E13" s="18"/>
      <c r="F13" s="18"/>
      <c r="G13" s="18"/>
      <c r="H13" s="18"/>
      <c r="I13" s="18"/>
      <c r="J13" s="227">
        <f>'Case Assumptions'!J6</f>
        <v>2248.739990234375</v>
      </c>
      <c r="K13" s="233">
        <f>K7+K10</f>
        <v>702</v>
      </c>
      <c r="L13" s="233">
        <f t="shared" ref="L13:S13" si="4">L7+L10</f>
        <v>778.49099999999999</v>
      </c>
      <c r="M13" s="233">
        <f t="shared" si="4"/>
        <v>920.2829999999999</v>
      </c>
      <c r="N13" s="233">
        <f t="shared" si="4"/>
        <v>871.95100000000002</v>
      </c>
      <c r="O13" s="233">
        <f t="shared" si="4"/>
        <v>1046.3411999999998</v>
      </c>
      <c r="P13" s="233">
        <f t="shared" si="4"/>
        <v>1224.219204</v>
      </c>
      <c r="Q13" s="233">
        <f t="shared" si="4"/>
        <v>1395.6098925600002</v>
      </c>
      <c r="R13" s="233">
        <f t="shared" si="4"/>
        <v>1535.1708818160002</v>
      </c>
      <c r="S13" s="316">
        <f t="shared" si="4"/>
        <v>1642.6328435431203</v>
      </c>
    </row>
    <row r="14" spans="1:20">
      <c r="B14" s="181"/>
    </row>
    <row r="15" spans="1:20">
      <c r="A15" s="3"/>
      <c r="B15" s="332" t="s">
        <v>229</v>
      </c>
      <c r="C15" s="332"/>
      <c r="D15" s="332"/>
      <c r="E15" s="333"/>
      <c r="F15" s="333"/>
      <c r="G15" s="333"/>
      <c r="H15" s="333"/>
      <c r="I15" s="333"/>
      <c r="J15" s="333"/>
      <c r="K15" s="333"/>
      <c r="L15" s="333"/>
      <c r="M15" s="333"/>
      <c r="N15" s="333"/>
      <c r="O15" s="334"/>
      <c r="P15" s="335"/>
      <c r="Q15" s="335"/>
      <c r="R15" s="335"/>
      <c r="S15" s="335"/>
      <c r="T15" s="13"/>
    </row>
    <row r="16" spans="1:20">
      <c r="A16" s="203"/>
      <c r="B16" s="229" t="s">
        <v>193</v>
      </c>
      <c r="C16" s="229"/>
      <c r="D16" s="229"/>
      <c r="E16" s="230"/>
      <c r="F16" s="230"/>
      <c r="G16" s="230"/>
      <c r="H16" s="230"/>
      <c r="I16" s="230"/>
      <c r="J16" s="230"/>
      <c r="K16" s="230">
        <f>BS!B43</f>
        <v>371.61</v>
      </c>
      <c r="L16" s="230">
        <f>BS!C43</f>
        <v>438.99</v>
      </c>
      <c r="M16" s="230">
        <f>BS!D43</f>
        <v>431.28800000000001</v>
      </c>
      <c r="N16" s="230">
        <f>BS!E43</f>
        <v>329.86599999999999</v>
      </c>
      <c r="O16" s="231">
        <f>O17*'Operating Model'!M$18</f>
        <v>479.2085851339736</v>
      </c>
      <c r="P16" s="231">
        <f>P17*'Operating Model'!N$18</f>
        <v>507.00201092396873</v>
      </c>
      <c r="Q16" s="231">
        <f>Q17*'Operating Model'!O$18</f>
        <v>528.44819656912762</v>
      </c>
      <c r="R16" s="231">
        <f>R17*'Operating Model'!P$18</f>
        <v>592.6528012300912</v>
      </c>
      <c r="S16" s="231">
        <f>S17*'Operating Model'!Q$18</f>
        <v>606.53222296261231</v>
      </c>
    </row>
    <row r="17" spans="1:19" ht="14.5" customHeight="1">
      <c r="B17" s="235" t="s">
        <v>233</v>
      </c>
      <c r="E17" s="23"/>
      <c r="F17" s="23"/>
      <c r="G17" s="23"/>
      <c r="H17" s="23"/>
      <c r="I17" s="23"/>
      <c r="J17" s="23"/>
      <c r="K17" s="314">
        <f>K16/'Operating Model'!I$18</f>
        <v>1.5069343065693432</v>
      </c>
      <c r="L17" s="314">
        <f>L16/'Operating Model'!J$18</f>
        <v>1.7337677725118485</v>
      </c>
      <c r="M17" s="314">
        <f>M16/'Operating Model'!K$18</f>
        <v>1.5293900709219859</v>
      </c>
      <c r="N17" s="314">
        <f>N16/'Operating Model'!L$18</f>
        <v>1.0758838878016959</v>
      </c>
      <c r="O17" s="315">
        <f>AVERAGE(L17:N17)</f>
        <v>1.446347243745177</v>
      </c>
      <c r="P17" s="315">
        <f t="shared" ref="P17:S17" si="5">AVERAGE(M17:O17)</f>
        <v>1.3505404008229529</v>
      </c>
      <c r="Q17" s="315">
        <f t="shared" si="5"/>
        <v>1.2909238441232753</v>
      </c>
      <c r="R17" s="315">
        <f t="shared" si="5"/>
        <v>1.3626038295638017</v>
      </c>
      <c r="S17" s="315">
        <f t="shared" si="5"/>
        <v>1.3346893581700101</v>
      </c>
    </row>
    <row r="18" spans="1:19">
      <c r="B18" s="14"/>
      <c r="O18" s="43"/>
      <c r="P18" s="44"/>
      <c r="Q18" s="44"/>
      <c r="R18" s="44"/>
      <c r="S18" s="44"/>
    </row>
    <row r="19" spans="1:19">
      <c r="A19" s="203"/>
      <c r="B19" s="228" t="s">
        <v>194</v>
      </c>
      <c r="C19" s="229"/>
      <c r="D19" s="229"/>
      <c r="E19" s="230"/>
      <c r="F19" s="230"/>
      <c r="G19" s="230"/>
      <c r="H19" s="230"/>
      <c r="I19" s="230"/>
      <c r="J19" s="230"/>
      <c r="K19" s="230">
        <f>BS!B46</f>
        <v>97.171000000000006</v>
      </c>
      <c r="L19" s="230">
        <f>BS!C46</f>
        <v>103.63800000000001</v>
      </c>
      <c r="M19" s="230">
        <f>BS!D46</f>
        <v>94.95</v>
      </c>
      <c r="N19" s="230">
        <f>BS!E46</f>
        <v>85.114000000000004</v>
      </c>
      <c r="O19" s="231">
        <f>O20*'Operating Model'!M$18</f>
        <v>113.04983119530398</v>
      </c>
      <c r="P19" s="231">
        <f>P20*'Operating Model'!N$18</f>
        <v>119.56894660144222</v>
      </c>
      <c r="Q19" s="231">
        <f>Q20*'Operating Model'!O$18</f>
        <v>127.89910491846402</v>
      </c>
      <c r="R19" s="231">
        <f>R20*'Operating Model'!P$18</f>
        <v>140.94295210555561</v>
      </c>
      <c r="S19" s="231">
        <f>S20*'Operating Model'!Q$18</f>
        <v>144.6616592619938</v>
      </c>
    </row>
    <row r="20" spans="1:19">
      <c r="B20" s="235" t="s">
        <v>233</v>
      </c>
      <c r="E20" s="23"/>
      <c r="F20" s="23"/>
      <c r="G20" s="23"/>
      <c r="H20" s="23"/>
      <c r="I20" s="23"/>
      <c r="J20" s="23"/>
      <c r="K20" s="314">
        <f>K19/'Operating Model'!I$18</f>
        <v>0.39404298459042986</v>
      </c>
      <c r="L20" s="314">
        <f>L19/'Operating Model'!J$18</f>
        <v>0.40931279620853084</v>
      </c>
      <c r="M20" s="314">
        <f>M19/'Operating Model'!K$18</f>
        <v>0.33670212765957447</v>
      </c>
      <c r="N20" s="314">
        <f>N19/'Operating Model'!L$18</f>
        <v>0.27760600130463142</v>
      </c>
      <c r="O20" s="315">
        <f>AVERAGE(L20:N20)</f>
        <v>0.34120697505757897</v>
      </c>
      <c r="P20" s="315">
        <f t="shared" ref="P20:R20" si="6">AVERAGE(M20:O20)</f>
        <v>0.31850503467392827</v>
      </c>
      <c r="Q20" s="315">
        <f t="shared" si="6"/>
        <v>0.31243933701204618</v>
      </c>
      <c r="R20" s="315">
        <f t="shared" si="6"/>
        <v>0.32405044891451779</v>
      </c>
      <c r="S20" s="315">
        <f>AVERAGE(P20:R20)</f>
        <v>0.31833160686683071</v>
      </c>
    </row>
    <row r="21" spans="1:19">
      <c r="B21" s="14"/>
      <c r="O21" s="43"/>
      <c r="P21" s="44"/>
      <c r="Q21" s="44"/>
      <c r="R21" s="44"/>
      <c r="S21" s="44"/>
    </row>
    <row r="22" spans="1:19">
      <c r="A22" s="203"/>
      <c r="B22" s="228" t="str">
        <f>CFS!A24</f>
        <v>Other Assets/Liabilities</v>
      </c>
      <c r="C22" s="229"/>
      <c r="D22" s="229"/>
      <c r="E22" s="230"/>
      <c r="F22" s="230"/>
      <c r="G22" s="230"/>
      <c r="H22" s="230"/>
      <c r="I22" s="230"/>
      <c r="J22" s="230"/>
      <c r="K22" s="230"/>
      <c r="L22" s="230"/>
      <c r="M22" s="230"/>
      <c r="N22" s="230"/>
      <c r="O22" s="231">
        <f>O23*'Operating Model'!M$18</f>
        <v>0</v>
      </c>
      <c r="P22" s="231">
        <f>P23*'Operating Model'!N$18</f>
        <v>0</v>
      </c>
      <c r="Q22" s="231">
        <f>Q23*'Operating Model'!O$18</f>
        <v>0</v>
      </c>
      <c r="R22" s="231">
        <f>R23*'Operating Model'!P$18</f>
        <v>0</v>
      </c>
      <c r="S22" s="231">
        <f>S23*'Operating Model'!Q$18</f>
        <v>0</v>
      </c>
    </row>
    <row r="23" spans="1:19">
      <c r="B23" s="235" t="s">
        <v>233</v>
      </c>
      <c r="E23" s="23"/>
      <c r="F23" s="23"/>
      <c r="G23" s="23"/>
      <c r="H23" s="23"/>
      <c r="I23" s="23"/>
      <c r="J23" s="23"/>
      <c r="K23" s="314">
        <f>K22/'Operating Model'!I$18</f>
        <v>0</v>
      </c>
      <c r="L23" s="314">
        <f>L22/'Operating Model'!J$18</f>
        <v>0</v>
      </c>
      <c r="M23" s="314">
        <f>M22/'Operating Model'!K$18</f>
        <v>0</v>
      </c>
      <c r="N23" s="314">
        <f>N22/'Operating Model'!L$18</f>
        <v>0</v>
      </c>
      <c r="O23" s="315">
        <f>AVERAGE(L23:N23)</f>
        <v>0</v>
      </c>
      <c r="P23" s="315">
        <f t="shared" ref="P23" si="7">AVERAGE(M23:O23)</f>
        <v>0</v>
      </c>
      <c r="Q23" s="315">
        <f t="shared" ref="Q23" si="8">AVERAGE(N23:P23)</f>
        <v>0</v>
      </c>
      <c r="R23" s="315">
        <f t="shared" ref="R23" si="9">AVERAGE(O23:Q23)</f>
        <v>0</v>
      </c>
      <c r="S23" s="315">
        <f t="shared" ref="S23" si="10">AVERAGE(P23:R23)</f>
        <v>0</v>
      </c>
    </row>
    <row r="24" spans="1:19">
      <c r="B24" s="14"/>
      <c r="O24" s="43"/>
      <c r="P24" s="44"/>
      <c r="Q24" s="44"/>
      <c r="R24" s="44"/>
      <c r="S24" s="44"/>
    </row>
    <row r="25" spans="1:19">
      <c r="B25" s="226" t="s">
        <v>230</v>
      </c>
      <c r="C25" s="18"/>
      <c r="D25" s="18"/>
      <c r="E25" s="18"/>
      <c r="F25" s="18"/>
      <c r="G25" s="18"/>
      <c r="H25" s="18"/>
      <c r="I25" s="18"/>
      <c r="J25" s="227">
        <f>'Case Assumptions'!J22</f>
        <v>8.8627409511771948E-2</v>
      </c>
      <c r="K25" s="233">
        <f>K16+K19+K22</f>
        <v>468.78100000000001</v>
      </c>
      <c r="L25" s="233">
        <f t="shared" ref="L25:S25" si="11">L16+L19+L22</f>
        <v>542.62800000000004</v>
      </c>
      <c r="M25" s="233">
        <f t="shared" si="11"/>
        <v>526.23800000000006</v>
      </c>
      <c r="N25" s="233">
        <f t="shared" si="11"/>
        <v>414.98</v>
      </c>
      <c r="O25" s="233">
        <f t="shared" si="11"/>
        <v>592.25841632927757</v>
      </c>
      <c r="P25" s="233">
        <f t="shared" si="11"/>
        <v>626.5709575254109</v>
      </c>
      <c r="Q25" s="233">
        <f t="shared" si="11"/>
        <v>656.34730148759161</v>
      </c>
      <c r="R25" s="233">
        <f t="shared" si="11"/>
        <v>733.5957533356468</v>
      </c>
      <c r="S25" s="316">
        <f t="shared" si="11"/>
        <v>751.19388222460611</v>
      </c>
    </row>
    <row r="26" spans="1:19">
      <c r="B26" s="14"/>
      <c r="O26" s="43"/>
      <c r="P26" s="44"/>
      <c r="Q26" s="44"/>
      <c r="R26" s="44"/>
      <c r="S26" s="44"/>
    </row>
    <row r="27" spans="1:19">
      <c r="B27" s="226" t="s">
        <v>232</v>
      </c>
      <c r="C27" s="18"/>
      <c r="D27" s="18"/>
      <c r="E27" s="18"/>
      <c r="F27" s="18"/>
      <c r="G27" s="18"/>
      <c r="H27" s="18"/>
      <c r="I27" s="18"/>
      <c r="J27" s="227">
        <f>'Case Assumptions'!J24</f>
        <v>0</v>
      </c>
      <c r="K27" s="233">
        <f>K13-K25</f>
        <v>233.21899999999999</v>
      </c>
      <c r="L27" s="233">
        <f t="shared" ref="L27:S27" si="12">L13-L25</f>
        <v>235.86299999999994</v>
      </c>
      <c r="M27" s="233">
        <f t="shared" si="12"/>
        <v>394.04499999999985</v>
      </c>
      <c r="N27" s="233">
        <f t="shared" si="12"/>
        <v>456.971</v>
      </c>
      <c r="O27" s="233">
        <f t="shared" si="12"/>
        <v>454.08278367072228</v>
      </c>
      <c r="P27" s="233">
        <f t="shared" si="12"/>
        <v>597.64824647458909</v>
      </c>
      <c r="Q27" s="233">
        <f t="shared" si="12"/>
        <v>739.26259107240855</v>
      </c>
      <c r="R27" s="233">
        <f t="shared" si="12"/>
        <v>801.57512848035344</v>
      </c>
      <c r="S27" s="316">
        <f t="shared" si="12"/>
        <v>891.4389613185142</v>
      </c>
    </row>
    <row r="28" spans="1:19">
      <c r="B28" s="16" t="s">
        <v>35</v>
      </c>
      <c r="L28" s="317">
        <f>L27-K27</f>
        <v>2.6439999999999486</v>
      </c>
      <c r="M28" s="317">
        <f t="shared" ref="M28:S28" si="13">M27-L27</f>
        <v>158.1819999999999</v>
      </c>
      <c r="N28" s="317">
        <f t="shared" si="13"/>
        <v>62.926000000000158</v>
      </c>
      <c r="O28" s="317">
        <f t="shared" si="13"/>
        <v>-2.888216329277725</v>
      </c>
      <c r="P28" s="317">
        <f t="shared" si="13"/>
        <v>143.56546280386681</v>
      </c>
      <c r="Q28" s="317">
        <f t="shared" si="13"/>
        <v>141.61434459781947</v>
      </c>
      <c r="R28" s="317">
        <f t="shared" si="13"/>
        <v>62.312537407944887</v>
      </c>
      <c r="S28" s="317">
        <f t="shared" si="13"/>
        <v>89.863832838160761</v>
      </c>
    </row>
    <row r="29" spans="1:19">
      <c r="B29" s="14"/>
      <c r="O29" s="43"/>
      <c r="P29" s="44"/>
      <c r="Q29" s="44"/>
      <c r="R29" s="44"/>
      <c r="S29" s="44"/>
    </row>
    <row r="30" spans="1:19">
      <c r="B30" s="14"/>
    </row>
    <row r="32" spans="1:19">
      <c r="B32" s="14"/>
    </row>
    <row r="1048576" spans="13:13">
      <c r="M1048576">
        <f>SUM(M1:M1048575)</f>
        <v>5471.5118323055394</v>
      </c>
    </row>
  </sheetData>
  <dataValidations count="1">
    <dataValidation type="list" allowBlank="1" showInputMessage="1" showErrorMessage="1" sqref="A7 A10 A16 A19 A22" xr:uid="{3E6736A9-AE3D-A745-8F2A-BF326B542766}">
      <formula1>"1,2,3"</formula1>
    </dataValidation>
  </dataValidation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56AC1-7E8D-044A-89F3-F3EA1EEA4746}">
  <sheetPr>
    <tabColor rgb="FF202846"/>
  </sheetPr>
  <dimension ref="A1:AM1051"/>
  <sheetViews>
    <sheetView showGridLines="0" zoomScale="125" zoomScaleNormal="106" workbookViewId="0">
      <pane xSplit="3" topLeftCell="D1" activePane="topRight" state="frozen"/>
      <selection pane="topRight" activeCell="J43" sqref="J43"/>
    </sheetView>
  </sheetViews>
  <sheetFormatPr baseColWidth="10" defaultColWidth="9.5" defaultRowHeight="15" customHeight="1"/>
  <cols>
    <col min="1" max="1" width="3" style="27" customWidth="1"/>
    <col min="2" max="2" width="22" style="27" customWidth="1"/>
    <col min="3" max="25" width="12" style="27" customWidth="1"/>
    <col min="26" max="26" width="6" style="27" customWidth="1"/>
    <col min="27" max="32" width="12" style="27" customWidth="1"/>
    <col min="33" max="16384" width="9.5" style="27"/>
  </cols>
  <sheetData>
    <row r="1" spans="2:4" customFormat="1"/>
    <row r="2" spans="2:4" s="2" customFormat="1" ht="21">
      <c r="B2" s="1" t="s">
        <v>125</v>
      </c>
    </row>
    <row r="3" spans="2:4" ht="11.25" customHeight="1"/>
    <row r="4" spans="2:4" ht="4.5" customHeight="1" thickBot="1"/>
    <row r="5" spans="2:4" ht="14" customHeight="1">
      <c r="B5" s="488" t="s">
        <v>93</v>
      </c>
      <c r="C5" s="489"/>
      <c r="D5" s="71"/>
    </row>
    <row r="6" spans="2:4" ht="14" customHeight="1">
      <c r="B6" s="113" t="s">
        <v>69</v>
      </c>
      <c r="C6" s="114" t="s">
        <v>335</v>
      </c>
      <c r="D6" s="30"/>
    </row>
    <row r="7" spans="2:4" ht="14" customHeight="1">
      <c r="B7" s="113" t="s">
        <v>70</v>
      </c>
      <c r="C7" s="115" t="s">
        <v>337</v>
      </c>
      <c r="D7" s="30"/>
    </row>
    <row r="8" spans="2:4" ht="14" customHeight="1">
      <c r="B8" s="113" t="s">
        <v>71</v>
      </c>
      <c r="C8" s="115" t="s">
        <v>336</v>
      </c>
      <c r="D8" s="30"/>
    </row>
    <row r="9" spans="2:4" ht="14" customHeight="1">
      <c r="B9" s="113" t="s">
        <v>72</v>
      </c>
      <c r="C9" s="115" t="s">
        <v>338</v>
      </c>
      <c r="D9" s="30"/>
    </row>
    <row r="10" spans="2:4" ht="14" customHeight="1">
      <c r="B10" s="113" t="s">
        <v>73</v>
      </c>
      <c r="C10" s="115" t="s">
        <v>339</v>
      </c>
      <c r="D10" s="30"/>
    </row>
    <row r="11" spans="2:4" ht="14" customHeight="1">
      <c r="B11" s="113" t="s">
        <v>74</v>
      </c>
      <c r="C11" s="115" t="s">
        <v>340</v>
      </c>
      <c r="D11" s="30"/>
    </row>
    <row r="12" spans="2:4" ht="14" customHeight="1">
      <c r="B12" s="113" t="s">
        <v>84</v>
      </c>
      <c r="C12" s="115" t="s">
        <v>341</v>
      </c>
      <c r="D12" s="30"/>
    </row>
    <row r="13" spans="2:4" ht="14" customHeight="1">
      <c r="B13" s="113" t="s">
        <v>85</v>
      </c>
      <c r="C13" s="359"/>
      <c r="D13" s="30"/>
    </row>
    <row r="14" spans="2:4" ht="14" customHeight="1">
      <c r="B14" s="113" t="s">
        <v>244</v>
      </c>
      <c r="C14" s="359"/>
      <c r="D14" s="30"/>
    </row>
    <row r="15" spans="2:4" ht="14" customHeight="1" thickBot="1">
      <c r="B15" s="116" t="s">
        <v>245</v>
      </c>
      <c r="C15" s="117"/>
      <c r="D15" s="30"/>
    </row>
    <row r="16" spans="2:4" ht="14" customHeight="1">
      <c r="B16" s="71"/>
    </row>
    <row r="17" spans="1:33" ht="14" customHeight="1" thickBot="1"/>
    <row r="18" spans="1:33" s="41" customFormat="1" ht="15" customHeight="1">
      <c r="B18" s="83"/>
      <c r="C18" s="84"/>
      <c r="D18" s="491" t="s">
        <v>78</v>
      </c>
      <c r="E18" s="491"/>
      <c r="F18" s="491"/>
      <c r="G18" s="491"/>
      <c r="H18" s="491"/>
      <c r="I18" s="84"/>
      <c r="J18" s="491" t="s">
        <v>95</v>
      </c>
      <c r="K18" s="491"/>
      <c r="L18" s="491"/>
      <c r="M18" s="491"/>
      <c r="N18" s="491"/>
      <c r="O18" s="491"/>
      <c r="P18" s="491"/>
      <c r="Q18" s="491"/>
      <c r="R18" s="491"/>
      <c r="S18" s="84"/>
      <c r="T18" s="491" t="s">
        <v>100</v>
      </c>
      <c r="U18" s="491"/>
      <c r="V18" s="491"/>
      <c r="W18" s="491"/>
      <c r="X18" s="491"/>
      <c r="Y18" s="491"/>
      <c r="Z18" s="84"/>
      <c r="AA18" s="491" t="s">
        <v>99</v>
      </c>
      <c r="AB18" s="491"/>
      <c r="AC18" s="491"/>
      <c r="AD18" s="491"/>
      <c r="AE18" s="491"/>
      <c r="AF18" s="493"/>
      <c r="AG18" s="42"/>
    </row>
    <row r="19" spans="1:33" s="39" customFormat="1" ht="25" customHeight="1" thickBot="1">
      <c r="B19" s="85"/>
      <c r="C19" s="86"/>
      <c r="D19" s="306"/>
      <c r="E19" s="87" t="s">
        <v>86</v>
      </c>
      <c r="F19" s="87" t="s">
        <v>86</v>
      </c>
      <c r="G19" s="87" t="s">
        <v>89</v>
      </c>
      <c r="H19" s="87" t="s">
        <v>91</v>
      </c>
      <c r="I19" s="87"/>
      <c r="J19" s="486" t="s">
        <v>27</v>
      </c>
      <c r="K19" s="486"/>
      <c r="L19" s="490"/>
      <c r="M19" s="487" t="s">
        <v>1</v>
      </c>
      <c r="N19" s="486"/>
      <c r="O19" s="487" t="s">
        <v>2</v>
      </c>
      <c r="P19" s="486"/>
      <c r="Q19" s="487" t="s">
        <v>94</v>
      </c>
      <c r="R19" s="486"/>
      <c r="S19" s="87"/>
      <c r="T19" s="487" t="s">
        <v>96</v>
      </c>
      <c r="U19" s="486"/>
      <c r="V19" s="487" t="s">
        <v>97</v>
      </c>
      <c r="W19" s="486"/>
      <c r="X19" s="487" t="s">
        <v>98</v>
      </c>
      <c r="Y19" s="486"/>
      <c r="Z19" s="87"/>
      <c r="AA19" s="486" t="s">
        <v>101</v>
      </c>
      <c r="AB19" s="486"/>
      <c r="AC19" s="486" t="s">
        <v>53</v>
      </c>
      <c r="AD19" s="486"/>
      <c r="AE19" s="486" t="s">
        <v>102</v>
      </c>
      <c r="AF19" s="494"/>
      <c r="AG19" s="40"/>
    </row>
    <row r="20" spans="1:33" s="39" customFormat="1" ht="12" customHeight="1">
      <c r="B20" s="85" t="s">
        <v>64</v>
      </c>
      <c r="C20" s="86"/>
      <c r="D20" s="87" t="s">
        <v>17</v>
      </c>
      <c r="E20" s="87" t="s">
        <v>87</v>
      </c>
      <c r="F20" s="87" t="s">
        <v>88</v>
      </c>
      <c r="G20" s="87" t="s">
        <v>90</v>
      </c>
      <c r="H20" s="87" t="s">
        <v>92</v>
      </c>
      <c r="I20" s="87"/>
      <c r="J20" s="107" t="str">
        <f>_xlfn.CONCAT("'",RIGHT(DCF!M16,2))</f>
        <v>'24</v>
      </c>
      <c r="K20" s="107" t="str">
        <f>_xlfn.CONCAT("'",RIGHT(DCF!N16,2))</f>
        <v>'25</v>
      </c>
      <c r="L20" s="107" t="str">
        <f>_xlfn.CONCAT("'",RIGHT(DCF!O16,2))</f>
        <v>'26</v>
      </c>
      <c r="M20" s="107" t="str">
        <f t="shared" ref="M20:R20" si="0">K20</f>
        <v>'25</v>
      </c>
      <c r="N20" s="107" t="str">
        <f t="shared" si="0"/>
        <v>'26</v>
      </c>
      <c r="O20" s="107" t="str">
        <f t="shared" si="0"/>
        <v>'25</v>
      </c>
      <c r="P20" s="107" t="str">
        <f t="shared" si="0"/>
        <v>'26</v>
      </c>
      <c r="Q20" s="107" t="str">
        <f t="shared" si="0"/>
        <v>'25</v>
      </c>
      <c r="R20" s="107" t="str">
        <f t="shared" si="0"/>
        <v>'26</v>
      </c>
      <c r="S20" s="307"/>
      <c r="T20" s="307" t="str">
        <f>_xlfn.CONCAT(J20,"-",K20)</f>
        <v>'24-'25</v>
      </c>
      <c r="U20" s="307" t="str">
        <f>_xlfn.CONCAT(K20,"-",L20)</f>
        <v>'25-'26</v>
      </c>
      <c r="V20" s="307" t="str">
        <f>O20</f>
        <v>'25</v>
      </c>
      <c r="W20" s="307" t="str">
        <f>P20</f>
        <v>'26</v>
      </c>
      <c r="X20" s="307" t="str">
        <f>O20</f>
        <v>'25</v>
      </c>
      <c r="Y20" s="307" t="str">
        <f>P20</f>
        <v>'26</v>
      </c>
      <c r="Z20" s="307"/>
      <c r="AA20" s="307" t="str">
        <f>V20</f>
        <v>'25</v>
      </c>
      <c r="AB20" s="133" t="str">
        <f>Y20</f>
        <v>'26</v>
      </c>
      <c r="AC20" s="307" t="str">
        <f>AA20</f>
        <v>'25</v>
      </c>
      <c r="AD20" s="133" t="str">
        <f>AB20</f>
        <v>'26</v>
      </c>
      <c r="AE20" s="307" t="str">
        <f>AC20</f>
        <v>'25</v>
      </c>
      <c r="AF20" s="134" t="str">
        <f>AD20</f>
        <v>'26</v>
      </c>
      <c r="AG20" s="40"/>
    </row>
    <row r="21" spans="1:33" ht="4.5" customHeight="1">
      <c r="B21" s="38"/>
      <c r="D21" s="41"/>
      <c r="AF21" s="37"/>
    </row>
    <row r="22" spans="1:33" ht="14">
      <c r="B22" s="68" t="str" cm="1">
        <f t="array" ref="B22">_xll.FDSLIVE(D22,"RTP_NAME")</f>
        <v>TTM Technologies, Inc.</v>
      </c>
      <c r="C22" s="69"/>
      <c r="D22" s="69" t="str">
        <f>DCF!D4</f>
        <v>TTMI-USA</v>
      </c>
      <c r="E22" s="73" cm="1">
        <f t="array" ref="E22">_xll.FDSLIVE(D22,"RTP_PRICE")</f>
        <v>95.47</v>
      </c>
      <c r="F22" s="74" cm="1">
        <f t="array" ref="F22">_xll.FDSLIVE(D22,"RTP_SHS_OUT")</f>
        <v>103.40492248535156</v>
      </c>
      <c r="G22" s="75">
        <v>10185.790000000001</v>
      </c>
      <c r="H22" s="76">
        <v>8010.41</v>
      </c>
      <c r="I22" s="76"/>
      <c r="J22" s="111" cm="1">
        <f t="array" ref="J22">_xll.FDSLIVE($D22,"RTP_SALES(ANN,-1)")</f>
        <v>2442.7529296875</v>
      </c>
      <c r="K22" s="111" cm="1">
        <f t="array" ref="K22">_xll.FDSLIVE($D22,"RTP_SALES(ANN,0)")</f>
        <v>2906.3449999999998</v>
      </c>
      <c r="L22" s="111" cm="1">
        <f t="array" ref="L22">_xll.FDSLIVE($D22,"RTP_SALES(ANN,+1)")</f>
        <v>3404.051025390625</v>
      </c>
      <c r="M22" s="70" cm="1">
        <f t="array" ref="M22">_xll.FDSLIVE(D22,"RTP_EBIT(ANN,0)")</f>
        <v>267.53100000000001</v>
      </c>
      <c r="N22" s="70" cm="1">
        <f t="array" ref="N22">_xll.FDSLIVE(D22,"RTP_EBIT(ANN,+1)")</f>
        <v>429.7578125</v>
      </c>
      <c r="O22" s="70" cm="1">
        <f t="array" ref="O22">_xll.FDSLIVE($D22,"RTP_EBITDA(ANN,0)")</f>
        <v>414.702</v>
      </c>
      <c r="P22" s="70" cm="1">
        <f t="array" ref="P22">_xll.FDSLIVE($D22,"RTP_EBITDA(ANN,+1)")</f>
        <v>550.98150634765625</v>
      </c>
      <c r="Q22" s="70" cm="1">
        <f t="array" ref="Q22">_xll.FDSLIVE($D22,"RTP_NET_INC(ANN,0)")</f>
        <v>177.44800000000001</v>
      </c>
      <c r="R22" s="70" cm="1">
        <f t="array" ref="R22">_xll.FDSLIVE($D22,"RTP_NET_INC(ANN,+1)")</f>
        <v>343.65240478515625</v>
      </c>
      <c r="S22" s="344"/>
      <c r="T22" s="112">
        <f>(K22-J22)/J22</f>
        <v>0.18978262790244893</v>
      </c>
      <c r="U22" s="342">
        <f>(L22-K22)/K22</f>
        <v>0.17124808836893943</v>
      </c>
      <c r="V22" s="112">
        <f>O22/K22</f>
        <v>0.14268849706418199</v>
      </c>
      <c r="W22" s="342">
        <f>P22/L22</f>
        <v>0.16186053094912978</v>
      </c>
      <c r="X22" s="112">
        <f>Q22/K22</f>
        <v>6.1055380555302283E-2</v>
      </c>
      <c r="Y22" s="342">
        <f>R22/L22</f>
        <v>0.10095395228269856</v>
      </c>
      <c r="Z22" s="118"/>
      <c r="AA22" s="336">
        <f>H22/K22</f>
        <v>2.7561800130404341</v>
      </c>
      <c r="AB22" s="337">
        <f>H22/L22</f>
        <v>2.3531991560205188</v>
      </c>
      <c r="AC22" s="119">
        <f>H22/O22</f>
        <v>19.316063100732574</v>
      </c>
      <c r="AD22" s="337">
        <f>H22/P22</f>
        <v>14.538437148461425</v>
      </c>
      <c r="AE22" s="119" cm="1">
        <f t="array" ref="AE22">$E22/(_xll.FDSLIVE(D22,"RTP_EPS(ANN,0)"))</f>
        <v>56.736197777381584</v>
      </c>
      <c r="AF22" s="120" cm="1">
        <f t="array" ref="AF22">$E22/(_xll.FDSLIVE(D22,"RTP_EPS(ANN,+1)"))</f>
        <v>56.736197777381584</v>
      </c>
      <c r="AG22" s="29"/>
    </row>
    <row r="23" spans="1:33" ht="4.5" customHeight="1">
      <c r="B23" s="38"/>
      <c r="S23" s="339"/>
      <c r="U23" s="339"/>
      <c r="W23" s="339"/>
      <c r="Y23" s="339"/>
      <c r="AA23" s="338"/>
      <c r="AB23" s="339"/>
      <c r="AD23" s="339"/>
      <c r="AF23" s="37"/>
    </row>
    <row r="24" spans="1:33" ht="14">
      <c r="A24" s="41">
        <v>1</v>
      </c>
      <c r="B24" s="38" t="str" cm="1">
        <f t="array" ref="B24">_xll.FDSLIVE(D24,"RTP_NAME")</f>
        <v>Jabil Inc.</v>
      </c>
      <c r="D24" s="300" t="str">
        <f t="shared" ref="D24:D30" si="1">C6</f>
        <v>JBL-USA</v>
      </c>
      <c r="E24" s="301">
        <v>261.10000000000002</v>
      </c>
      <c r="F24" s="302" cm="1">
        <f t="array" ref="F24">_xll.FDSLIVE(D24,"RTP_SHS_OUT")</f>
        <v>105.59526824951172</v>
      </c>
      <c r="G24" s="303" cm="1">
        <f t="array" ref="G24">_xll.FDSLIVE(D24,"RTP_MKT_CAP")</f>
        <v>27570.92578125</v>
      </c>
      <c r="H24" s="304" cm="1">
        <f t="array" ref="H24">_xll.FDSLIVE(D24,"RTP_EV_EST(+1)")</f>
        <v>29436.361328125</v>
      </c>
      <c r="I24" s="304"/>
      <c r="J24" s="108" cm="1">
        <f t="array" ref="J24">_xll.FDSLIVE($D24,"RTP_SALES(ANN,-1)")</f>
        <v>28883</v>
      </c>
      <c r="K24" s="108" cm="1">
        <f t="array" ref="K24">_xll.FDSLIVE($D24,"RTP_SALES(ANN,0)")</f>
        <v>29802</v>
      </c>
      <c r="L24" s="108" cm="1">
        <f t="array" ref="L24">_xll.FDSLIVE($D24,"RTP_SALES(ANN,+1)")</f>
        <v>34069.359375</v>
      </c>
      <c r="M24" s="36" cm="1">
        <f t="array" ref="M24">_xll.FDSLIVE(D24,"RTP_EBIT(ANN,0)")</f>
        <v>1486</v>
      </c>
      <c r="N24" s="36" cm="1">
        <f t="array" ref="N24">_xll.FDSLIVE(D24,"RTP_EBIT(ANN,+1)")</f>
        <v>1942.4791259765625</v>
      </c>
      <c r="O24" s="36" cm="1">
        <f t="array" ref="O24">_xll.FDSLIVE($D24,"RTP_EBITDA(ANN,0)")</f>
        <v>2160</v>
      </c>
      <c r="P24" s="36" cm="1">
        <f t="array" ref="P24">_xll.FDSLIVE($D24,"RTP_EBITDA(ANN,+1)")</f>
        <v>2655.880859375</v>
      </c>
      <c r="Q24" s="36" cm="1">
        <f t="array" ref="Q24">_xll.FDSLIVE($D24,"RTP_NET_INC(ANN,0)")</f>
        <v>657</v>
      </c>
      <c r="R24" s="36" cm="1">
        <f t="array" ref="R24">_xll.FDSLIVE($D24,"RTP_NET_INC(ANN,+1)")</f>
        <v>1292.3939208984375</v>
      </c>
      <c r="S24" s="345"/>
      <c r="T24" s="109">
        <f>(K24-J24)/J24</f>
        <v>3.181802444344424E-2</v>
      </c>
      <c r="U24" s="343">
        <f>(L24-K24)/K24</f>
        <v>0.14319036893497081</v>
      </c>
      <c r="V24" s="109">
        <f>O24/K24</f>
        <v>7.2478357157237772E-2</v>
      </c>
      <c r="W24" s="343">
        <f>P24/L24</f>
        <v>7.7955115919317169E-2</v>
      </c>
      <c r="X24" s="109">
        <f>Q24/K24</f>
        <v>2.2045500301993155E-2</v>
      </c>
      <c r="Y24" s="343">
        <f>R24/L24</f>
        <v>3.7934200836391201E-2</v>
      </c>
      <c r="Z24" s="121"/>
      <c r="AA24" s="340">
        <f>H24/K24</f>
        <v>0.98773106932840082</v>
      </c>
      <c r="AB24" s="341">
        <f>H24/L24</f>
        <v>0.86401276302616126</v>
      </c>
      <c r="AC24" s="305">
        <f>H24/O24</f>
        <v>13.627945059317129</v>
      </c>
      <c r="AD24" s="341">
        <f>H24/P24</f>
        <v>11.083464540292733</v>
      </c>
      <c r="AE24" s="305" cm="1">
        <f t="array" ref="AE24">$E24/(_xll.FDSLIVE(D24,"RTP_EPS(ANN,0)"))</f>
        <v>44.072717451850856</v>
      </c>
      <c r="AF24" s="122" cm="1">
        <f t="array" ref="AF24">$E24/(_xll.FDSLIVE(D24,"RTP_EPS(ANN,+1)"))</f>
        <v>21.207407306329507</v>
      </c>
      <c r="AG24" s="29"/>
    </row>
    <row r="25" spans="1:33">
      <c r="A25" s="41">
        <v>2</v>
      </c>
      <c r="B25" s="38" t="str" cm="1">
        <f t="array" ref="B25">_xll.FDSLIVE(D25,"RTP_NAME")</f>
        <v>Sanmina Corporation</v>
      </c>
      <c r="D25" s="300" t="str">
        <f t="shared" si="1"/>
        <v>SANM-USA</v>
      </c>
      <c r="E25">
        <v>130.9</v>
      </c>
      <c r="F25" s="302" cm="1">
        <f t="array" ref="F25">_xll.FDSLIVE(D25,"RTP_SHS_OUT")</f>
        <v>54.604888916015625</v>
      </c>
      <c r="G25" s="303" cm="1">
        <f t="array" ref="G25">_xll.FDSLIVE(D25,"RTP_MKT_CAP")</f>
        <v>7147.77978515625</v>
      </c>
      <c r="H25" s="304" cm="1">
        <f t="array" ref="H25">_xll.FDSLIVE(D25,"RTP_EV_EST(+1)")</f>
        <v>7885.8798828125</v>
      </c>
      <c r="I25" s="304"/>
      <c r="J25" s="108" cm="1">
        <f t="array" ref="J25">_xll.FDSLIVE($D25,"RTP_SALES(ANN,-1)")</f>
        <v>7568.328125</v>
      </c>
      <c r="K25" s="108" cm="1">
        <f t="array" ref="K25">_xll.FDSLIVE($D25,"RTP_SALES(ANN,0)")</f>
        <v>8128.3819999999996</v>
      </c>
      <c r="L25" s="108" cm="1">
        <f t="array" ref="L25">_xll.FDSLIVE($D25,"RTP_SALES(ANN,+1)")</f>
        <v>14021.802734375</v>
      </c>
      <c r="M25" s="36" cm="1">
        <f t="array" ref="M25">_xll.FDSLIVE(D25,"RTP_EBIT(ANN,0)")</f>
        <v>395.04899999999998</v>
      </c>
      <c r="N25" s="36" cm="1">
        <f t="array" ref="N25">_xll.FDSLIVE(D25,"RTP_EBIT(ANN,+1)")</f>
        <v>838.1123046875</v>
      </c>
      <c r="O25" s="36" cm="1">
        <f t="array" ref="O25">_xll.FDSLIVE($D25,"RTP_EBITDA(ANN,0)")</f>
        <v>514.51499999999999</v>
      </c>
      <c r="P25" s="36" cm="1">
        <f t="array" ref="P25">_xll.FDSLIVE($D25,"RTP_EBITDA(ANN,+1)")</f>
        <v>1009.7315673828125</v>
      </c>
      <c r="Q25" s="36" cm="1">
        <f t="array" ref="Q25">_xll.FDSLIVE($D25,"RTP_NET_INC(ANN,0)")</f>
        <v>245.893</v>
      </c>
      <c r="R25" s="36" cm="1">
        <f t="array" ref="R25">_xll.FDSLIVE($D25,"RTP_NET_INC(ANN,+1)")</f>
        <v>567.57330322265625</v>
      </c>
      <c r="S25" s="345"/>
      <c r="T25" s="109">
        <f t="shared" ref="T25:T33" si="2">(K25-J25)/J25</f>
        <v>7.3999682063203301E-2</v>
      </c>
      <c r="U25" s="343">
        <f t="shared" ref="U25:U33" si="3">(L25-K25)/K25</f>
        <v>0.72504229431822975</v>
      </c>
      <c r="V25" s="109">
        <f t="shared" ref="V25:V33" si="4">O25/K25</f>
        <v>6.3298575288415329E-2</v>
      </c>
      <c r="W25" s="343">
        <f t="shared" ref="W25:W33" si="5">P25/L25</f>
        <v>7.2011537069154155E-2</v>
      </c>
      <c r="X25" s="109">
        <f t="shared" ref="X25:X33" si="6">Q25/K25</f>
        <v>3.0251161916356788E-2</v>
      </c>
      <c r="Y25" s="343">
        <f t="shared" ref="Y25:Y33" si="7">R25/L25</f>
        <v>4.047791243213171E-2</v>
      </c>
      <c r="Z25" s="121"/>
      <c r="AA25" s="340">
        <f t="shared" ref="AA25:AA33" si="8">H25/K25</f>
        <v>0.97016600386306895</v>
      </c>
      <c r="AB25" s="341">
        <f t="shared" ref="AB25:AB33" si="9">H25/L25</f>
        <v>0.5624012854980448</v>
      </c>
      <c r="AC25" s="305">
        <f t="shared" ref="AC25:AC29" si="10">H25/O25</f>
        <v>15.326822119496031</v>
      </c>
      <c r="AD25" s="341">
        <f t="shared" ref="AD25:AD33" si="11">H25/P25</f>
        <v>7.8098775333452375</v>
      </c>
      <c r="AE25" s="305" cm="1">
        <f t="array" ref="AE25">$E25/(_xll.FDSLIVE(D25,"RTP_EPS(ANN,0)"))</f>
        <v>29.373485324477155</v>
      </c>
      <c r="AF25" s="122" cm="1">
        <f t="array" ref="AF25">$E25/(_xll.FDSLIVE(D25,"RTP_EPS(ANN,+1)"))</f>
        <v>13.0183988065639</v>
      </c>
      <c r="AG25" s="29"/>
    </row>
    <row r="26" spans="1:33">
      <c r="A26" s="41">
        <v>3</v>
      </c>
      <c r="B26" s="38" t="str" cm="1">
        <f t="array" ref="B26">_xll.FDSLIVE(D26,"RTP_NAME")</f>
        <v>Flex Ltd</v>
      </c>
      <c r="D26" s="300" t="str">
        <f t="shared" si="1"/>
        <v>FLEX-USA</v>
      </c>
      <c r="E26">
        <v>64.8</v>
      </c>
      <c r="F26" s="302" cm="1">
        <f t="array" ref="F26">_xll.FDSLIVE(D26,"RTP_SHS_OUT")</f>
        <v>367.67391967773438</v>
      </c>
      <c r="G26" s="303" cm="1">
        <f t="array" ref="G26">_xll.FDSLIVE(D26,"RTP_MKT_CAP")</f>
        <v>23825.271484375</v>
      </c>
      <c r="H26" s="304" cm="1">
        <f t="array" ref="H26">_xll.FDSLIVE(D26,"RTP_EV_EST(+1)")</f>
        <v>25294.330078125</v>
      </c>
      <c r="I26" s="304"/>
      <c r="J26" s="108" cm="1">
        <f t="array" ref="J26">_xll.FDSLIVE($D26,"RTP_SALES(ANN,-1)")</f>
        <v>26415</v>
      </c>
      <c r="K26" s="108" cm="1">
        <f t="array" ref="K26">_xll.FDSLIVE($D26,"RTP_SALES(ANN,0)")</f>
        <v>25813</v>
      </c>
      <c r="L26" s="108" cm="1">
        <f t="array" ref="L26">_xll.FDSLIVE($D26,"RTP_SALES(ANN,+1)")</f>
        <v>27390.14453125</v>
      </c>
      <c r="M26" s="36" cm="1">
        <f t="array" ref="M26">_xll.FDSLIVE(D26,"RTP_EBIT(ANN,0)")</f>
        <v>1255</v>
      </c>
      <c r="N26" s="36" cm="1">
        <f t="array" ref="N26">_xll.FDSLIVE(D26,"RTP_EBIT(ANN,+1)")</f>
        <v>1730.5802001953125</v>
      </c>
      <c r="O26" s="36" cm="1">
        <f t="array" ref="O26">_xll.FDSLIVE($D26,"RTP_EBITDA(ANN,0)")</f>
        <v>1764</v>
      </c>
      <c r="P26" s="36" cm="1">
        <f t="array" ref="P26">_xll.FDSLIVE($D26,"RTP_EBITDA(ANN,+1)")</f>
        <v>2234.148193359375</v>
      </c>
      <c r="Q26" s="36" cm="1">
        <f t="array" ref="Q26">_xll.FDSLIVE($D26,"RTP_NET_INC(ANN,0)")</f>
        <v>838</v>
      </c>
      <c r="R26" s="36" cm="1">
        <f t="array" ref="R26">_xll.FDSLIVE($D26,"RTP_NET_INC(ANN,+1)")</f>
        <v>1209.074951171875</v>
      </c>
      <c r="S26" s="345"/>
      <c r="T26" s="109">
        <f t="shared" si="2"/>
        <v>-2.2790081393147834E-2</v>
      </c>
      <c r="U26" s="343">
        <f t="shared" si="3"/>
        <v>6.1098846753573778E-2</v>
      </c>
      <c r="V26" s="109">
        <f>O26/K26</f>
        <v>6.8337659318947822E-2</v>
      </c>
      <c r="W26" s="343">
        <f t="shared" si="5"/>
        <v>8.1567594169150423E-2</v>
      </c>
      <c r="X26" s="109">
        <f t="shared" si="6"/>
        <v>3.2464262193468409E-2</v>
      </c>
      <c r="Y26" s="343">
        <f t="shared" si="7"/>
        <v>4.4142700663460009E-2</v>
      </c>
      <c r="Z26" s="121"/>
      <c r="AA26" s="340">
        <f t="shared" si="8"/>
        <v>0.97990663921764232</v>
      </c>
      <c r="AB26" s="341">
        <f t="shared" si="9"/>
        <v>0.92348289908679226</v>
      </c>
      <c r="AC26" s="305">
        <f t="shared" si="10"/>
        <v>14.339189386692176</v>
      </c>
      <c r="AD26" s="341">
        <f t="shared" si="11"/>
        <v>11.321688576124041</v>
      </c>
      <c r="AE26" s="305" cm="1">
        <f t="array" ref="AE26">$E26/(_xll.FDSLIVE(D26,"RTP_EPS(ANN,0)"))</f>
        <v>30.776537639515549</v>
      </c>
      <c r="AF26" s="122" cm="1">
        <f t="array" ref="AF26">$E26/(_xll.FDSLIVE(D26,"RTP_EPS(ANN,+1)"))</f>
        <v>19.964708680239401</v>
      </c>
      <c r="AG26" s="29"/>
    </row>
    <row r="27" spans="1:33">
      <c r="A27" s="41">
        <v>4</v>
      </c>
      <c r="B27" s="38" t="str" cm="1">
        <f t="array" ref="B27">_xll.FDSLIVE(D27,"RTP_NAME")</f>
        <v>Plexus Corp.</v>
      </c>
      <c r="D27" s="300" t="str">
        <f t="shared" si="1"/>
        <v>PLXS-USA</v>
      </c>
      <c r="E27">
        <v>194.13</v>
      </c>
      <c r="F27" s="302" cm="1">
        <f t="array" ref="F27">_xll.FDSLIVE(D27,"RTP_SHS_OUT")</f>
        <v>26.786466598510742</v>
      </c>
      <c r="G27" s="303" cm="1">
        <f t="array" ref="G27">_xll.FDSLIVE(D27,"RTP_MKT_CAP")</f>
        <v>5335.060546875</v>
      </c>
      <c r="H27" s="304">
        <v>3787.7</v>
      </c>
      <c r="I27" s="304"/>
      <c r="J27" s="108" cm="1">
        <f t="array" ref="J27">_xll.FDSLIVE($D27,"RTP_SALES(ANN,-1)")</f>
        <v>3960.826904296875</v>
      </c>
      <c r="K27" s="108" cm="1">
        <f t="array" ref="K27">_xll.FDSLIVE($D27,"RTP_SALES(ANN,0)")</f>
        <v>4032.9659999999999</v>
      </c>
      <c r="L27" s="108" cm="1">
        <f t="array" ref="L27">_xll.FDSLIVE($D27,"RTP_SALES(ANN,+1)")</f>
        <v>4519.25048828125</v>
      </c>
      <c r="M27" s="36" cm="1">
        <f t="array" ref="M27">_xll.FDSLIVE(D27,"RTP_EBIT(ANN,0)")</f>
        <v>204.078</v>
      </c>
      <c r="N27" s="36" cm="1">
        <f t="array" ref="N27">_xll.FDSLIVE(D27,"RTP_EBIT(ANN,+1)")</f>
        <v>270.42001342773438</v>
      </c>
      <c r="O27" s="36" cm="1">
        <f t="array" ref="O27">_xll.FDSLIVE($D27,"RTP_EBITDA(ANN,0)")</f>
        <v>281.87</v>
      </c>
      <c r="P27" s="36" cm="1">
        <f t="array" ref="P27">_xll.FDSLIVE($D27,"RTP_EBITDA(ANN,+1)")</f>
        <v>347.25</v>
      </c>
      <c r="Q27" s="36" cm="1">
        <f t="array" ref="Q27">_xll.FDSLIVE($D27,"RTP_NET_INC(ANN,0)")</f>
        <v>172.88499999999999</v>
      </c>
      <c r="R27" s="36" cm="1">
        <f t="array" ref="R27">_xll.FDSLIVE($D27,"RTP_NET_INC(ANN,+1)")</f>
        <v>209.25999450683594</v>
      </c>
      <c r="S27" s="345"/>
      <c r="T27" s="109">
        <f t="shared" si="2"/>
        <v>1.8213140196776917E-2</v>
      </c>
      <c r="U27" s="343">
        <f t="shared" si="3"/>
        <v>0.12057738356367252</v>
      </c>
      <c r="V27" s="109">
        <f>O27/K27</f>
        <v>6.9891489291008163E-2</v>
      </c>
      <c r="W27" s="343">
        <f t="shared" si="5"/>
        <v>7.6837962600312795E-2</v>
      </c>
      <c r="X27" s="109">
        <f t="shared" si="6"/>
        <v>4.286795375909442E-2</v>
      </c>
      <c r="Y27" s="343">
        <f t="shared" si="7"/>
        <v>4.6304137168201351E-2</v>
      </c>
      <c r="Z27" s="121"/>
      <c r="AA27" s="340">
        <f t="shared" si="8"/>
        <v>0.93918470921897179</v>
      </c>
      <c r="AB27" s="341">
        <f t="shared" si="9"/>
        <v>0.83812570465429725</v>
      </c>
      <c r="AC27" s="305">
        <f t="shared" si="10"/>
        <v>13.437754993436689</v>
      </c>
      <c r="AD27" s="341">
        <f t="shared" si="11"/>
        <v>10.9077033837293</v>
      </c>
      <c r="AE27" s="305" cm="1">
        <f t="array" ref="AE27">$E27/(_xll.FDSLIVE(D27,"RTP_EPS(ANN,0)"))</f>
        <v>31.009696020957463</v>
      </c>
      <c r="AF27" s="122" cm="1">
        <f t="array" ref="AF27">$E27/(_xll.FDSLIVE(D27,"RTP_EPS(ANN,+1)"))</f>
        <v>25.225727903497457</v>
      </c>
      <c r="AG27" s="29"/>
    </row>
    <row r="28" spans="1:33">
      <c r="A28" s="41">
        <v>5</v>
      </c>
      <c r="B28" s="38" t="str" cm="1">
        <f t="array" ref="B28">_xll.FDSLIVE(D28,"RTP_NAME")</f>
        <v>Benchmark Electronics, Inc.</v>
      </c>
      <c r="D28" s="300" t="str">
        <f t="shared" si="1"/>
        <v>BHE-USA</v>
      </c>
      <c r="E28">
        <v>55.61</v>
      </c>
      <c r="F28" s="302" cm="1">
        <f t="array" ref="F28">_xll.FDSLIVE(D28,"RTP_SHS_OUT")</f>
        <v>35.667045593261719</v>
      </c>
      <c r="G28" s="303" cm="1">
        <f t="array" ref="G28">_xll.FDSLIVE(D28,"RTP_MKT_CAP")</f>
        <v>1983.4444580078125</v>
      </c>
      <c r="H28" s="304">
        <v>1479.02</v>
      </c>
      <c r="I28" s="304"/>
      <c r="J28" s="108" cm="1">
        <f t="array" ref="J28">_xll.FDSLIVE($D28,"RTP_SALES(ANN,-1)")</f>
        <v>2656.10498046875</v>
      </c>
      <c r="K28" s="108" cm="1">
        <f t="array" ref="K28">_xll.FDSLIVE($D28,"RTP_SALES(ANN,0)")</f>
        <v>2659.1080000000002</v>
      </c>
      <c r="L28" s="108" cm="1">
        <f t="array" ref="L28">_xll.FDSLIVE($D28,"RTP_SALES(ANN,+1)")</f>
        <v>2817.050048828125</v>
      </c>
      <c r="M28" s="36" cm="1">
        <f t="array" ref="M28">_xll.FDSLIVE(D28,"RTP_EBIT(ANN,0)")</f>
        <v>105.289</v>
      </c>
      <c r="N28" s="36" cm="1">
        <f t="array" ref="N28">_xll.FDSLIVE(D28,"RTP_EBIT(ANN,+1)")</f>
        <v>132.23233032226562</v>
      </c>
      <c r="O28" s="36" cm="1">
        <f t="array" ref="O28">_xll.FDSLIVE($D28,"RTP_EBITDA(ANN,0)")</f>
        <v>152.15199999999999</v>
      </c>
      <c r="P28" s="36" cm="1">
        <f t="array" ref="P28">_xll.FDSLIVE($D28,"RTP_EBITDA(ANN,+1)")</f>
        <v>192.69999694824219</v>
      </c>
      <c r="Q28" s="36" cm="1">
        <f t="array" ref="Q28">_xll.FDSLIVE($D28,"RTP_NET_INC(ANN,0)")</f>
        <v>24.852</v>
      </c>
      <c r="R28" s="36" cm="1">
        <f t="array" ref="R28">_xll.FDSLIVE($D28,"RTP_NET_INC(ANN,+1)")</f>
        <v>68.665336608886719</v>
      </c>
      <c r="S28" s="345"/>
      <c r="T28" s="109">
        <f t="shared" si="2"/>
        <v>1.1306102557438076E-3</v>
      </c>
      <c r="U28" s="343">
        <f t="shared" si="3"/>
        <v>5.9396628052762364E-2</v>
      </c>
      <c r="V28" s="109">
        <f t="shared" si="4"/>
        <v>5.7219187787784467E-2</v>
      </c>
      <c r="W28" s="343">
        <f t="shared" si="5"/>
        <v>6.8404889372982267E-2</v>
      </c>
      <c r="X28" s="109">
        <f t="shared" si="6"/>
        <v>9.3459912120906711E-3</v>
      </c>
      <c r="Y28" s="343">
        <f t="shared" si="7"/>
        <v>2.4374908297227826E-2</v>
      </c>
      <c r="Z28" s="121"/>
      <c r="AA28" s="340">
        <f t="shared" si="8"/>
        <v>0.55620907462201608</v>
      </c>
      <c r="AB28" s="341">
        <f t="shared" si="9"/>
        <v>0.52502439586235361</v>
      </c>
      <c r="AC28" s="305">
        <f t="shared" si="10"/>
        <v>9.7206740627793273</v>
      </c>
      <c r="AD28" s="341">
        <f t="shared" si="11"/>
        <v>7.6752466186974253</v>
      </c>
      <c r="AE28" s="305" cm="1">
        <f t="array" ref="AE28">$E28/(_xll.FDSLIVE(D28,"RTP_EPS(ANN,0)"))</f>
        <v>81.229915278995037</v>
      </c>
      <c r="AF28" s="122" cm="1">
        <f t="array" ref="AF28">$E28/(_xll.FDSLIVE(D28,"RTP_EPS(ANN,+1)"))</f>
        <v>21.829244357212954</v>
      </c>
      <c r="AG28" s="29"/>
    </row>
    <row r="29" spans="1:33">
      <c r="A29" s="41">
        <v>6</v>
      </c>
      <c r="B29" s="38" t="str" cm="1">
        <f t="array" ref="B29">_xll.FDSLIVE(D29,"RTP_NAME")</f>
        <v>Celestica Inc.</v>
      </c>
      <c r="D29" s="300" t="str">
        <f t="shared" si="1"/>
        <v>CLS-USA</v>
      </c>
      <c r="E29">
        <v>280.22000000000003</v>
      </c>
      <c r="F29" s="302" cm="1">
        <f t="array" ref="F29">_xll.FDSLIVE(D29,"RTP_SHS_OUT")</f>
        <v>114.96785736083984</v>
      </c>
      <c r="G29" s="303" cm="1">
        <f t="array" ref="G29">_xll.FDSLIVE(D29,"RTP_MKT_CAP")</f>
        <v>32188.017578125</v>
      </c>
      <c r="H29" s="304" cm="1">
        <f t="array" ref="H29">_xll.FDSLIVE(D29,"RTP_EV_EST(+1)")</f>
        <v>32034.9375</v>
      </c>
      <c r="I29" s="304"/>
      <c r="J29" s="108" cm="1">
        <f t="array" ref="J29">_xll.FDSLIVE($D29,"RTP_SALES(ANN,-1)")</f>
        <v>9646</v>
      </c>
      <c r="K29" s="108" cm="1">
        <f t="array" ref="K29">_xll.FDSLIVE($D29,"RTP_SALES(ANN,0)")</f>
        <v>12390.9000000132</v>
      </c>
      <c r="L29" s="108" cm="1">
        <f t="array" ref="L29">_xll.FDSLIVE($D29,"RTP_SALES(ANN,+1)")</f>
        <v>17361.345703125</v>
      </c>
      <c r="M29" s="36" cm="1">
        <f t="array" ref="M29">_xll.FDSLIVE(D29,"RTP_EBIT(ANN,0)")</f>
        <v>810.5</v>
      </c>
      <c r="N29" s="36" cm="1">
        <f t="array" ref="N29">_xll.FDSLIVE(D29,"RTP_EBIT(ANN,+1)")</f>
        <v>1353.6864013671875</v>
      </c>
      <c r="O29" s="36" cm="1">
        <f t="array" ref="O29">_xll.FDSLIVE($D29,"RTP_EBITDA(ANN,0)")</f>
        <v>986.2</v>
      </c>
      <c r="P29" s="36" cm="1">
        <f t="array" ref="P29">_xll.FDSLIVE($D29,"RTP_EBITDA(ANN,+1)")</f>
        <v>1606.309814453125</v>
      </c>
      <c r="Q29" s="36" cm="1">
        <f t="array" ref="Q29">_xll.FDSLIVE($D29,"RTP_NET_INC(ANN,0)")</f>
        <v>832.50000000088801</v>
      </c>
      <c r="R29" s="36" cm="1">
        <f t="array" ref="R29">_xll.FDSLIVE($D29,"RTP_NET_INC(ANN,+1)")</f>
        <v>1039.475341796875</v>
      </c>
      <c r="S29" s="345"/>
      <c r="T29" s="109">
        <f t="shared" si="2"/>
        <v>0.28456354965925773</v>
      </c>
      <c r="U29" s="343">
        <f t="shared" si="3"/>
        <v>0.4011367780473174</v>
      </c>
      <c r="V29" s="109">
        <f t="shared" si="4"/>
        <v>7.9590667344498739E-2</v>
      </c>
      <c r="W29" s="343">
        <f t="shared" si="5"/>
        <v>9.252219510633862E-2</v>
      </c>
      <c r="X29" s="109">
        <f t="shared" si="6"/>
        <v>6.7186402924727107E-2</v>
      </c>
      <c r="Y29" s="343">
        <f t="shared" si="7"/>
        <v>5.9872970653984038E-2</v>
      </c>
      <c r="Z29" s="121"/>
      <c r="AA29" s="340">
        <f t="shared" si="8"/>
        <v>2.5853600222716571</v>
      </c>
      <c r="AB29" s="341">
        <f t="shared" si="9"/>
        <v>1.8451874669043535</v>
      </c>
      <c r="AC29" s="305">
        <f t="shared" si="10"/>
        <v>32.483205739200969</v>
      </c>
      <c r="AD29" s="341">
        <f t="shared" si="11"/>
        <v>19.943187305312225</v>
      </c>
      <c r="AE29" s="305" cm="1">
        <f t="array" ref="AE29">$E29/(_xll.FDSLIVE(D29,"RTP_EPS(ANN,0)"))</f>
        <v>39.112835687566303</v>
      </c>
      <c r="AF29" s="122" cm="1">
        <f t="array" ref="AF29">$E29/(_xll.FDSLIVE(D29,"RTP_EPS(ANN,+1)"))</f>
        <v>39.112835687566303</v>
      </c>
      <c r="AG29" s="29"/>
    </row>
    <row r="30" spans="1:33">
      <c r="A30" s="41">
        <v>7</v>
      </c>
      <c r="B30" s="38" t="str" cm="1">
        <f t="array" ref="B30">_xll.FDSLIVE(D30,"RTP_NAME")</f>
        <v>Fabrinet</v>
      </c>
      <c r="D30" s="300" t="str">
        <f t="shared" si="1"/>
        <v>FN-USA</v>
      </c>
      <c r="E30" s="455">
        <v>551.97</v>
      </c>
      <c r="F30" s="302" cm="1">
        <f t="array" ref="F30">_xll.FDSLIVE(D30,"RTP_SHS_OUT")</f>
        <v>35.826118469238281</v>
      </c>
      <c r="G30" s="303" cm="1">
        <f t="array" ref="G30">_xll.FDSLIVE(D30,"RTP_MKT_CAP")</f>
        <v>19774.94140625</v>
      </c>
      <c r="H30" s="304" cm="1">
        <f t="array" ref="H30">_xll.FDSLIVE(D30,"RTP_EV_EST(+1)")</f>
        <v>19397.943359375</v>
      </c>
      <c r="I30" s="304"/>
      <c r="J30" s="108" cm="1">
        <f t="array" ref="J30">_xll.FDSLIVE($D30,"RTP_SALES(ANN,-1)")</f>
        <v>2882.967041015625</v>
      </c>
      <c r="K30" s="108" cm="1">
        <f t="array" ref="K30">_xll.FDSLIVE($D30,"RTP_SALES(ANN,0)")</f>
        <v>3419.32700004048</v>
      </c>
      <c r="L30" s="108" cm="1">
        <f t="array" ref="L30">_xll.FDSLIVE($D30,"RTP_SALES(ANN,+1)")</f>
        <v>4542.70166015625</v>
      </c>
      <c r="M30" s="36" cm="1">
        <f t="array" ref="M30">_xll.FDSLIVE(D30,"RTP_EBIT(ANN,0)")</f>
        <v>324.92099999999999</v>
      </c>
      <c r="N30" s="36" cm="1">
        <f t="array" ref="N30">_xll.FDSLIVE(D30,"RTP_EBIT(ANN,+1)")</f>
        <v>492.79086303710938</v>
      </c>
      <c r="O30" s="36" cm="1">
        <f t="array" ref="O30">_xll.FDSLIVE($D30,"RTP_EBITDA(ANN,0)")</f>
        <v>378.35399999999998</v>
      </c>
      <c r="P30" s="36" cm="1">
        <f t="array" ref="P30">_xll.FDSLIVE($D30,"RTP_EBITDA(ANN,+1)")</f>
        <v>561.91387939453125</v>
      </c>
      <c r="Q30" s="36" cm="1">
        <f t="array" ref="Q30">_xll.FDSLIVE($D30,"RTP_NET_INC(ANN,0)")</f>
        <v>332.52700000393702</v>
      </c>
      <c r="R30" s="36" cm="1">
        <f t="array" ref="R30">_xll.FDSLIVE($D30,"RTP_NET_INC(ANN,+1)")</f>
        <v>491.96963500976562</v>
      </c>
      <c r="S30" s="345"/>
      <c r="T30" s="109">
        <f t="shared" si="2"/>
        <v>0.18604442971221191</v>
      </c>
      <c r="U30" s="343">
        <f t="shared" si="3"/>
        <v>0.32853677349445398</v>
      </c>
      <c r="V30" s="109">
        <f t="shared" si="4"/>
        <v>0.1106515989829346</v>
      </c>
      <c r="W30" s="343">
        <f t="shared" si="5"/>
        <v>0.12369596804541282</v>
      </c>
      <c r="X30" s="109">
        <f t="shared" si="6"/>
        <v>9.7249254019870099E-2</v>
      </c>
      <c r="Y30" s="343">
        <f t="shared" si="7"/>
        <v>0.10829890928669172</v>
      </c>
      <c r="Z30" s="121"/>
      <c r="AA30" s="340">
        <f t="shared" si="8"/>
        <v>5.6730296222459433</v>
      </c>
      <c r="AB30" s="341">
        <f t="shared" si="9"/>
        <v>4.2701336804732613</v>
      </c>
      <c r="AC30" s="305">
        <f>H30/O30</f>
        <v>51.269296371585874</v>
      </c>
      <c r="AD30" s="341">
        <f t="shared" si="11"/>
        <v>34.521203463200642</v>
      </c>
      <c r="AE30" s="305" cm="1">
        <f t="array" ref="AE30">$E30/(_xll.FDSLIVE(D30,"RTP_EPS(ANN,0)"))</f>
        <v>60.200242122828257</v>
      </c>
      <c r="AF30" s="122" cm="1">
        <f t="array" ref="AF30">$E30/(_xll.FDSLIVE(D30,"RTP_EPS(ANN,+1)"))</f>
        <v>40.636795526175717</v>
      </c>
      <c r="AG30" s="29"/>
    </row>
    <row r="31" spans="1:33" s="30" customFormat="1" ht="14" hidden="1">
      <c r="A31" s="360">
        <v>8</v>
      </c>
      <c r="B31" s="113" t="e" cm="1">
        <f t="array" ref="B31">_xll.FDSLIVE(D31,"RTP_NAME")</f>
        <v>#N/A</v>
      </c>
      <c r="D31" s="30">
        <f t="shared" ref="D31:D33" si="12">C13</f>
        <v>0</v>
      </c>
      <c r="E31" s="361" t="e" cm="1">
        <f t="array" ref="E31">_xll.FDSLIVE(D31,"RTP_PRICE")</f>
        <v>#N/A</v>
      </c>
      <c r="F31" s="362" t="e" cm="1">
        <f t="array" ref="F31">_xll.FDSLIVE(D31,"RTP_SHS_OUT")</f>
        <v>#N/A</v>
      </c>
      <c r="G31" s="363" t="e" cm="1">
        <f t="array" ref="G31">_xll.FDSLIVE(D31,"RTP_MKT_CAP")</f>
        <v>#N/A</v>
      </c>
      <c r="H31" s="364" t="e" cm="1">
        <f t="array" ref="H31">_xll.FDSLIVE(D31,"RTP_EV_EST(+1)")</f>
        <v>#N/A</v>
      </c>
      <c r="I31" s="364"/>
      <c r="J31" s="365" t="e" cm="1">
        <f t="array" ref="J31">_xll.FDSLIVE($D31,"RTP_SALES(ANN,-1)")</f>
        <v>#N/A</v>
      </c>
      <c r="K31" s="365" t="e" cm="1">
        <f t="array" ref="K31">_xll.FDSLIVE($D31,"RTP_SALES(ANN,0)")</f>
        <v>#N/A</v>
      </c>
      <c r="L31" s="365" t="e" cm="1">
        <f t="array" ref="L31">_xll.FDSLIVE($D31,"RTP_SALES(ANN,+1)")</f>
        <v>#N/A</v>
      </c>
      <c r="M31" s="366" t="e" cm="1">
        <f t="array" ref="M31">_xll.FDSLIVE(D31,"RTP_EBIT(ANN,0)")</f>
        <v>#N/A</v>
      </c>
      <c r="N31" s="366" t="e" cm="1">
        <f t="array" ref="N31">_xll.FDSLIVE(D31,"RTP_EBIT(ANN,+1)")</f>
        <v>#N/A</v>
      </c>
      <c r="O31" s="366" t="e" cm="1">
        <f t="array" ref="O31">_xll.FDSLIVE($D31,"RTP_EBITDA(ANN,0)")</f>
        <v>#N/A</v>
      </c>
      <c r="P31" s="366" t="e" cm="1">
        <f t="array" ref="P31">_xll.FDSLIVE($D31,"RTP_EBITDA(ANN,+1)")</f>
        <v>#N/A</v>
      </c>
      <c r="Q31" s="366" t="e" cm="1">
        <f t="array" ref="Q31">_xll.FDSLIVE($D31,"RTP_NET_INC(ANN,0)")</f>
        <v>#N/A</v>
      </c>
      <c r="R31" s="366" t="e" cm="1">
        <f t="array" ref="R31">_xll.FDSLIVE($D31,"RTP_NET_INC(ANN,+1)")</f>
        <v>#N/A</v>
      </c>
      <c r="S31" s="373"/>
      <c r="T31" s="367" t="e">
        <f t="shared" si="2"/>
        <v>#N/A</v>
      </c>
      <c r="U31" s="368" t="e">
        <f t="shared" si="3"/>
        <v>#N/A</v>
      </c>
      <c r="V31" s="367" t="e">
        <f t="shared" si="4"/>
        <v>#N/A</v>
      </c>
      <c r="W31" s="368" t="e">
        <f t="shared" si="5"/>
        <v>#N/A</v>
      </c>
      <c r="X31" s="367" t="e">
        <f t="shared" si="6"/>
        <v>#N/A</v>
      </c>
      <c r="Y31" s="368" t="e">
        <f t="shared" si="7"/>
        <v>#N/A</v>
      </c>
      <c r="Z31" s="369"/>
      <c r="AA31" s="82" t="e">
        <f t="shared" si="8"/>
        <v>#N/A</v>
      </c>
      <c r="AB31" s="370" t="e">
        <f t="shared" si="9"/>
        <v>#N/A</v>
      </c>
      <c r="AC31" s="82" t="e">
        <f t="shared" ref="AC31:AC33" si="13">H31/O31</f>
        <v>#N/A</v>
      </c>
      <c r="AD31" s="370" t="e">
        <f t="shared" si="11"/>
        <v>#N/A</v>
      </c>
      <c r="AE31" s="82" t="e" cm="1">
        <f t="array" ref="AE31">$E31/(_xll.FDSLIVE(D31,"RTP_EPS(ANN,0)"))</f>
        <v>#N/A</v>
      </c>
      <c r="AF31" s="371" t="e" cm="1">
        <f t="array" ref="AF31">$E31/(_xll.FDSLIVE(D31,"RTP_EPS(ANN,+1)"))</f>
        <v>#N/A</v>
      </c>
      <c r="AG31" s="372"/>
    </row>
    <row r="32" spans="1:33" s="30" customFormat="1" ht="14" hidden="1">
      <c r="A32" s="360">
        <v>9</v>
      </c>
      <c r="B32" s="113" t="e" cm="1">
        <f t="array" ref="B32">_xll.FDSLIVE(D32,"RTP_NAME")</f>
        <v>#N/A</v>
      </c>
      <c r="D32" s="30">
        <f t="shared" si="12"/>
        <v>0</v>
      </c>
      <c r="E32" s="361" t="e" cm="1">
        <f t="array" ref="E32">_xll.FDSLIVE(D32,"RTP_PRICE")</f>
        <v>#N/A</v>
      </c>
      <c r="F32" s="362" t="e" cm="1">
        <f t="array" ref="F32">_xll.FDSLIVE(D32,"RTP_SHS_OUT")</f>
        <v>#N/A</v>
      </c>
      <c r="G32" s="363" t="e" cm="1">
        <f t="array" ref="G32">_xll.FDSLIVE(D32,"RTP_MKT_CAP")</f>
        <v>#N/A</v>
      </c>
      <c r="H32" s="364" t="e" cm="1">
        <f t="array" ref="H32">_xll.FDSLIVE(D32,"RTP_EV_EST(+1)")</f>
        <v>#N/A</v>
      </c>
      <c r="I32" s="364"/>
      <c r="J32" s="365" t="e" cm="1">
        <f t="array" ref="J32">_xll.FDSLIVE($D32,"RTP_SALES(ANN,-1)")</f>
        <v>#N/A</v>
      </c>
      <c r="K32" s="365" t="e" cm="1">
        <f t="array" ref="K32">_xll.FDSLIVE($D32,"RTP_SALES(ANN,0)")</f>
        <v>#N/A</v>
      </c>
      <c r="L32" s="365" t="e" cm="1">
        <f t="array" ref="L32">_xll.FDSLIVE($D32,"RTP_SALES(ANN,+1)")</f>
        <v>#N/A</v>
      </c>
      <c r="M32" s="366" t="e" cm="1">
        <f t="array" ref="M32">_xll.FDSLIVE(D32,"RTP_EBIT(ANN,0)")</f>
        <v>#N/A</v>
      </c>
      <c r="N32" s="366" t="e" cm="1">
        <f t="array" ref="N32">_xll.FDSLIVE(D32,"RTP_EBIT(ANN,+1)")</f>
        <v>#N/A</v>
      </c>
      <c r="O32" s="366" t="e" cm="1">
        <f t="array" ref="O32">_xll.FDSLIVE($D32,"RTP_EBITDA(ANN,0)")</f>
        <v>#N/A</v>
      </c>
      <c r="P32" s="366" t="e" cm="1">
        <f t="array" ref="P32">_xll.FDSLIVE($D32,"RTP_EBITDA(ANN,+1)")</f>
        <v>#N/A</v>
      </c>
      <c r="Q32" s="366" t="e" cm="1">
        <f t="array" ref="Q32">_xll.FDSLIVE($D32,"RTP_NET_INC(ANN,0)")</f>
        <v>#N/A</v>
      </c>
      <c r="R32" s="366" t="e" cm="1">
        <f t="array" ref="R32">_xll.FDSLIVE($D32,"RTP_NET_INC(ANN,+1)")</f>
        <v>#N/A</v>
      </c>
      <c r="S32" s="373"/>
      <c r="T32" s="367" t="e">
        <f t="shared" si="2"/>
        <v>#N/A</v>
      </c>
      <c r="U32" s="368" t="e">
        <f t="shared" si="3"/>
        <v>#N/A</v>
      </c>
      <c r="V32" s="367" t="e">
        <f t="shared" si="4"/>
        <v>#N/A</v>
      </c>
      <c r="W32" s="368" t="e">
        <f t="shared" si="5"/>
        <v>#N/A</v>
      </c>
      <c r="X32" s="367" t="e">
        <f t="shared" si="6"/>
        <v>#N/A</v>
      </c>
      <c r="Y32" s="368" t="e">
        <f t="shared" si="7"/>
        <v>#N/A</v>
      </c>
      <c r="Z32" s="369"/>
      <c r="AA32" s="82" t="e">
        <f t="shared" si="8"/>
        <v>#N/A</v>
      </c>
      <c r="AB32" s="370" t="e">
        <f t="shared" si="9"/>
        <v>#N/A</v>
      </c>
      <c r="AC32" s="82" t="e">
        <f t="shared" si="13"/>
        <v>#N/A</v>
      </c>
      <c r="AD32" s="370" t="e">
        <f t="shared" si="11"/>
        <v>#N/A</v>
      </c>
      <c r="AE32" s="82" t="e" cm="1">
        <f t="array" ref="AE32">$E32/(_xll.FDSLIVE(D32,"RTP_EPS(ANN,0)"))</f>
        <v>#N/A</v>
      </c>
      <c r="AF32" s="371" t="e" cm="1">
        <f t="array" ref="AF32">$E32/(_xll.FDSLIVE(D32,"RTP_EPS(ANN,+1)"))</f>
        <v>#N/A</v>
      </c>
      <c r="AG32" s="372"/>
    </row>
    <row r="33" spans="1:39" s="30" customFormat="1" ht="14" hidden="1">
      <c r="A33" s="360">
        <v>10</v>
      </c>
      <c r="B33" s="113" t="e" cm="1">
        <f t="array" ref="B33">_xll.FDSLIVE(D33,"RTP_NAME")</f>
        <v>#N/A</v>
      </c>
      <c r="D33" s="30">
        <f t="shared" si="12"/>
        <v>0</v>
      </c>
      <c r="E33" s="361" t="e" cm="1">
        <f t="array" ref="E33">_xll.FDSLIVE(D33,"RTP_PRICE")</f>
        <v>#N/A</v>
      </c>
      <c r="F33" s="362" t="e" cm="1">
        <f t="array" ref="F33">_xll.FDSLIVE(D33,"RTP_SHS_OUT")</f>
        <v>#N/A</v>
      </c>
      <c r="G33" s="363" t="e" cm="1">
        <f t="array" ref="G33">_xll.FDSLIVE(D33,"RTP_MKT_CAP")</f>
        <v>#N/A</v>
      </c>
      <c r="H33" s="364" t="e" cm="1">
        <f t="array" ref="H33">_xll.FDSLIVE(D33,"RTP_EV_EST(+1)")</f>
        <v>#N/A</v>
      </c>
      <c r="I33" s="364"/>
      <c r="J33" s="365" t="e" cm="1">
        <f t="array" ref="J33">_xll.FDSLIVE($D33,"RTP_SALES(ANN,-1)")</f>
        <v>#N/A</v>
      </c>
      <c r="K33" s="365" t="e" cm="1">
        <f t="array" ref="K33">_xll.FDSLIVE($D33,"RTP_SALES(ANN,0)")</f>
        <v>#N/A</v>
      </c>
      <c r="L33" s="365" t="e" cm="1">
        <f t="array" ref="L33">_xll.FDSLIVE($D33,"RTP_SALES(ANN,+1)")</f>
        <v>#N/A</v>
      </c>
      <c r="M33" s="366" t="e" cm="1">
        <f t="array" ref="M33">_xll.FDSLIVE(D33,"RTP_EBIT(ANN,0)")</f>
        <v>#N/A</v>
      </c>
      <c r="N33" s="366" t="e" cm="1">
        <f t="array" ref="N33">_xll.FDSLIVE(D33,"RTP_EBIT(ANN,+1)")</f>
        <v>#N/A</v>
      </c>
      <c r="O33" s="366" t="e" cm="1">
        <f t="array" ref="O33">_xll.FDSLIVE($D33,"RTP_EBITDA(ANN,0)")</f>
        <v>#N/A</v>
      </c>
      <c r="P33" s="366" t="e" cm="1">
        <f t="array" ref="P33">_xll.FDSLIVE($D33,"RTP_EBITDA(ANN,+1)")</f>
        <v>#N/A</v>
      </c>
      <c r="Q33" s="366" t="e" cm="1">
        <f t="array" ref="Q33">_xll.FDSLIVE($D33,"RTP_NET_INC(ANN,0)")</f>
        <v>#N/A</v>
      </c>
      <c r="R33" s="366" t="e" cm="1">
        <f t="array" ref="R33">_xll.FDSLIVE($D33,"RTP_NET_INC(ANN,+1)")</f>
        <v>#N/A</v>
      </c>
      <c r="S33" s="373"/>
      <c r="T33" s="367" t="e">
        <f t="shared" si="2"/>
        <v>#N/A</v>
      </c>
      <c r="U33" s="368" t="e">
        <f t="shared" si="3"/>
        <v>#N/A</v>
      </c>
      <c r="V33" s="367" t="e">
        <f t="shared" si="4"/>
        <v>#N/A</v>
      </c>
      <c r="W33" s="368" t="e">
        <f t="shared" si="5"/>
        <v>#N/A</v>
      </c>
      <c r="X33" s="367" t="e">
        <f t="shared" si="6"/>
        <v>#N/A</v>
      </c>
      <c r="Y33" s="368" t="e">
        <f t="shared" si="7"/>
        <v>#N/A</v>
      </c>
      <c r="Z33" s="369"/>
      <c r="AA33" s="82" t="e">
        <f t="shared" si="8"/>
        <v>#N/A</v>
      </c>
      <c r="AB33" s="370" t="e">
        <f t="shared" si="9"/>
        <v>#N/A</v>
      </c>
      <c r="AC33" s="82" t="e">
        <f t="shared" si="13"/>
        <v>#N/A</v>
      </c>
      <c r="AD33" s="370" t="e">
        <f t="shared" si="11"/>
        <v>#N/A</v>
      </c>
      <c r="AE33" s="82" t="e" cm="1">
        <f t="array" ref="AE33">$E33/(_xll.FDSLIVE(D33,"RTP_EPS(ANN,0)"))</f>
        <v>#N/A</v>
      </c>
      <c r="AF33" s="371" t="e" cm="1">
        <f t="array" ref="AF33">$E33/(_xll.FDSLIVE(D33,"RTP_EPS(ANN,+1)"))</f>
        <v>#N/A</v>
      </c>
      <c r="AG33" s="372"/>
    </row>
    <row r="34" spans="1:39" s="30" customFormat="1" ht="4" customHeight="1" thickBot="1">
      <c r="A34" s="360"/>
      <c r="B34" s="116"/>
      <c r="C34" s="374"/>
      <c r="D34" s="375"/>
      <c r="E34" s="376"/>
      <c r="F34" s="377"/>
      <c r="G34" s="378"/>
      <c r="H34" s="379"/>
      <c r="I34" s="379"/>
      <c r="J34" s="380"/>
      <c r="K34" s="380"/>
      <c r="L34" s="380"/>
      <c r="M34" s="381"/>
      <c r="N34" s="381"/>
      <c r="O34" s="381"/>
      <c r="P34" s="381"/>
      <c r="Q34" s="381"/>
      <c r="R34" s="381"/>
      <c r="S34" s="382"/>
      <c r="T34" s="383"/>
      <c r="U34" s="383"/>
      <c r="V34" s="383"/>
      <c r="W34" s="383"/>
      <c r="X34" s="383"/>
      <c r="Y34" s="383"/>
      <c r="Z34" s="384"/>
      <c r="AA34" s="385"/>
      <c r="AB34" s="385"/>
      <c r="AC34" s="385"/>
      <c r="AD34" s="385"/>
      <c r="AE34" s="385"/>
      <c r="AF34" s="386"/>
      <c r="AG34" s="372"/>
    </row>
    <row r="35" spans="1:39" s="30" customFormat="1" ht="14" customHeight="1" thickBot="1">
      <c r="E35" s="387"/>
      <c r="F35" s="388"/>
      <c r="G35" s="126"/>
      <c r="H35" s="126"/>
      <c r="I35" s="126"/>
      <c r="J35" s="126"/>
      <c r="K35" s="126"/>
      <c r="L35" s="126"/>
      <c r="M35" s="126"/>
      <c r="N35" s="389"/>
      <c r="O35" s="389"/>
      <c r="P35" s="389"/>
      <c r="Q35" s="389"/>
      <c r="R35" s="389"/>
      <c r="S35" s="389"/>
      <c r="T35" s="389"/>
      <c r="U35" s="389"/>
      <c r="V35" s="389"/>
      <c r="W35" s="389"/>
      <c r="X35" s="389"/>
      <c r="Y35" s="389"/>
      <c r="Z35" s="389"/>
      <c r="AA35" s="389"/>
      <c r="AB35" s="389"/>
      <c r="AC35" s="389"/>
      <c r="AD35" s="389"/>
      <c r="AE35" s="389"/>
      <c r="AF35" s="389"/>
      <c r="AG35" s="389"/>
    </row>
    <row r="36" spans="1:39" ht="14" customHeight="1">
      <c r="C36" s="95" t="s">
        <v>112</v>
      </c>
      <c r="D36" s="96"/>
      <c r="E36" s="97"/>
      <c r="F36" s="98"/>
      <c r="G36" s="99"/>
      <c r="H36" s="99"/>
      <c r="I36" s="99"/>
      <c r="J36" s="99"/>
      <c r="K36" s="99"/>
      <c r="L36" s="99"/>
      <c r="M36" s="100"/>
      <c r="N36" s="101"/>
      <c r="O36" s="101"/>
      <c r="P36" s="101"/>
      <c r="Q36" s="101"/>
      <c r="R36" s="101"/>
      <c r="S36" s="101"/>
      <c r="T36" s="101"/>
      <c r="U36" s="101"/>
      <c r="V36" s="101"/>
      <c r="W36" s="101"/>
      <c r="X36" s="101"/>
      <c r="Y36" s="101"/>
      <c r="Z36" s="101"/>
      <c r="AA36" s="102">
        <f t="shared" ref="AA36:AF36" si="14">_xlfn.AGGREGATE(1,3,AA22:AA33)</f>
        <v>1.9309708942260169</v>
      </c>
      <c r="AB36" s="102">
        <f t="shared" si="14"/>
        <v>1.5226959189407228</v>
      </c>
      <c r="AC36" s="102">
        <f t="shared" si="14"/>
        <v>21.190118854155095</v>
      </c>
      <c r="AD36" s="102">
        <f>_xlfn.AGGREGATE(1,3,AD22:AD33)</f>
        <v>14.725101071145378</v>
      </c>
      <c r="AE36" s="102">
        <f t="shared" si="14"/>
        <v>46.563953412946532</v>
      </c>
      <c r="AF36" s="103">
        <f t="shared" si="14"/>
        <v>29.71641450562085</v>
      </c>
      <c r="AG36" s="31"/>
    </row>
    <row r="37" spans="1:39" ht="14" customHeight="1">
      <c r="C37" s="104" t="s">
        <v>75</v>
      </c>
      <c r="D37" s="105"/>
      <c r="E37" s="295"/>
      <c r="F37" s="296"/>
      <c r="G37" s="297"/>
      <c r="H37" s="297"/>
      <c r="I37" s="297"/>
      <c r="J37" s="297"/>
      <c r="K37" s="297"/>
      <c r="L37" s="297"/>
      <c r="M37" s="178"/>
      <c r="N37" s="298"/>
      <c r="O37" s="298"/>
      <c r="P37" s="298"/>
      <c r="Q37" s="298"/>
      <c r="R37" s="298"/>
      <c r="S37" s="298"/>
      <c r="T37" s="298"/>
      <c r="U37" s="298"/>
      <c r="V37" s="298"/>
      <c r="W37" s="298"/>
      <c r="X37" s="298"/>
      <c r="Y37" s="298"/>
      <c r="Z37" s="298"/>
      <c r="AA37" s="299">
        <f t="shared" ref="AA37:AF37" si="15">_xlfn.AGGREGATE(12,3,AA22:AA33)</f>
        <v>0.98381885427302151</v>
      </c>
      <c r="AB37" s="299">
        <f t="shared" si="15"/>
        <v>0.89374783105647682</v>
      </c>
      <c r="AC37" s="299">
        <f t="shared" si="15"/>
        <v>14.833005753094103</v>
      </c>
      <c r="AD37" s="299">
        <f t="shared" si="15"/>
        <v>11.202576558208387</v>
      </c>
      <c r="AE37" s="299">
        <f t="shared" si="15"/>
        <v>41.592776569708576</v>
      </c>
      <c r="AF37" s="106">
        <f t="shared" si="15"/>
        <v>23.527486130355207</v>
      </c>
      <c r="AG37" s="31"/>
    </row>
    <row r="38" spans="1:39" ht="14" customHeight="1" thickBot="1">
      <c r="C38" s="92" t="s">
        <v>76</v>
      </c>
      <c r="D38" s="67"/>
      <c r="E38" s="89"/>
      <c r="F38" s="90"/>
      <c r="G38" s="91"/>
      <c r="H38" s="91"/>
      <c r="I38" s="91"/>
      <c r="J38" s="91"/>
      <c r="K38" s="91"/>
      <c r="L38" s="91"/>
      <c r="M38" s="93"/>
      <c r="N38" s="94"/>
      <c r="O38" s="94"/>
      <c r="P38" s="94"/>
      <c r="Q38" s="94"/>
      <c r="R38" s="94"/>
      <c r="S38" s="94"/>
      <c r="T38" s="94"/>
      <c r="U38" s="94"/>
      <c r="V38" s="94"/>
      <c r="W38" s="94"/>
      <c r="X38" s="94"/>
      <c r="Y38" s="94"/>
      <c r="Z38" s="94"/>
      <c r="AA38" s="78">
        <f t="shared" ref="AA38:AF38" si="16">_xlfn.AGGREGATE(7,3,AA22:AA33)</f>
        <v>1.7197665648824683</v>
      </c>
      <c r="AB38" s="78">
        <f t="shared" si="16"/>
        <v>1.2829219468028801</v>
      </c>
      <c r="AC38" s="78">
        <f t="shared" si="16"/>
        <v>13.969098965762065</v>
      </c>
      <c r="AD38" s="78">
        <f t="shared" si="16"/>
        <v>8.9129677597180397</v>
      </c>
      <c r="AE38" s="78">
        <f t="shared" si="16"/>
        <v>18.281789777100958</v>
      </c>
      <c r="AF38" s="79">
        <f t="shared" si="16"/>
        <v>14.473189786302322</v>
      </c>
      <c r="AG38" s="31"/>
    </row>
    <row r="39" spans="1:39" ht="14" customHeight="1" thickBot="1">
      <c r="E39" s="34"/>
      <c r="F39" s="33"/>
      <c r="G39" s="32"/>
      <c r="H39" s="32"/>
      <c r="I39" s="32"/>
      <c r="J39" s="32"/>
      <c r="K39" s="32"/>
      <c r="L39" s="32"/>
      <c r="M39" s="32"/>
      <c r="N39" s="31"/>
      <c r="O39" s="31"/>
      <c r="P39" s="31"/>
      <c r="Q39" s="31"/>
      <c r="R39" s="31"/>
      <c r="S39" s="31"/>
      <c r="T39" s="31"/>
      <c r="U39" s="31"/>
      <c r="V39" s="31"/>
      <c r="W39" s="31"/>
      <c r="X39" s="31"/>
      <c r="Y39" s="31"/>
      <c r="Z39" s="31"/>
      <c r="AA39" s="31"/>
      <c r="AB39" s="31"/>
      <c r="AC39" s="31"/>
      <c r="AD39" s="31"/>
      <c r="AE39" s="31"/>
      <c r="AF39" s="31"/>
      <c r="AG39" s="31"/>
    </row>
    <row r="40" spans="1:39" ht="15" customHeight="1">
      <c r="B40" s="83"/>
      <c r="C40" s="84"/>
      <c r="D40" s="151"/>
      <c r="E40" s="151"/>
      <c r="F40" s="151"/>
      <c r="G40" s="151"/>
      <c r="H40" s="151"/>
      <c r="I40" s="151"/>
      <c r="J40" s="151"/>
      <c r="K40" s="151"/>
      <c r="L40" s="151"/>
      <c r="M40" s="151"/>
      <c r="N40" s="151"/>
      <c r="O40" s="151"/>
      <c r="P40" s="151"/>
      <c r="Q40" s="151"/>
      <c r="R40" s="151"/>
      <c r="S40" s="151"/>
      <c r="T40" s="151"/>
      <c r="U40" s="151"/>
      <c r="V40" s="151"/>
      <c r="W40" s="151"/>
      <c r="X40" s="151"/>
      <c r="Y40" s="152"/>
      <c r="Z40" s="132"/>
      <c r="AA40" s="492" t="s">
        <v>79</v>
      </c>
      <c r="AB40" s="491"/>
      <c r="AC40" s="491"/>
      <c r="AD40" s="491"/>
      <c r="AE40" s="491"/>
      <c r="AF40" s="493"/>
      <c r="AH40" s="132"/>
      <c r="AI40" s="132"/>
      <c r="AJ40" s="132"/>
    </row>
    <row r="41" spans="1:39" ht="22" customHeight="1" thickBot="1">
      <c r="B41" s="85"/>
      <c r="C41" s="86"/>
      <c r="D41" s="486" t="str">
        <f>_xlfn.CONCAT(DCF!O16," Trading Multiple")</f>
        <v>2026 Trading Multiple</v>
      </c>
      <c r="E41" s="486"/>
      <c r="F41" s="486"/>
      <c r="G41" s="153"/>
      <c r="H41" s="486" t="str">
        <f>_xlfn.CONCAT(DCF!O16," Financial Metric")</f>
        <v>2026 Financial Metric</v>
      </c>
      <c r="I41" s="486"/>
      <c r="J41" s="486"/>
      <c r="K41" s="153"/>
      <c r="L41" s="486" t="s">
        <v>116</v>
      </c>
      <c r="M41" s="486"/>
      <c r="N41" s="486"/>
      <c r="O41" s="153"/>
      <c r="P41" s="87" t="str">
        <f>D22</f>
        <v>TTMI-USA</v>
      </c>
      <c r="Q41" s="153"/>
      <c r="R41" s="486" t="s">
        <v>117</v>
      </c>
      <c r="S41" s="486"/>
      <c r="T41" s="486"/>
      <c r="U41" s="153"/>
      <c r="V41" s="486" t="s">
        <v>118</v>
      </c>
      <c r="W41" s="486"/>
      <c r="X41" s="486"/>
      <c r="Y41" s="154"/>
      <c r="Z41" s="142"/>
      <c r="AA41" s="135"/>
      <c r="AB41" s="86"/>
      <c r="AC41" s="87" t="s">
        <v>103</v>
      </c>
      <c r="AD41" s="87" t="s">
        <v>104</v>
      </c>
      <c r="AE41" s="87" t="s">
        <v>77</v>
      </c>
      <c r="AF41" s="88" t="s">
        <v>107</v>
      </c>
      <c r="AH41" s="42"/>
      <c r="AI41" s="42"/>
      <c r="AJ41" s="42"/>
    </row>
    <row r="42" spans="1:39" ht="14" customHeight="1">
      <c r="B42" s="85" t="s">
        <v>110</v>
      </c>
      <c r="C42" s="86"/>
      <c r="D42" s="107" t="s">
        <v>101</v>
      </c>
      <c r="E42" s="107" t="s">
        <v>53</v>
      </c>
      <c r="F42" s="107" t="s">
        <v>102</v>
      </c>
      <c r="G42" s="107"/>
      <c r="H42" s="107" t="s">
        <v>27</v>
      </c>
      <c r="I42" s="107" t="s">
        <v>2</v>
      </c>
      <c r="J42" s="107" t="s">
        <v>114</v>
      </c>
      <c r="K42" s="107"/>
      <c r="L42" s="107" t="s">
        <v>27</v>
      </c>
      <c r="M42" s="107" t="s">
        <v>2</v>
      </c>
      <c r="N42" s="107" t="s">
        <v>94</v>
      </c>
      <c r="O42" s="107"/>
      <c r="P42" s="107" t="s">
        <v>115</v>
      </c>
      <c r="Q42" s="107"/>
      <c r="R42" s="107" t="s">
        <v>27</v>
      </c>
      <c r="S42" s="107" t="s">
        <v>2</v>
      </c>
      <c r="T42" s="107" t="s">
        <v>94</v>
      </c>
      <c r="U42" s="107"/>
      <c r="V42" s="107" t="s">
        <v>27</v>
      </c>
      <c r="W42" s="107" t="s">
        <v>2</v>
      </c>
      <c r="X42" s="107" t="s">
        <v>94</v>
      </c>
      <c r="Y42" s="155"/>
      <c r="Z42" s="148"/>
      <c r="AA42" s="123" t="s">
        <v>17</v>
      </c>
      <c r="AB42" s="87"/>
      <c r="AC42" s="87" t="s">
        <v>11</v>
      </c>
      <c r="AD42" s="87" t="s">
        <v>105</v>
      </c>
      <c r="AE42" s="87" t="s">
        <v>106</v>
      </c>
      <c r="AF42" s="88" t="s">
        <v>11</v>
      </c>
      <c r="AH42" s="42"/>
      <c r="AI42" s="42"/>
      <c r="AJ42" s="42"/>
    </row>
    <row r="43" spans="1:39" ht="14" customHeight="1">
      <c r="B43" s="38" t="s">
        <v>111</v>
      </c>
      <c r="D43" s="29">
        <f>_xlfn.AGGREGATE(5,3,AB22:AB33)</f>
        <v>0.52502439586235361</v>
      </c>
      <c r="E43" s="29">
        <f>_xlfn.AGGREGATE(5,3,AD22:AD33)</f>
        <v>7.6752466186974253</v>
      </c>
      <c r="F43" s="29">
        <f>_xlfn.AGGREGATE(5,3,AF22:AF33)</f>
        <v>13.0183988065639</v>
      </c>
      <c r="G43" s="28"/>
      <c r="H43" s="108">
        <f>$L$22</f>
        <v>3404.051025390625</v>
      </c>
      <c r="I43" s="149">
        <f>$P$22</f>
        <v>550.98150634765625</v>
      </c>
      <c r="J43" s="156" cm="1">
        <f t="array" ref="J43">_xll.FDSLIVE($D$22,"RTP_EPS(ANN,+1)")</f>
        <v>1.6827000000000001</v>
      </c>
      <c r="K43" s="28"/>
      <c r="L43" s="157">
        <f>H43*D43</f>
        <v>1787.2098330903382</v>
      </c>
      <c r="M43" s="157">
        <f>I43*E43</f>
        <v>4228.9189435596627</v>
      </c>
      <c r="N43" s="166">
        <v>0</v>
      </c>
      <c r="O43" s="28"/>
      <c r="P43" s="167">
        <f>-($H$22-$G$22)</f>
        <v>2175.380000000001</v>
      </c>
      <c r="Q43" s="28"/>
      <c r="R43" s="157">
        <f>L43-$P$43</f>
        <v>-388.17016690966284</v>
      </c>
      <c r="S43" s="157">
        <f>M43-$P$43</f>
        <v>2053.5389435596617</v>
      </c>
      <c r="T43" s="157">
        <f>F43*J43*$F$22</f>
        <v>2265.1944023224896</v>
      </c>
      <c r="U43" s="28"/>
      <c r="V43" s="168">
        <f>R43/$F$22</f>
        <v>-3.7538848014189208</v>
      </c>
      <c r="W43" s="168">
        <f t="shared" ref="W43:X45" si="17">S43/$F$22</f>
        <v>19.859199100028995</v>
      </c>
      <c r="X43" s="168">
        <f t="shared" si="17"/>
        <v>21.906059671805075</v>
      </c>
      <c r="Y43" s="158"/>
      <c r="AA43" s="38"/>
      <c r="AF43" s="37"/>
      <c r="AH43" s="31"/>
    </row>
    <row r="44" spans="1:39" ht="14" customHeight="1">
      <c r="B44" s="38" t="s">
        <v>112</v>
      </c>
      <c r="D44" s="29">
        <f>AB36</f>
        <v>1.5226959189407228</v>
      </c>
      <c r="E44" s="29">
        <f>AD36</f>
        <v>14.725101071145378</v>
      </c>
      <c r="F44" s="29">
        <f>AF36</f>
        <v>29.71641450562085</v>
      </c>
      <c r="G44" s="36"/>
      <c r="H44" s="108">
        <f t="shared" ref="H44:H46" si="18">$L$22</f>
        <v>3404.051025390625</v>
      </c>
      <c r="I44" s="149">
        <f t="shared" ref="I44:I46" si="19">$P$22</f>
        <v>550.98150634765625</v>
      </c>
      <c r="J44" s="156" cm="1">
        <f t="array" ref="J44">_xll.FDSLIVE($D$22,"RTP_EPS(ANN,+1)")</f>
        <v>1.6827000000000001</v>
      </c>
      <c r="K44" s="36"/>
      <c r="L44" s="157">
        <f t="shared" ref="L44:L45" si="20">H44*D44</f>
        <v>5183.3346042282874</v>
      </c>
      <c r="M44" s="157">
        <f t="shared" ref="M44:M46" si="21">I44*E44</f>
        <v>8113.2583693011666</v>
      </c>
      <c r="N44" s="150">
        <v>0</v>
      </c>
      <c r="O44" s="159"/>
      <c r="P44" s="167">
        <f t="shared" ref="P44:P46" si="22">-($H$22-$G$22)</f>
        <v>2175.380000000001</v>
      </c>
      <c r="Q44" s="169"/>
      <c r="R44" s="157">
        <f t="shared" ref="R44:R46" si="23">L44-$P$43</f>
        <v>3007.9546042282864</v>
      </c>
      <c r="S44" s="157">
        <f t="shared" ref="S44:S46" si="24">M44-$P$43</f>
        <v>5937.8783693011655</v>
      </c>
      <c r="T44" s="157">
        <f t="shared" ref="T44:T45" si="25">F44*J44*$F$22</f>
        <v>5170.6401682277256</v>
      </c>
      <c r="U44" s="169"/>
      <c r="V44" s="168">
        <f t="shared" ref="V44:V46" si="26">R44/$F$22</f>
        <v>29.089085238223511</v>
      </c>
      <c r="W44" s="168">
        <f t="shared" si="17"/>
        <v>57.423556118833034</v>
      </c>
      <c r="X44" s="168">
        <f t="shared" si="17"/>
        <v>50.003810688608205</v>
      </c>
      <c r="Y44" s="160"/>
      <c r="AA44" s="136" t="str">
        <f>D22</f>
        <v>TTMI-USA</v>
      </c>
      <c r="AB44" s="300"/>
      <c r="AC44" s="308" cm="1">
        <f t="array" ref="AC44">_xll.FDSLIVE(AA44,"RTP_BETA")</f>
        <v>2.1040306091308594</v>
      </c>
      <c r="AD44" s="309">
        <v>0.24</v>
      </c>
      <c r="AE44" s="127" cm="1">
        <f t="array" ref="AE44">_xll.FDSLIVE(AA44,"RTP_LTDEBT_EQ")/100</f>
        <v>0.57635821871206916</v>
      </c>
      <c r="AF44" s="128">
        <f>IFERROR(AC44/(1+((1-AE44)*AD44)),"N/A")</f>
        <v>1.9098486091099875</v>
      </c>
      <c r="AH44" s="82"/>
      <c r="AI44" s="82"/>
      <c r="AJ44" s="82"/>
      <c r="AK44" s="82"/>
      <c r="AL44" s="82"/>
      <c r="AM44" s="82"/>
    </row>
    <row r="45" spans="1:39" ht="14" customHeight="1">
      <c r="B45" s="38" t="s">
        <v>75</v>
      </c>
      <c r="D45" s="29">
        <f>AB37</f>
        <v>0.89374783105647682</v>
      </c>
      <c r="E45" s="29">
        <f>AD37</f>
        <v>11.202576558208387</v>
      </c>
      <c r="F45" s="29">
        <f>AF37</f>
        <v>23.527486130355207</v>
      </c>
      <c r="G45" s="28"/>
      <c r="H45" s="108">
        <f t="shared" si="18"/>
        <v>3404.051025390625</v>
      </c>
      <c r="I45" s="149">
        <f t="shared" si="19"/>
        <v>550.98150634765625</v>
      </c>
      <c r="J45" s="156" cm="1">
        <f t="array" ref="J45">_xll.FDSLIVE($D$22,"RTP_EPS(ANN,+1)")</f>
        <v>1.6827000000000001</v>
      </c>
      <c r="K45" s="28"/>
      <c r="L45" s="157">
        <f t="shared" si="20"/>
        <v>3042.363220748447</v>
      </c>
      <c r="M45" s="157">
        <f t="shared" si="21"/>
        <v>6172.4125070165992</v>
      </c>
      <c r="N45" s="170">
        <v>0</v>
      </c>
      <c r="O45" s="171"/>
      <c r="P45" s="167">
        <f t="shared" si="22"/>
        <v>2175.380000000001</v>
      </c>
      <c r="Q45" s="171"/>
      <c r="R45" s="157">
        <f t="shared" si="23"/>
        <v>866.983220748446</v>
      </c>
      <c r="S45" s="157">
        <f t="shared" si="24"/>
        <v>3997.0325070165982</v>
      </c>
      <c r="T45" s="157">
        <f t="shared" si="25"/>
        <v>4093.7699539769465</v>
      </c>
      <c r="U45" s="171"/>
      <c r="V45" s="168">
        <f t="shared" si="26"/>
        <v>8.3843515367584516</v>
      </c>
      <c r="W45" s="168">
        <f t="shared" si="17"/>
        <v>38.654180197106392</v>
      </c>
      <c r="X45" s="168">
        <f t="shared" si="17"/>
        <v>39.589700911548711</v>
      </c>
      <c r="Y45" s="161"/>
      <c r="AA45" s="136" t="str">
        <f t="shared" ref="AA45:AA54" si="27">D24</f>
        <v>JBL-USA</v>
      </c>
      <c r="AB45" s="300"/>
      <c r="AC45" s="308" cm="1">
        <f t="array" ref="AC45">_xll.FDSLIVE(AA45,"RTP_BETA")</f>
        <v>1.5297983884811401</v>
      </c>
      <c r="AD45" s="243"/>
      <c r="AE45" s="127" cm="1">
        <f t="array" ref="AE45">IFERROR((_xll.FDSLIVE(AA45,"RTP_LTDEBT_EQ")/100),"N/A")</f>
        <v>1.9431592861863849</v>
      </c>
      <c r="AF45" s="128">
        <f>IFERROR(AC45/(1+((1-AE45)*AD45)),"N/A")</f>
        <v>1.5297983884811401</v>
      </c>
      <c r="AH45" s="82"/>
      <c r="AI45" s="82"/>
      <c r="AJ45" s="82"/>
      <c r="AK45" s="82"/>
      <c r="AL45" s="82"/>
      <c r="AM45" s="82"/>
    </row>
    <row r="46" spans="1:39" ht="14" customHeight="1" thickBot="1">
      <c r="B46" s="66" t="s">
        <v>113</v>
      </c>
      <c r="C46" s="67"/>
      <c r="D46" s="172">
        <f>_xlfn.AGGREGATE(4,3,AB22:AB33)</f>
        <v>4.2701336804732613</v>
      </c>
      <c r="E46" s="172">
        <f>_xlfn.AGGREGATE(4,3,AD22:AD33)</f>
        <v>34.521203463200642</v>
      </c>
      <c r="F46" s="172">
        <f>_xlfn.AGGREGATE(4,3,AF22:AF33)</f>
        <v>56.736197777381584</v>
      </c>
      <c r="G46" s="35"/>
      <c r="H46" s="110">
        <f t="shared" si="18"/>
        <v>3404.051025390625</v>
      </c>
      <c r="I46" s="162">
        <f t="shared" si="19"/>
        <v>550.98150634765625</v>
      </c>
      <c r="J46" s="163" cm="1">
        <f t="array" ref="J46">_xll.FDSLIVE($D$22,"RTP_EPS(ANN,+1)")</f>
        <v>1.6827000000000001</v>
      </c>
      <c r="K46" s="35"/>
      <c r="L46" s="164">
        <f>H46*D46</f>
        <v>14535.752933570049</v>
      </c>
      <c r="M46" s="164">
        <f t="shared" si="21"/>
        <v>19020.544685088218</v>
      </c>
      <c r="N46" s="173">
        <v>0</v>
      </c>
      <c r="O46" s="174"/>
      <c r="P46" s="175">
        <f t="shared" si="22"/>
        <v>2175.380000000001</v>
      </c>
      <c r="Q46" s="174"/>
      <c r="R46" s="164">
        <f t="shared" si="23"/>
        <v>12360.372933570048</v>
      </c>
      <c r="S46" s="164">
        <f t="shared" si="24"/>
        <v>16845.164685088217</v>
      </c>
      <c r="T46" s="164">
        <f>F46*J46*$F$22</f>
        <v>9872.0679496765133</v>
      </c>
      <c r="U46" s="176"/>
      <c r="V46" s="177">
        <f t="shared" si="26"/>
        <v>119.533699523067</v>
      </c>
      <c r="W46" s="177">
        <f>S46/$F$22</f>
        <v>162.90486255598248</v>
      </c>
      <c r="X46" s="177">
        <f>T46/$F$22</f>
        <v>95.47</v>
      </c>
      <c r="Y46" s="165"/>
      <c r="AA46" s="136" t="str">
        <f t="shared" si="27"/>
        <v>SANM-USA</v>
      </c>
      <c r="AB46" s="300"/>
      <c r="AC46" s="308" cm="1">
        <f t="array" ref="AC46">_xll.FDSLIVE(AA46,"RTP_BETA")</f>
        <v>1.4370064735412598</v>
      </c>
      <c r="AD46" s="309"/>
      <c r="AE46" s="127" cm="1">
        <f t="array" ref="AE46">IFERROR((_xll.FDSLIVE(AA46,"RTP_LTDEBT_EQ")/100),"N/A")</f>
        <v>0.13551773095442213</v>
      </c>
      <c r="AF46" s="128">
        <f t="shared" ref="AF46:AF54" si="28">IFERROR(AC46/(1+((1-AE46)*AD46)),"N/A")</f>
        <v>1.4370064735412598</v>
      </c>
      <c r="AH46" s="31"/>
    </row>
    <row r="47" spans="1:39" ht="14" customHeight="1">
      <c r="D47" s="108"/>
      <c r="E47" s="108"/>
      <c r="F47" s="108"/>
      <c r="G47" s="36"/>
      <c r="H47" s="36"/>
      <c r="I47" s="36"/>
      <c r="J47" s="149"/>
      <c r="K47" s="36"/>
      <c r="L47" s="36"/>
      <c r="M47" s="138"/>
      <c r="N47" s="138"/>
      <c r="O47" s="138"/>
      <c r="P47" s="138"/>
      <c r="Q47" s="138"/>
      <c r="R47" s="138"/>
      <c r="S47" s="138"/>
      <c r="T47" s="138"/>
      <c r="U47" s="138"/>
      <c r="V47" s="138"/>
      <c r="W47" s="138"/>
      <c r="X47" s="138"/>
      <c r="Y47" s="138"/>
      <c r="AA47" s="136" t="str">
        <f t="shared" si="27"/>
        <v>FLEX-USA</v>
      </c>
      <c r="AB47" s="300"/>
      <c r="AC47" s="308" cm="1">
        <f t="array" ref="AC47">_xll.FDSLIVE(AA47,"RTP_BETA")</f>
        <v>1.7770935297012329</v>
      </c>
      <c r="AD47" s="243"/>
      <c r="AE47" s="127" cm="1">
        <f t="array" ref="AE47">IFERROR((_xll.FDSLIVE(AA47,"RTP_LTDEBT_EQ")/100),"N/A")</f>
        <v>0.58756497401039587</v>
      </c>
      <c r="AF47" s="128">
        <f t="shared" si="28"/>
        <v>1.7770935297012329</v>
      </c>
      <c r="AH47" s="82"/>
      <c r="AI47" s="82"/>
      <c r="AJ47" s="82"/>
      <c r="AK47" s="82"/>
      <c r="AL47" s="82"/>
      <c r="AM47" s="82"/>
    </row>
    <row r="48" spans="1:39" ht="14" customHeight="1">
      <c r="D48" s="108"/>
      <c r="E48" s="108"/>
      <c r="F48" s="108"/>
      <c r="G48" s="36"/>
      <c r="H48" s="36"/>
      <c r="I48" s="36"/>
      <c r="J48" s="36"/>
      <c r="K48" s="36"/>
      <c r="L48" s="36"/>
      <c r="M48" s="139"/>
      <c r="N48" s="139"/>
      <c r="O48" s="139"/>
      <c r="P48" s="139"/>
      <c r="Q48" s="139"/>
      <c r="R48" s="139"/>
      <c r="S48" s="139"/>
      <c r="T48" s="139"/>
      <c r="U48" s="139"/>
      <c r="V48" s="139"/>
      <c r="W48" s="139"/>
      <c r="X48" s="139"/>
      <c r="Y48" s="139"/>
      <c r="AA48" s="136" t="str">
        <f t="shared" si="27"/>
        <v>PLXS-USA</v>
      </c>
      <c r="AB48" s="300"/>
      <c r="AC48" s="308" cm="1">
        <f t="array" ref="AC48">_xll.FDSLIVE(AA48,"RTP_BETA")</f>
        <v>1.3599557876586914</v>
      </c>
      <c r="AD48" s="309">
        <v>0.2</v>
      </c>
      <c r="AE48" s="127" cm="1">
        <f t="array" ref="AE48">IFERROR((_xll.FDSLIVE(AA48,"RTP_LTDEBT_EQ")/100),"N/A")</f>
        <v>8.3466246112301204E-2</v>
      </c>
      <c r="AF48" s="128">
        <f t="shared" si="28"/>
        <v>1.1492842297781851</v>
      </c>
      <c r="AH48" s="82"/>
      <c r="AI48" s="82"/>
      <c r="AJ48" s="82"/>
      <c r="AK48" s="82"/>
      <c r="AL48" s="82"/>
      <c r="AM48" s="82"/>
    </row>
    <row r="49" spans="2:39" ht="14" customHeight="1">
      <c r="D49" s="108"/>
      <c r="E49" s="108"/>
      <c r="F49" s="108"/>
      <c r="G49" s="36"/>
      <c r="H49" s="36"/>
      <c r="I49" s="36"/>
      <c r="J49" s="36"/>
      <c r="K49" s="36"/>
      <c r="L49" s="36"/>
      <c r="M49" s="139"/>
      <c r="N49" s="139"/>
      <c r="O49" s="139"/>
      <c r="P49" s="139"/>
      <c r="Q49" s="139"/>
      <c r="R49" s="139"/>
      <c r="S49" s="139"/>
      <c r="T49" s="139"/>
      <c r="U49" s="139"/>
      <c r="V49" s="139"/>
      <c r="W49" s="139"/>
      <c r="X49" s="139"/>
      <c r="Y49" s="139"/>
      <c r="AA49" s="136" t="str">
        <f t="shared" si="27"/>
        <v>BHE-USA</v>
      </c>
      <c r="AB49" s="300"/>
      <c r="AC49" s="308" cm="1">
        <f t="array" ref="AC49">_xll.FDSLIVE(AA49,"RTP_BETA")</f>
        <v>1.354282021522522</v>
      </c>
      <c r="AD49" s="243"/>
      <c r="AE49" s="127" cm="1">
        <f t="array" ref="AE49">IFERROR((_xll.FDSLIVE(AA49,"RTP_LTDEBT_EQ")/100),"N/A")</f>
        <v>0.27779065887254351</v>
      </c>
      <c r="AF49" s="128">
        <f t="shared" si="28"/>
        <v>1.354282021522522</v>
      </c>
      <c r="AH49" s="81"/>
      <c r="AI49" s="81"/>
      <c r="AJ49" s="81"/>
      <c r="AK49" s="81"/>
      <c r="AL49" s="81"/>
      <c r="AM49" s="81"/>
    </row>
    <row r="50" spans="2:39" ht="14" customHeight="1">
      <c r="D50" s="108"/>
      <c r="E50" s="108"/>
      <c r="F50" s="108"/>
      <c r="G50" s="36"/>
      <c r="H50" s="36"/>
      <c r="I50" s="36"/>
      <c r="J50" s="36"/>
      <c r="K50" s="36"/>
      <c r="L50" s="36"/>
      <c r="M50" s="139"/>
      <c r="N50" s="139"/>
      <c r="O50" s="139"/>
      <c r="P50" s="139"/>
      <c r="Q50" s="139"/>
      <c r="R50" s="139"/>
      <c r="S50" s="139"/>
      <c r="T50" s="139"/>
      <c r="U50" s="139"/>
      <c r="V50" s="139"/>
      <c r="W50" s="139"/>
      <c r="X50" s="139"/>
      <c r="Y50" s="139"/>
      <c r="AA50" s="136" t="str">
        <f t="shared" si="27"/>
        <v>CLS-USA</v>
      </c>
      <c r="AB50" s="300"/>
      <c r="AC50" s="308" cm="1">
        <f t="array" ref="AC50">_xll.FDSLIVE(AA50,"RTP_BETA")</f>
        <v>2.1609377861022949</v>
      </c>
      <c r="AD50" s="243"/>
      <c r="AE50" s="127" cm="1">
        <f t="array" ref="AE50">IFERROR((_xll.FDSLIVE(AA50,"RTP_LTDEBT_EQ")/100),"N/A")</f>
        <v>0.38717682624193472</v>
      </c>
      <c r="AF50" s="128">
        <f t="shared" si="28"/>
        <v>2.1609377861022949</v>
      </c>
      <c r="AH50" s="81"/>
      <c r="AI50" s="81"/>
      <c r="AJ50" s="81"/>
      <c r="AK50" s="81"/>
      <c r="AL50" s="81"/>
      <c r="AM50" s="81"/>
    </row>
    <row r="51" spans="2:39" ht="14" customHeight="1">
      <c r="D51" s="108"/>
      <c r="E51" s="108"/>
      <c r="F51" s="108"/>
      <c r="G51" s="36"/>
      <c r="H51" s="36"/>
      <c r="I51" s="36"/>
      <c r="J51" s="36"/>
      <c r="K51" s="36"/>
      <c r="L51" s="36"/>
      <c r="M51" s="139"/>
      <c r="N51" s="139"/>
      <c r="O51" s="139"/>
      <c r="P51" s="139"/>
      <c r="Q51" s="139"/>
      <c r="R51" s="139"/>
      <c r="S51" s="139"/>
      <c r="T51" s="139"/>
      <c r="U51" s="139"/>
      <c r="V51" s="139"/>
      <c r="W51" s="139"/>
      <c r="X51" s="139"/>
      <c r="Y51" s="139"/>
      <c r="AA51" s="136" t="str">
        <f t="shared" si="27"/>
        <v>FN-USA</v>
      </c>
      <c r="AB51" s="300"/>
      <c r="AC51" s="308" cm="1">
        <f t="array" ref="AC51">_xll.FDSLIVE(AA51,"RTP_BETA")</f>
        <v>2.1137793064117432</v>
      </c>
      <c r="AD51" s="309">
        <v>0.2</v>
      </c>
      <c r="AE51" s="127" cm="1">
        <f t="array" ref="AE51">IFERROR((_xll.FDSLIVE(AA51,"RTP_LTDEBT_EQ")/100),"N/A")</f>
        <v>1.8563819373381531E-3</v>
      </c>
      <c r="AF51" s="128">
        <f t="shared" si="28"/>
        <v>1.7620279214775389</v>
      </c>
      <c r="AH51" s="81"/>
      <c r="AI51" s="81"/>
      <c r="AJ51" s="81"/>
      <c r="AK51" s="81"/>
      <c r="AL51" s="81"/>
      <c r="AM51" s="81"/>
    </row>
    <row r="52" spans="2:39" ht="14" hidden="1" customHeight="1">
      <c r="D52" s="108"/>
      <c r="E52" s="108"/>
      <c r="F52" s="108"/>
      <c r="G52" s="36"/>
      <c r="H52" s="36"/>
      <c r="I52" s="36"/>
      <c r="J52" s="36"/>
      <c r="K52" s="36"/>
      <c r="L52" s="36"/>
      <c r="M52" s="139"/>
      <c r="N52" s="139"/>
      <c r="O52" s="139"/>
      <c r="P52" s="139"/>
      <c r="Q52" s="139"/>
      <c r="R52" s="139"/>
      <c r="S52" s="139"/>
      <c r="T52" s="139"/>
      <c r="U52" s="139"/>
      <c r="V52" s="139"/>
      <c r="W52" s="139"/>
      <c r="X52" s="139"/>
      <c r="Y52" s="139"/>
      <c r="AA52" s="136">
        <f t="shared" si="27"/>
        <v>0</v>
      </c>
      <c r="AB52" s="300"/>
      <c r="AC52" s="308" t="e" cm="1">
        <f t="array" ref="AC52">_xll.FDSLIVE(AA52,"RTP_BETA")</f>
        <v>#N/A</v>
      </c>
      <c r="AD52" s="243"/>
      <c r="AE52" s="127" t="str" cm="1">
        <f t="array" ref="AE52">IFERROR((_xll.FDSLIVE(AA52,"RTP_LTDEBT_EQ")/100),"N/A")</f>
        <v>N/A</v>
      </c>
      <c r="AF52" s="128" t="str">
        <f t="shared" si="28"/>
        <v>N/A</v>
      </c>
      <c r="AH52" s="81"/>
      <c r="AI52" s="81"/>
      <c r="AJ52" s="81"/>
      <c r="AK52" s="81"/>
      <c r="AL52" s="81"/>
      <c r="AM52" s="81"/>
    </row>
    <row r="53" spans="2:39" ht="14" hidden="1" customHeight="1">
      <c r="D53" s="108"/>
      <c r="E53" s="108"/>
      <c r="F53" s="108"/>
      <c r="G53" s="36"/>
      <c r="H53" s="36"/>
      <c r="I53" s="36"/>
      <c r="J53" s="36"/>
      <c r="K53" s="36"/>
      <c r="L53" s="36"/>
      <c r="M53" s="139"/>
      <c r="N53" s="139"/>
      <c r="O53" s="139"/>
      <c r="P53" s="139"/>
      <c r="Q53" s="139"/>
      <c r="R53" s="139"/>
      <c r="S53" s="139"/>
      <c r="T53" s="139"/>
      <c r="U53" s="139"/>
      <c r="V53" s="139"/>
      <c r="W53" s="139"/>
      <c r="X53" s="139"/>
      <c r="Y53" s="139"/>
      <c r="AA53" s="136">
        <f t="shared" si="27"/>
        <v>0</v>
      </c>
      <c r="AB53" s="300"/>
      <c r="AC53" s="308" t="e" cm="1">
        <f t="array" ref="AC53">_xll.FDSLIVE(AA53,"RTP_BETA")</f>
        <v>#N/A</v>
      </c>
      <c r="AD53" s="243"/>
      <c r="AE53" s="127" t="str" cm="1">
        <f t="array" ref="AE53">IFERROR((_xll.FDSLIVE(AA53,"RTP_LTDEBT_EQ")/100),"N/A")</f>
        <v>N/A</v>
      </c>
      <c r="AF53" s="128" t="str">
        <f t="shared" si="28"/>
        <v>N/A</v>
      </c>
      <c r="AH53" s="81"/>
      <c r="AI53" s="81"/>
      <c r="AJ53" s="81"/>
      <c r="AK53" s="81"/>
      <c r="AL53" s="81"/>
      <c r="AM53" s="81"/>
    </row>
    <row r="54" spans="2:39" ht="14" hidden="1" customHeight="1">
      <c r="D54" s="108"/>
      <c r="E54" s="108"/>
      <c r="F54" s="108"/>
      <c r="G54" s="36"/>
      <c r="H54" s="36"/>
      <c r="I54" s="36"/>
      <c r="J54" s="36"/>
      <c r="K54" s="36"/>
      <c r="L54" s="36"/>
      <c r="M54" s="140"/>
      <c r="N54" s="141"/>
      <c r="O54" s="141"/>
      <c r="P54" s="141"/>
      <c r="Q54" s="141"/>
      <c r="R54" s="141"/>
      <c r="S54" s="141"/>
      <c r="T54" s="141"/>
      <c r="U54" s="141"/>
      <c r="V54" s="141"/>
      <c r="W54" s="141"/>
      <c r="X54" s="141"/>
      <c r="Y54" s="141"/>
      <c r="AA54" s="136">
        <f t="shared" si="27"/>
        <v>0</v>
      </c>
      <c r="AB54" s="300"/>
      <c r="AC54" s="308" t="e" cm="1">
        <f t="array" ref="AC54">_xll.FDSLIVE(AA54,"RTP_BETA")</f>
        <v>#N/A</v>
      </c>
      <c r="AD54" s="243"/>
      <c r="AE54" s="127" t="str" cm="1">
        <f t="array" ref="AE54">IFERROR((_xll.FDSLIVE(AA54,"RTP_LTDEBT_EQ")/100),"N/A")</f>
        <v>N/A</v>
      </c>
      <c r="AF54" s="128" t="str">
        <f t="shared" si="28"/>
        <v>N/A</v>
      </c>
      <c r="AH54" s="81"/>
      <c r="AI54" s="81"/>
      <c r="AJ54" s="81"/>
      <c r="AK54" s="81"/>
      <c r="AL54" s="81"/>
      <c r="AM54" s="81"/>
    </row>
    <row r="55" spans="2:39" ht="3" customHeight="1" thickBot="1">
      <c r="D55" s="108"/>
      <c r="E55" s="108"/>
      <c r="F55" s="108"/>
      <c r="G55" s="36"/>
      <c r="H55" s="36"/>
      <c r="I55" s="36"/>
      <c r="J55" s="36"/>
      <c r="K55" s="36"/>
      <c r="L55" s="36"/>
      <c r="M55" s="140"/>
      <c r="N55" s="141"/>
      <c r="O55" s="141"/>
      <c r="P55" s="141"/>
      <c r="Q55" s="141"/>
      <c r="R55" s="141"/>
      <c r="S55" s="141"/>
      <c r="T55" s="141"/>
      <c r="U55" s="141"/>
      <c r="V55" s="141"/>
      <c r="W55" s="141"/>
      <c r="X55" s="141"/>
      <c r="Y55" s="141"/>
      <c r="AA55" s="137"/>
      <c r="AB55" s="77"/>
      <c r="AC55" s="130"/>
      <c r="AD55" s="310"/>
      <c r="AE55" s="129"/>
      <c r="AF55" s="125"/>
      <c r="AH55" s="81"/>
      <c r="AI55" s="81"/>
      <c r="AJ55" s="81"/>
      <c r="AK55" s="81"/>
      <c r="AL55" s="81"/>
      <c r="AM55" s="81"/>
    </row>
    <row r="56" spans="2:39" ht="14" customHeight="1" thickBot="1">
      <c r="D56" s="108"/>
      <c r="E56" s="108"/>
      <c r="F56" s="108"/>
      <c r="G56" s="36"/>
      <c r="H56" s="36"/>
      <c r="I56" s="36"/>
      <c r="J56" s="36"/>
      <c r="K56" s="36"/>
      <c r="L56" s="36"/>
      <c r="AA56" s="30" t="s">
        <v>109</v>
      </c>
      <c r="AB56" s="30"/>
      <c r="AC56" s="34"/>
      <c r="AD56" s="33"/>
      <c r="AE56" s="32"/>
      <c r="AF56" s="32"/>
      <c r="AH56" s="81"/>
      <c r="AI56" s="81"/>
      <c r="AJ56" s="81"/>
      <c r="AK56" s="81"/>
      <c r="AL56" s="81"/>
      <c r="AM56" s="81"/>
    </row>
    <row r="57" spans="2:39" ht="14" customHeight="1">
      <c r="I57" s="32"/>
      <c r="J57" s="32"/>
      <c r="K57" s="80"/>
      <c r="AA57" s="95" t="s">
        <v>112</v>
      </c>
      <c r="AB57" s="100"/>
      <c r="AC57" s="96"/>
      <c r="AD57" s="143"/>
      <c r="AE57" s="143">
        <f>_xlfn.AGGREGATE(1,6,AE45:AE54)</f>
        <v>0.48807601490218866</v>
      </c>
      <c r="AF57" s="144">
        <f>_xlfn.AGGREGATE(1,6,AF45:AF54)</f>
        <v>1.595775764372025</v>
      </c>
    </row>
    <row r="58" spans="2:39" ht="14" customHeight="1">
      <c r="I58" s="32"/>
      <c r="J58" s="32"/>
      <c r="K58" s="31"/>
      <c r="AA58" s="104" t="s">
        <v>75</v>
      </c>
      <c r="AB58" s="178"/>
      <c r="AC58" s="105"/>
      <c r="AD58" s="145"/>
      <c r="AE58" s="145">
        <f>_xlfn.AGGREGATE(12,6,AE45:AE54)</f>
        <v>0.27779065887254351</v>
      </c>
      <c r="AF58" s="146">
        <f>_xlfn.AGGREGATE(12,6,AF45:AF54)</f>
        <v>1.5297983884811401</v>
      </c>
    </row>
    <row r="59" spans="2:39" ht="14" customHeight="1" thickBot="1">
      <c r="I59" s="32"/>
      <c r="J59" s="32"/>
      <c r="K59" s="31"/>
      <c r="AA59" s="92" t="s">
        <v>76</v>
      </c>
      <c r="AB59" s="93"/>
      <c r="AC59" s="67"/>
      <c r="AD59" s="124"/>
      <c r="AE59" s="124">
        <f>_xlfn.AGGREGATE(7,3,AE45:AE54)</f>
        <v>0.67156308919927488</v>
      </c>
      <c r="AF59" s="125">
        <f>_xlfn.AGGREGATE(7,6,AF45:AF54)</f>
        <v>0.33345630466180382</v>
      </c>
    </row>
    <row r="60" spans="2:39" ht="14" customHeight="1" thickBot="1">
      <c r="I60" s="32"/>
      <c r="J60" s="32"/>
      <c r="K60" s="31"/>
      <c r="L60" s="31"/>
      <c r="AB60" s="34"/>
      <c r="AC60" s="33"/>
      <c r="AD60" s="32"/>
      <c r="AE60" s="32"/>
      <c r="AF60" s="31"/>
    </row>
    <row r="61" spans="2:39" ht="14" customHeight="1" thickBot="1">
      <c r="I61" s="32"/>
      <c r="J61" s="32"/>
      <c r="K61" s="31"/>
      <c r="L61" s="31"/>
      <c r="Z61" s="126"/>
      <c r="AA61" s="126"/>
      <c r="AB61" s="126"/>
      <c r="AC61" s="126"/>
      <c r="AD61" s="131"/>
      <c r="AE61" s="72" t="s">
        <v>108</v>
      </c>
      <c r="AF61" s="147">
        <f>AF57*(1+(1-$AD$44)*AE57)</f>
        <v>2.1877092699436909</v>
      </c>
      <c r="AH61" s="31"/>
    </row>
    <row r="62" spans="2:39" ht="14" customHeight="1">
      <c r="B62" s="31"/>
      <c r="C62" s="31"/>
      <c r="D62" s="31"/>
      <c r="E62" s="31"/>
      <c r="K62" s="31"/>
      <c r="L62" s="31"/>
    </row>
    <row r="63" spans="2:39" ht="14" customHeight="1">
      <c r="B63" s="31"/>
      <c r="C63" s="31"/>
      <c r="D63" s="31"/>
      <c r="E63" s="31"/>
      <c r="K63" s="31"/>
      <c r="L63" s="31"/>
    </row>
    <row r="64" spans="2:39" ht="14" customHeight="1">
      <c r="B64" s="31"/>
      <c r="C64" s="31"/>
      <c r="D64" s="31"/>
      <c r="E64" s="31"/>
      <c r="K64" s="32"/>
      <c r="L64" s="32"/>
      <c r="M64" s="32"/>
      <c r="N64" s="31"/>
      <c r="O64" s="31"/>
      <c r="P64" s="31"/>
      <c r="Q64" s="31"/>
      <c r="R64" s="31"/>
      <c r="S64" s="31"/>
      <c r="T64" s="31"/>
      <c r="U64" s="31"/>
      <c r="V64" s="31"/>
      <c r="W64" s="31"/>
      <c r="X64" s="31"/>
      <c r="Y64" s="31"/>
      <c r="Z64" s="31"/>
      <c r="AA64" s="31"/>
      <c r="AB64" s="31"/>
      <c r="AC64" s="31"/>
      <c r="AD64" s="31"/>
      <c r="AE64" s="31"/>
      <c r="AF64" s="31"/>
    </row>
    <row r="65" spans="2:33" ht="14" customHeight="1">
      <c r="B65" s="32"/>
      <c r="C65" s="31"/>
      <c r="D65" s="31"/>
      <c r="E65" s="31"/>
      <c r="F65" s="31"/>
      <c r="G65" s="31"/>
      <c r="H65" s="31"/>
      <c r="I65" s="31"/>
      <c r="J65" s="31"/>
      <c r="K65" s="32"/>
      <c r="L65" s="32"/>
      <c r="M65" s="32"/>
      <c r="N65" s="31"/>
      <c r="O65" s="31"/>
      <c r="P65" s="31"/>
      <c r="Q65" s="31"/>
      <c r="R65" s="31"/>
      <c r="S65" s="31"/>
      <c r="T65" s="31"/>
      <c r="U65" s="31"/>
      <c r="V65" s="31"/>
      <c r="W65" s="31"/>
      <c r="X65" s="31"/>
      <c r="Y65" s="31"/>
      <c r="Z65" s="31"/>
      <c r="AA65" s="28"/>
      <c r="AB65" s="31"/>
      <c r="AC65" s="31"/>
      <c r="AD65" s="31"/>
      <c r="AE65" s="31"/>
      <c r="AF65" s="31"/>
    </row>
    <row r="66" spans="2:33" ht="14" customHeight="1">
      <c r="B66" s="32"/>
      <c r="C66" s="31"/>
      <c r="D66" s="31"/>
      <c r="E66" s="31"/>
      <c r="F66" s="31"/>
      <c r="G66" s="31"/>
      <c r="H66" s="31"/>
      <c r="I66" s="31"/>
      <c r="J66" s="31"/>
      <c r="K66" s="28"/>
      <c r="L66" s="28"/>
      <c r="M66" s="28"/>
      <c r="N66" s="28"/>
      <c r="O66" s="28"/>
      <c r="P66" s="28"/>
      <c r="Q66" s="28"/>
      <c r="R66" s="28"/>
      <c r="S66" s="28"/>
      <c r="T66" s="28"/>
      <c r="U66" s="28"/>
      <c r="V66" s="28"/>
      <c r="W66" s="28"/>
      <c r="X66" s="28"/>
      <c r="Y66" s="28"/>
      <c r="Z66" s="28"/>
      <c r="AB66" s="28"/>
      <c r="AC66" s="28"/>
      <c r="AD66" s="28"/>
      <c r="AE66" s="28"/>
      <c r="AF66" s="28"/>
    </row>
    <row r="67" spans="2:33" ht="14" customHeight="1">
      <c r="B67" s="32"/>
      <c r="C67" s="31"/>
      <c r="D67" s="31"/>
      <c r="E67" s="31"/>
      <c r="F67" s="31"/>
      <c r="G67" s="31"/>
      <c r="H67" s="31"/>
      <c r="I67" s="31"/>
      <c r="J67" s="31"/>
    </row>
    <row r="68" spans="2:33" ht="14" customHeight="1">
      <c r="B68" s="32"/>
      <c r="C68" s="31"/>
      <c r="D68" s="31"/>
      <c r="E68" s="31"/>
      <c r="F68" s="31"/>
      <c r="G68" s="31"/>
      <c r="H68" s="31"/>
      <c r="I68" s="31"/>
      <c r="J68" s="31"/>
    </row>
    <row r="69" spans="2:33" ht="14" customHeight="1">
      <c r="B69" s="32"/>
      <c r="C69" s="31"/>
      <c r="D69" s="31"/>
      <c r="E69" s="31"/>
      <c r="F69" s="31"/>
      <c r="G69" s="31"/>
      <c r="H69" s="31"/>
      <c r="I69" s="31"/>
      <c r="J69" s="31"/>
    </row>
    <row r="70" spans="2:33" ht="14" customHeight="1">
      <c r="B70" s="32"/>
      <c r="C70" s="31"/>
      <c r="D70" s="31"/>
      <c r="E70" s="31"/>
      <c r="F70" s="31"/>
      <c r="G70" s="31"/>
      <c r="H70" s="31"/>
      <c r="I70" s="31"/>
      <c r="J70" s="31"/>
    </row>
    <row r="71" spans="2:33" ht="14" customHeight="1">
      <c r="E71" s="34"/>
      <c r="F71" s="33"/>
      <c r="G71" s="32"/>
      <c r="H71" s="32"/>
      <c r="I71" s="32"/>
      <c r="J71" s="32"/>
      <c r="AG71" s="31"/>
    </row>
    <row r="72" spans="2:33" ht="14" customHeight="1">
      <c r="E72" s="34"/>
      <c r="F72" s="33"/>
      <c r="G72" s="32"/>
      <c r="H72" s="32"/>
      <c r="I72" s="32"/>
      <c r="J72" s="32"/>
      <c r="AG72" s="31"/>
    </row>
    <row r="73" spans="2:33" ht="14">
      <c r="E73" s="28"/>
      <c r="F73" s="28"/>
      <c r="G73" s="28"/>
      <c r="H73" s="28"/>
      <c r="I73" s="28"/>
      <c r="J73" s="28"/>
      <c r="AG73" s="28"/>
    </row>
    <row r="74" spans="2:33" ht="15.75" customHeight="1"/>
    <row r="75" spans="2:33" ht="15.75" customHeight="1"/>
    <row r="76" spans="2:33" ht="15.75" customHeight="1"/>
    <row r="77" spans="2:33" ht="15.75" customHeight="1"/>
    <row r="78" spans="2:33" ht="15.75" customHeight="1"/>
    <row r="79" spans="2:33" ht="15.75" customHeight="1"/>
    <row r="80" spans="2:33"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sheetData>
  <mergeCells count="21">
    <mergeCell ref="AA40:AF40"/>
    <mergeCell ref="T19:U19"/>
    <mergeCell ref="V19:W19"/>
    <mergeCell ref="X19:Y19"/>
    <mergeCell ref="T18:Y18"/>
    <mergeCell ref="AA19:AB19"/>
    <mergeCell ref="AC19:AD19"/>
    <mergeCell ref="AE19:AF19"/>
    <mergeCell ref="AA18:AF18"/>
    <mergeCell ref="Q19:R19"/>
    <mergeCell ref="B5:C5"/>
    <mergeCell ref="J19:L19"/>
    <mergeCell ref="M19:N19"/>
    <mergeCell ref="J18:R18"/>
    <mergeCell ref="D18:H18"/>
    <mergeCell ref="O19:P19"/>
    <mergeCell ref="R41:T41"/>
    <mergeCell ref="V41:X41"/>
    <mergeCell ref="D41:F41"/>
    <mergeCell ref="H41:J41"/>
    <mergeCell ref="L41:N41"/>
  </mergeCells>
  <phoneticPr fontId="29" type="noConversion"/>
  <conditionalFormatting sqref="T22:T34">
    <cfRule type="colorScale" priority="26">
      <colorScale>
        <cfvo type="min"/>
        <cfvo type="percentile" val="50"/>
        <cfvo type="max"/>
        <color rgb="FFF8696B"/>
        <color rgb="FFFFEB84"/>
        <color rgb="FF63BE7B"/>
      </colorScale>
    </cfRule>
  </conditionalFormatting>
  <conditionalFormatting sqref="U22:U34">
    <cfRule type="colorScale" priority="28">
      <colorScale>
        <cfvo type="min"/>
        <cfvo type="percentile" val="50"/>
        <cfvo type="max"/>
        <color rgb="FFF8696B"/>
        <color rgb="FFFFEB84"/>
        <color rgb="FF63BE7B"/>
      </colorScale>
    </cfRule>
  </conditionalFormatting>
  <conditionalFormatting sqref="V22:V34">
    <cfRule type="colorScale" priority="30">
      <colorScale>
        <cfvo type="min"/>
        <cfvo type="percentile" val="50"/>
        <cfvo type="max"/>
        <color rgb="FFF8696B"/>
        <color rgb="FFFFEB84"/>
        <color rgb="FF63BE7B"/>
      </colorScale>
    </cfRule>
  </conditionalFormatting>
  <conditionalFormatting sqref="V43:X46">
    <cfRule type="expression" dxfId="1" priority="1">
      <formula>V43&lt;$E$22</formula>
    </cfRule>
    <cfRule type="expression" dxfId="0" priority="3">
      <formula>V43&gt;$E$22</formula>
    </cfRule>
  </conditionalFormatting>
  <conditionalFormatting sqref="W22:W34">
    <cfRule type="colorScale" priority="32">
      <colorScale>
        <cfvo type="min"/>
        <cfvo type="percentile" val="50"/>
        <cfvo type="max"/>
        <color rgb="FFF8696B"/>
        <color rgb="FFFFEB84"/>
        <color rgb="FF63BE7B"/>
      </colorScale>
    </cfRule>
  </conditionalFormatting>
  <conditionalFormatting sqref="X22:X34">
    <cfRule type="colorScale" priority="34">
      <colorScale>
        <cfvo type="min"/>
        <cfvo type="percentile" val="50"/>
        <cfvo type="max"/>
        <color rgb="FFF8696B"/>
        <color rgb="FFFFEB84"/>
        <color rgb="FF63BE7B"/>
      </colorScale>
    </cfRule>
  </conditionalFormatting>
  <conditionalFormatting sqref="Y22:Y34">
    <cfRule type="colorScale" priority="36">
      <colorScale>
        <cfvo type="min"/>
        <cfvo type="percentile" val="50"/>
        <cfvo type="max"/>
        <color rgb="FFF8696B"/>
        <color rgb="FFFFEB84"/>
        <color rgb="FF63BE7B"/>
      </colorScale>
    </cfRule>
  </conditionalFormatting>
  <conditionalFormatting sqref="AA22:AA34">
    <cfRule type="colorScale" priority="38">
      <colorScale>
        <cfvo type="min"/>
        <cfvo type="percentile" val="50"/>
        <cfvo type="max"/>
        <color rgb="FF63BE7B"/>
        <color rgb="FFFFEB84"/>
        <color rgb="FFF8696B"/>
      </colorScale>
    </cfRule>
  </conditionalFormatting>
  <conditionalFormatting sqref="AB22:AB34">
    <cfRule type="colorScale" priority="40">
      <colorScale>
        <cfvo type="min"/>
        <cfvo type="percentile" val="50"/>
        <cfvo type="max"/>
        <color rgb="FF63BE7B"/>
        <color rgb="FFFFEB84"/>
        <color rgb="FFF8696B"/>
      </colorScale>
    </cfRule>
  </conditionalFormatting>
  <conditionalFormatting sqref="AC22:AC34">
    <cfRule type="colorScale" priority="42">
      <colorScale>
        <cfvo type="min"/>
        <cfvo type="percentile" val="50"/>
        <cfvo type="max"/>
        <color rgb="FF63BE7B"/>
        <color rgb="FFFFEB84"/>
        <color rgb="FFF8696B"/>
      </colorScale>
    </cfRule>
  </conditionalFormatting>
  <conditionalFormatting sqref="AD22:AD34">
    <cfRule type="colorScale" priority="44">
      <colorScale>
        <cfvo type="min"/>
        <cfvo type="percentile" val="50"/>
        <cfvo type="max"/>
        <color rgb="FF63BE7B"/>
        <color rgb="FFFFEB84"/>
        <color rgb="FFF8696B"/>
      </colorScale>
    </cfRule>
  </conditionalFormatting>
  <conditionalFormatting sqref="AE22:AE34">
    <cfRule type="colorScale" priority="46">
      <colorScale>
        <cfvo type="min"/>
        <cfvo type="percentile" val="50"/>
        <cfvo type="max"/>
        <color rgb="FF63BE7B"/>
        <color rgb="FFFFEB84"/>
        <color rgb="FFF8696B"/>
      </colorScale>
    </cfRule>
  </conditionalFormatting>
  <conditionalFormatting sqref="AF22:AF34">
    <cfRule type="colorScale" priority="48">
      <colorScale>
        <cfvo type="min"/>
        <cfvo type="percentile" val="50"/>
        <cfvo type="max"/>
        <color rgb="FF63BE7B"/>
        <color rgb="FFFFEB84"/>
        <color rgb="FFF8696B"/>
      </colorScale>
    </cfRule>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D1B7-4704-4358-B1F6-6E37B2489D70}">
  <sheetPr>
    <tabColor rgb="FF202846"/>
  </sheetPr>
  <dimension ref="A2:H22"/>
  <sheetViews>
    <sheetView showGridLines="0" zoomScale="141" zoomScaleNormal="100" workbookViewId="0">
      <selection activeCell="L24" sqref="L24"/>
    </sheetView>
  </sheetViews>
  <sheetFormatPr baseColWidth="10" defaultColWidth="8.83203125" defaultRowHeight="15"/>
  <cols>
    <col min="1" max="1" width="3.6640625" customWidth="1"/>
    <col min="6" max="6" width="12.6640625" customWidth="1"/>
  </cols>
  <sheetData>
    <row r="2" spans="1:8" s="2" customFormat="1" ht="21">
      <c r="B2" s="1" t="s">
        <v>68</v>
      </c>
    </row>
    <row r="4" spans="1:8">
      <c r="B4" t="s">
        <v>5</v>
      </c>
    </row>
    <row r="5" spans="1:8">
      <c r="B5" t="s">
        <v>6</v>
      </c>
    </row>
    <row r="6" spans="1:8" ht="16" thickBot="1"/>
    <row r="7" spans="1:8">
      <c r="A7" t="s">
        <v>0</v>
      </c>
      <c r="B7" s="468" t="s">
        <v>4</v>
      </c>
      <c r="C7" s="469"/>
      <c r="D7" s="469"/>
      <c r="E7" s="469"/>
      <c r="F7" s="470"/>
    </row>
    <row r="8" spans="1:8">
      <c r="B8" s="47" t="s">
        <v>7</v>
      </c>
      <c r="F8" s="61">
        <f>'Public Comps Analysis'!G22</f>
        <v>10185.790000000001</v>
      </c>
    </row>
    <row r="9" spans="1:8">
      <c r="B9" s="47" t="s">
        <v>8</v>
      </c>
      <c r="F9" s="471">
        <f>F8/$F$20</f>
        <v>0.90816518497582432</v>
      </c>
    </row>
    <row r="10" spans="1:8">
      <c r="B10" s="47" t="s">
        <v>9</v>
      </c>
      <c r="F10" s="472">
        <f>F11+F12*F13</f>
        <v>0.11433759999999998</v>
      </c>
    </row>
    <row r="11" spans="1:8">
      <c r="B11" s="47" t="s">
        <v>10</v>
      </c>
      <c r="F11" s="472">
        <v>4.4080000000000001E-2</v>
      </c>
      <c r="G11" s="16" t="s">
        <v>81</v>
      </c>
    </row>
    <row r="12" spans="1:8">
      <c r="B12" s="47" t="s">
        <v>11</v>
      </c>
      <c r="F12" s="456">
        <v>1.53</v>
      </c>
      <c r="G12" t="s">
        <v>224</v>
      </c>
    </row>
    <row r="13" spans="1:8">
      <c r="B13" s="47" t="s">
        <v>12</v>
      </c>
      <c r="F13" s="472">
        <f>9%-F11</f>
        <v>4.5919999999999996E-2</v>
      </c>
      <c r="H13" s="6"/>
    </row>
    <row r="14" spans="1:8">
      <c r="B14" s="47"/>
      <c r="F14" s="49"/>
    </row>
    <row r="15" spans="1:8">
      <c r="B15" s="47" t="s">
        <v>13</v>
      </c>
      <c r="F15" s="473">
        <v>1030</v>
      </c>
      <c r="G15" s="16" t="s">
        <v>82</v>
      </c>
    </row>
    <row r="16" spans="1:8">
      <c r="B16" s="47" t="s">
        <v>14</v>
      </c>
      <c r="F16" s="471">
        <f>F15/$F$20</f>
        <v>9.1834815024175731E-2</v>
      </c>
    </row>
    <row r="17" spans="1:7">
      <c r="B17" s="47" t="s">
        <v>15</v>
      </c>
      <c r="F17" s="472">
        <v>5.3699999999999998E-2</v>
      </c>
      <c r="G17" s="16" t="s">
        <v>83</v>
      </c>
    </row>
    <row r="18" spans="1:7">
      <c r="B18" s="47" t="s">
        <v>16</v>
      </c>
      <c r="F18" s="471">
        <v>0.21</v>
      </c>
      <c r="G18" s="16" t="s">
        <v>80</v>
      </c>
    </row>
    <row r="19" spans="1:7">
      <c r="B19" s="47"/>
      <c r="F19" s="49"/>
    </row>
    <row r="20" spans="1:7">
      <c r="B20" s="47" t="s">
        <v>3</v>
      </c>
      <c r="F20" s="61">
        <f>F8+F15</f>
        <v>11215.79</v>
      </c>
    </row>
    <row r="21" spans="1:7">
      <c r="B21" s="47"/>
      <c r="F21" s="49"/>
    </row>
    <row r="22" spans="1:7" ht="16" thickBot="1">
      <c r="A22" t="s">
        <v>0</v>
      </c>
      <c r="B22" s="474" t="s">
        <v>4</v>
      </c>
      <c r="C22" s="475"/>
      <c r="D22" s="475"/>
      <c r="E22" s="475"/>
      <c r="F22" s="476">
        <f>F9*F10+(F16*F17*(1-F18))</f>
        <v>0.1077333360114624</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A37B8-5CAA-496D-A4B1-E2DEEBC9C37D}">
  <sheetPr>
    <tabColor rgb="FF202846"/>
  </sheetPr>
  <dimension ref="A2:T62"/>
  <sheetViews>
    <sheetView showGridLines="0" zoomScaleNormal="100" workbookViewId="0">
      <selection activeCell="J31" sqref="J31"/>
    </sheetView>
  </sheetViews>
  <sheetFormatPr baseColWidth="10" defaultColWidth="8.83203125" defaultRowHeight="15"/>
  <cols>
    <col min="1" max="1" width="3.6640625" customWidth="1"/>
    <col min="2" max="19" width="10" customWidth="1"/>
  </cols>
  <sheetData>
    <row r="2" spans="1:20" s="2" customFormat="1" ht="21">
      <c r="B2" s="1" t="s">
        <v>50</v>
      </c>
    </row>
    <row r="4" spans="1:20">
      <c r="B4" t="s">
        <v>17</v>
      </c>
      <c r="D4" s="7" t="str">
        <f>'Cover Pg.'!C29</f>
        <v>TTMI-USA</v>
      </c>
      <c r="G4" t="s">
        <v>18</v>
      </c>
      <c r="J4" s="8">
        <f>S51</f>
        <v>126.61019667675374</v>
      </c>
    </row>
    <row r="5" spans="1:20">
      <c r="B5" t="s">
        <v>19</v>
      </c>
      <c r="D5" s="9">
        <v>46110</v>
      </c>
      <c r="G5" t="s">
        <v>20</v>
      </c>
      <c r="J5" s="8">
        <f>'Public Comps Analysis'!$E$22</f>
        <v>95.47</v>
      </c>
      <c r="L5" s="181" t="s">
        <v>4</v>
      </c>
      <c r="M5" s="279">
        <f>CHOOSE(D11,I12,N12,S12)</f>
        <v>0.1077333360114624</v>
      </c>
    </row>
    <row r="6" spans="1:20">
      <c r="B6" t="s">
        <v>55</v>
      </c>
      <c r="D6" s="9">
        <v>47936</v>
      </c>
      <c r="G6" t="s">
        <v>21</v>
      </c>
      <c r="J6" s="10">
        <f>J4/J5-1</f>
        <v>0.32617782210907875</v>
      </c>
      <c r="L6" s="181" t="s">
        <v>28</v>
      </c>
      <c r="M6" s="279">
        <f>CHOOSE(D12,I13,N13,S13)</f>
        <v>2.5000000000000001E-2</v>
      </c>
    </row>
    <row r="8" spans="1:20">
      <c r="A8" s="3" t="s">
        <v>0</v>
      </c>
      <c r="B8" s="4" t="s">
        <v>124</v>
      </c>
      <c r="C8" s="4"/>
      <c r="D8" s="4"/>
      <c r="E8" s="4"/>
      <c r="F8" s="4"/>
      <c r="G8" s="4"/>
      <c r="H8" s="4"/>
      <c r="I8" s="4"/>
      <c r="J8" s="4"/>
      <c r="K8" s="4"/>
      <c r="L8" s="4"/>
      <c r="M8" s="4"/>
      <c r="N8" s="4"/>
      <c r="O8" s="4"/>
      <c r="P8" s="4"/>
      <c r="Q8" s="4"/>
      <c r="R8" s="4"/>
      <c r="S8" s="4"/>
      <c r="T8" s="185"/>
    </row>
    <row r="9" spans="1:20" ht="5" customHeight="1" thickBot="1"/>
    <row r="10" spans="1:20">
      <c r="B10" s="481" t="s">
        <v>223</v>
      </c>
      <c r="C10" s="482"/>
      <c r="D10" s="483"/>
      <c r="F10" s="189" t="s">
        <v>47</v>
      </c>
      <c r="G10" s="190"/>
      <c r="H10" s="190"/>
      <c r="I10" s="191"/>
      <c r="K10" s="189" t="s">
        <v>48</v>
      </c>
      <c r="L10" s="190"/>
      <c r="M10" s="190"/>
      <c r="N10" s="191"/>
      <c r="P10" s="189" t="s">
        <v>49</v>
      </c>
      <c r="Q10" s="190"/>
      <c r="R10" s="190"/>
      <c r="S10" s="191"/>
    </row>
    <row r="11" spans="1:20">
      <c r="B11" s="53" t="s">
        <v>4</v>
      </c>
      <c r="D11" s="280">
        <v>2</v>
      </c>
      <c r="F11" s="184" t="s">
        <v>22</v>
      </c>
      <c r="G11" s="192"/>
      <c r="H11" s="193" t="s">
        <v>25</v>
      </c>
      <c r="I11" s="194" t="s">
        <v>26</v>
      </c>
      <c r="K11" s="184" t="s">
        <v>22</v>
      </c>
      <c r="L11" s="192"/>
      <c r="M11" s="193" t="s">
        <v>25</v>
      </c>
      <c r="N11" s="194" t="s">
        <v>26</v>
      </c>
      <c r="P11" s="184" t="s">
        <v>22</v>
      </c>
      <c r="Q11" s="192"/>
      <c r="R11" s="193" t="s">
        <v>25</v>
      </c>
      <c r="S11" s="194" t="s">
        <v>26</v>
      </c>
    </row>
    <row r="12" spans="1:20" ht="16" thickBot="1">
      <c r="B12" s="281" t="s">
        <v>28</v>
      </c>
      <c r="C12" s="63"/>
      <c r="D12" s="282">
        <v>2</v>
      </c>
      <c r="E12" s="3"/>
      <c r="F12" s="47" t="s">
        <v>4</v>
      </c>
      <c r="I12" s="195">
        <f>N12+0.75%</f>
        <v>0.11523333601146241</v>
      </c>
      <c r="J12" s="3"/>
      <c r="K12" s="47" t="s">
        <v>4</v>
      </c>
      <c r="N12" s="197">
        <f>WACC!F22</f>
        <v>0.1077333360114624</v>
      </c>
      <c r="O12" s="3"/>
      <c r="P12" s="47" t="s">
        <v>4</v>
      </c>
      <c r="S12" s="195">
        <f>N12-0.75%</f>
        <v>0.10023333601146239</v>
      </c>
    </row>
    <row r="13" spans="1:20" ht="16" thickBot="1">
      <c r="D13" s="3"/>
      <c r="E13" s="3"/>
      <c r="F13" s="62" t="s">
        <v>28</v>
      </c>
      <c r="G13" s="63"/>
      <c r="H13" s="63"/>
      <c r="I13" s="196">
        <v>2.2499999999999999E-2</v>
      </c>
      <c r="J13" s="3"/>
      <c r="K13" s="62" t="s">
        <v>28</v>
      </c>
      <c r="L13" s="63"/>
      <c r="M13" s="63"/>
      <c r="N13" s="196">
        <v>2.5000000000000001E-2</v>
      </c>
      <c r="O13" s="3"/>
      <c r="P13" s="62" t="s">
        <v>28</v>
      </c>
      <c r="Q13" s="63"/>
      <c r="R13" s="63"/>
      <c r="S13" s="196">
        <v>2.75E-2</v>
      </c>
    </row>
    <row r="14" spans="1:20">
      <c r="D14" s="3"/>
      <c r="E14" s="3"/>
    </row>
    <row r="15" spans="1:20" ht="16" thickBot="1"/>
    <row r="16" spans="1:20">
      <c r="A16" s="3" t="s">
        <v>0</v>
      </c>
      <c r="B16" s="45" t="s">
        <v>50</v>
      </c>
      <c r="C16" s="46"/>
      <c r="D16" s="46"/>
      <c r="E16" s="283">
        <f t="shared" ref="E16:N16" si="0">F16-1</f>
        <v>2016</v>
      </c>
      <c r="F16" s="283">
        <f t="shared" si="0"/>
        <v>2017</v>
      </c>
      <c r="G16" s="283">
        <f t="shared" si="0"/>
        <v>2018</v>
      </c>
      <c r="H16" s="283">
        <f t="shared" si="0"/>
        <v>2019</v>
      </c>
      <c r="I16" s="283">
        <f t="shared" si="0"/>
        <v>2020</v>
      </c>
      <c r="J16" s="283">
        <f t="shared" si="0"/>
        <v>2021</v>
      </c>
      <c r="K16" s="283">
        <f t="shared" si="0"/>
        <v>2022</v>
      </c>
      <c r="L16" s="283">
        <f t="shared" si="0"/>
        <v>2023</v>
      </c>
      <c r="M16" s="283">
        <f t="shared" si="0"/>
        <v>2024</v>
      </c>
      <c r="N16" s="201">
        <f t="shared" si="0"/>
        <v>2025</v>
      </c>
      <c r="O16" s="202">
        <f>YEAR(D5)</f>
        <v>2026</v>
      </c>
      <c r="P16" s="284">
        <f>O16+1</f>
        <v>2027</v>
      </c>
      <c r="Q16" s="284">
        <f t="shared" ref="Q16:S16" si="1">P16+1</f>
        <v>2028</v>
      </c>
      <c r="R16" s="284">
        <f t="shared" si="1"/>
        <v>2029</v>
      </c>
      <c r="S16" s="285">
        <f t="shared" si="1"/>
        <v>2030</v>
      </c>
      <c r="T16" s="13"/>
    </row>
    <row r="17" spans="2:19">
      <c r="B17" s="47" t="s">
        <v>27</v>
      </c>
      <c r="E17" s="286">
        <f>'Operating Model'!C6</f>
        <v>2533.35009765625</v>
      </c>
      <c r="F17" s="286">
        <f>'Operating Model'!D6</f>
        <v>2658.590087890625</v>
      </c>
      <c r="G17" s="286">
        <f>'Operating Model'!E6</f>
        <v>2847.260009765625</v>
      </c>
      <c r="H17" s="286">
        <f>'Operating Model'!F6</f>
        <v>2689.30810546875</v>
      </c>
      <c r="I17" s="286">
        <f>'Operating Model'!G6</f>
        <v>2105.322021484375</v>
      </c>
      <c r="J17" s="286">
        <f>'Operating Model'!H6</f>
        <v>2248.739990234375</v>
      </c>
      <c r="K17" s="286">
        <f>'Operating Model'!I6</f>
        <v>2495.0458984375</v>
      </c>
      <c r="L17" s="286">
        <f>'Operating Model'!J6</f>
        <v>2232.56689453125</v>
      </c>
      <c r="M17" s="286">
        <f>'Operating Model'!K6</f>
        <v>2442.7529296875</v>
      </c>
      <c r="N17" s="286">
        <f>'Operating Model'!L6</f>
        <v>2906.3449999999998</v>
      </c>
      <c r="O17" s="286">
        <f>'Operating Model'!M6</f>
        <v>3487.6139999999996</v>
      </c>
      <c r="P17" s="286">
        <f>'Operating Model'!N6</f>
        <v>4080.5083799999993</v>
      </c>
      <c r="Q17" s="286">
        <f>'Operating Model'!O6</f>
        <v>4651.7795532</v>
      </c>
      <c r="R17" s="286">
        <f>'Operating Model'!P6</f>
        <v>5116.9575085200004</v>
      </c>
      <c r="S17" s="311">
        <f>'Operating Model'!Q6</f>
        <v>5475.1445341164008</v>
      </c>
    </row>
    <row r="18" spans="2:19" ht="14.5" customHeight="1">
      <c r="B18" s="48" t="s">
        <v>62</v>
      </c>
      <c r="E18" s="313">
        <f>'Operating Model'!C7</f>
        <v>0</v>
      </c>
      <c r="F18" s="23">
        <f>'Operating Model'!D7</f>
        <v>4.7107672147285687E-2</v>
      </c>
      <c r="G18" s="23">
        <f>'Operating Model'!E7</f>
        <v>6.6263678493672429E-2</v>
      </c>
      <c r="H18" s="23">
        <f>'Operating Model'!F7</f>
        <v>-5.8733286816663864E-2</v>
      </c>
      <c r="I18" s="23">
        <f>'Operating Model'!G7</f>
        <v>-0.27738563413336204</v>
      </c>
      <c r="J18" s="23">
        <f>'Operating Model'!H7</f>
        <v>6.377703486077653E-2</v>
      </c>
      <c r="K18" s="23">
        <f>'Operating Model'!I7</f>
        <v>9.8717986854418932E-2</v>
      </c>
      <c r="L18" s="23">
        <f>'Operating Model'!J7</f>
        <v>-0.11756825945471171</v>
      </c>
      <c r="M18" s="23">
        <f>'Operating Model'!K7</f>
        <v>8.6044737722672168E-2</v>
      </c>
      <c r="N18" s="23">
        <f>'Operating Model'!L7</f>
        <v>0.1595103369739311</v>
      </c>
      <c r="O18" s="23">
        <f>'Operating Model'!M7</f>
        <v>0.16666666666666663</v>
      </c>
      <c r="P18" s="23">
        <f>'Operating Model'!N7</f>
        <v>0.14529914529914525</v>
      </c>
      <c r="Q18" s="23">
        <f>'Operating Model'!O7</f>
        <v>0.12280701754385979</v>
      </c>
      <c r="R18" s="23">
        <f>'Operating Model'!P7</f>
        <v>9.0909090909090967E-2</v>
      </c>
      <c r="S18" s="319">
        <f>'Operating Model'!Q7</f>
        <v>6.5420560747663614E-2</v>
      </c>
    </row>
    <row r="19" spans="2:19">
      <c r="B19" s="48"/>
      <c r="S19" s="49"/>
    </row>
    <row r="20" spans="2:19">
      <c r="B20" s="47" t="s">
        <v>1</v>
      </c>
      <c r="E20" s="286">
        <f>'Operating Model'!C24</f>
        <v>187.65009765624998</v>
      </c>
      <c r="F20" s="286">
        <f>'Operating Model'!D24</f>
        <v>216.39008789062518</v>
      </c>
      <c r="G20" s="286">
        <f>'Operating Model'!E24</f>
        <v>177.96000976562516</v>
      </c>
      <c r="H20" s="286">
        <f>'Operating Model'!F24</f>
        <v>671.10810546875007</v>
      </c>
      <c r="I20" s="286">
        <f>'Operating Model'!G24</f>
        <v>120.82202148437497</v>
      </c>
      <c r="J20" s="286">
        <f>'Operating Model'!H24</f>
        <v>137.03999023437507</v>
      </c>
      <c r="K20" s="286">
        <f>'Operating Model'!I24</f>
        <v>174.24589843750007</v>
      </c>
      <c r="L20" s="286">
        <f>'Operating Model'!J24</f>
        <v>111.46689453124998</v>
      </c>
      <c r="M20" s="286">
        <f>'Operating Model'!K24</f>
        <v>159.85292968750002</v>
      </c>
      <c r="N20" s="286">
        <f>'Operating Model'!L24</f>
        <v>267.54499999999973</v>
      </c>
      <c r="O20" s="286">
        <f>'Operating Model'!M24</f>
        <v>372.99628804805184</v>
      </c>
      <c r="P20" s="286">
        <f>'Operating Model'!N24</f>
        <v>563.11015644000008</v>
      </c>
      <c r="Q20" s="286">
        <f>'Operating Model'!O24</f>
        <v>688.4633738736004</v>
      </c>
      <c r="R20" s="286">
        <f>'Operating Model'!P24</f>
        <v>803.36232883764012</v>
      </c>
      <c r="S20" s="311">
        <f>'Operating Model'!Q24</f>
        <v>930.77457079978831</v>
      </c>
    </row>
    <row r="21" spans="2:19">
      <c r="B21" s="48" t="s">
        <v>30</v>
      </c>
      <c r="E21" s="23">
        <f>DCF!E20/DCF!E17</f>
        <v>7.4071916798967519E-2</v>
      </c>
      <c r="F21" s="23">
        <f>DCF!F20/DCF!F17</f>
        <v>8.1392798715469936E-2</v>
      </c>
      <c r="G21" s="23">
        <f>DCF!G20/DCF!G17</f>
        <v>6.2502198308286613E-2</v>
      </c>
      <c r="H21" s="23">
        <f>DCF!H20/DCF!H17</f>
        <v>0.24954675297487902</v>
      </c>
      <c r="I21" s="23">
        <f>DCF!I20/DCF!I17</f>
        <v>5.7388855600906313E-2</v>
      </c>
      <c r="J21" s="23">
        <f>DCF!J20/DCF!J17</f>
        <v>6.0940789432971335E-2</v>
      </c>
      <c r="K21" s="23">
        <f>DCF!K20/DCF!K17</f>
        <v>6.983675071733951E-2</v>
      </c>
      <c r="L21" s="23">
        <f>DCF!L20/DCF!L17</f>
        <v>4.9927684050270565E-2</v>
      </c>
      <c r="M21" s="23">
        <f>DCF!M20/DCF!M17</f>
        <v>6.5439663481623542E-2</v>
      </c>
      <c r="N21" s="23">
        <f>DCF!N20/DCF!N17</f>
        <v>9.2055485498108366E-2</v>
      </c>
      <c r="O21" s="23">
        <f>DCF!O20/DCF!O17</f>
        <v>0.10694884469670436</v>
      </c>
      <c r="P21" s="23">
        <f>DCF!P20/DCF!P17</f>
        <v>0.13800000000000004</v>
      </c>
      <c r="Q21" s="23">
        <f>DCF!Q20/DCF!Q17</f>
        <v>0.14800000000000008</v>
      </c>
      <c r="R21" s="23">
        <f>DCF!R20/DCF!R17</f>
        <v>0.157</v>
      </c>
      <c r="S21" s="319">
        <f>DCF!S20/DCF!S17</f>
        <v>0.17000000000000004</v>
      </c>
    </row>
    <row r="22" spans="2:19">
      <c r="B22" s="48"/>
      <c r="S22" s="49"/>
    </row>
    <row r="23" spans="2:19">
      <c r="B23" s="47" t="s">
        <v>31</v>
      </c>
      <c r="E23" s="287">
        <f>'Operating Model'!C35</f>
        <v>31.4</v>
      </c>
      <c r="F23" s="287">
        <f>'Operating Model'!D35</f>
        <v>15.2</v>
      </c>
      <c r="G23" s="287">
        <f>'Operating Model'!E35</f>
        <v>-83.8</v>
      </c>
      <c r="H23" s="287">
        <f>'Operating Model'!F35</f>
        <v>2.4</v>
      </c>
      <c r="I23" s="287">
        <f>'Operating Model'!G35</f>
        <v>-29.9</v>
      </c>
      <c r="J23" s="287">
        <f>'Operating Model'!H35</f>
        <v>15.6</v>
      </c>
      <c r="K23" s="287">
        <f>'Operating Model'!I35</f>
        <v>88.3</v>
      </c>
      <c r="L23" s="287">
        <f>'Operating Model'!J35</f>
        <v>19</v>
      </c>
      <c r="M23" s="287">
        <f>'Operating Model'!K35</f>
        <v>27.7</v>
      </c>
      <c r="N23" s="287">
        <f>'Operating Model'!L35</f>
        <v>32.9</v>
      </c>
      <c r="O23" s="287">
        <f>'Operating Model'!M35</f>
        <v>90.821389645567976</v>
      </c>
      <c r="P23" s="287">
        <f>'Operating Model'!N35</f>
        <v>139.61834519371274</v>
      </c>
      <c r="Q23" s="287">
        <f>'Operating Model'!O35</f>
        <v>147.84071027486192</v>
      </c>
      <c r="R23" s="287">
        <f>'Operating Model'!P35</f>
        <v>185.97142531079695</v>
      </c>
      <c r="S23" s="312">
        <f>'Operating Model'!Q35</f>
        <v>213.32910377056191</v>
      </c>
    </row>
    <row r="24" spans="2:19">
      <c r="B24" s="48" t="s">
        <v>32</v>
      </c>
      <c r="E24" s="23">
        <f>'Operating Model'!C36</f>
        <v>0.4686567164179104</v>
      </c>
      <c r="F24" s="23">
        <f>'Operating Model'!D36</f>
        <v>0.10857142857142857</v>
      </c>
      <c r="G24" s="23">
        <f>'Operating Model'!E36</f>
        <v>-0.93318485523385297</v>
      </c>
      <c r="H24" s="23">
        <f>'Operating Model'!F36</f>
        <v>6.9970845481049565E-2</v>
      </c>
      <c r="I24" s="23">
        <f>'Operating Model'!G36</f>
        <v>0.64578833693304538</v>
      </c>
      <c r="J24" s="23">
        <f>'Operating Model'!H36</f>
        <v>0.22253922967189729</v>
      </c>
      <c r="K24" s="23">
        <f>'Operating Model'!I36</f>
        <v>0.48277747402952431</v>
      </c>
      <c r="L24" s="23">
        <f>'Operating Model'!J36</f>
        <v>63.333333333333336</v>
      </c>
      <c r="M24" s="23">
        <f>'Operating Model'!K36</f>
        <v>0.33015494636471987</v>
      </c>
      <c r="N24" s="23">
        <f>'Operating Model'!L36</f>
        <v>0.15644317641464572</v>
      </c>
      <c r="O24" s="23">
        <f>'Operating Model'!M36</f>
        <v>0.23</v>
      </c>
      <c r="P24" s="23">
        <f>'Operating Model'!N36</f>
        <v>0.23886604092645522</v>
      </c>
      <c r="Q24" s="23">
        <f>'Operating Model'!O36</f>
        <v>0.20843640578036701</v>
      </c>
      <c r="R24" s="23">
        <f>'Operating Model'!P36</f>
        <v>0.22576748223560741</v>
      </c>
      <c r="S24" s="319">
        <f>'Operating Model'!Q36</f>
        <v>0.2243566429808099</v>
      </c>
    </row>
    <row r="25" spans="2:19">
      <c r="B25" s="47"/>
      <c r="S25" s="49"/>
    </row>
    <row r="26" spans="2:19">
      <c r="B26" s="51" t="s">
        <v>37</v>
      </c>
      <c r="C26" s="18"/>
      <c r="D26" s="18"/>
      <c r="E26" s="19">
        <f>E20-E23</f>
        <v>156.25009765624998</v>
      </c>
      <c r="F26" s="19">
        <f t="shared" ref="F26:R26" si="2">F20-F23</f>
        <v>201.19008789062519</v>
      </c>
      <c r="G26" s="19">
        <f t="shared" si="2"/>
        <v>261.76000976562517</v>
      </c>
      <c r="H26" s="19">
        <f t="shared" si="2"/>
        <v>668.70810546875009</v>
      </c>
      <c r="I26" s="19">
        <f t="shared" si="2"/>
        <v>150.72202148437498</v>
      </c>
      <c r="J26" s="19">
        <f t="shared" si="2"/>
        <v>121.43999023437507</v>
      </c>
      <c r="K26" s="19">
        <f t="shared" si="2"/>
        <v>85.945898437500077</v>
      </c>
      <c r="L26" s="19">
        <f t="shared" si="2"/>
        <v>92.466894531249977</v>
      </c>
      <c r="M26" s="19">
        <f t="shared" si="2"/>
        <v>132.15292968750003</v>
      </c>
      <c r="N26" s="19">
        <f t="shared" si="2"/>
        <v>234.64499999999973</v>
      </c>
      <c r="O26" s="19">
        <f t="shared" si="2"/>
        <v>282.17489840248385</v>
      </c>
      <c r="P26" s="19">
        <f t="shared" si="2"/>
        <v>423.49181124628734</v>
      </c>
      <c r="Q26" s="19">
        <f t="shared" si="2"/>
        <v>540.62266359873843</v>
      </c>
      <c r="R26" s="19">
        <f t="shared" si="2"/>
        <v>617.3909035268432</v>
      </c>
      <c r="S26" s="52">
        <f>S20-S23</f>
        <v>717.44546702922639</v>
      </c>
    </row>
    <row r="27" spans="2:19">
      <c r="B27" s="47"/>
      <c r="S27" s="49"/>
    </row>
    <row r="28" spans="2:19">
      <c r="B28" s="47" t="s">
        <v>56</v>
      </c>
      <c r="E28" s="287">
        <f>'Operating Model'!C15</f>
        <v>180.3</v>
      </c>
      <c r="F28" s="287">
        <f>'Operating Model'!D15</f>
        <v>174.3</v>
      </c>
      <c r="G28" s="287">
        <f>'Operating Model'!E15</f>
        <v>225.6</v>
      </c>
      <c r="H28" s="287">
        <f>'Operating Model'!F15</f>
        <v>144</v>
      </c>
      <c r="I28" s="287">
        <f>'Operating Model'!G15</f>
        <v>143.9</v>
      </c>
      <c r="J28" s="287">
        <f>'Operating Model'!H15</f>
        <v>127.3</v>
      </c>
      <c r="K28" s="287">
        <f>'Operating Model'!I15</f>
        <v>133.9</v>
      </c>
      <c r="L28" s="287">
        <f>'Operating Model'!J15</f>
        <v>160.69999999999999</v>
      </c>
      <c r="M28" s="287">
        <f>'Operating Model'!K15</f>
        <v>150.1</v>
      </c>
      <c r="N28" s="287">
        <f>'Operating Model'!L15</f>
        <v>147.19999999999999</v>
      </c>
      <c r="O28" s="287">
        <f>'Operating Model'!M15</f>
        <v>209.25683999999995</v>
      </c>
      <c r="P28" s="287">
        <f>'Operating Model'!N15</f>
        <v>244.83050279999995</v>
      </c>
      <c r="Q28" s="287">
        <f>'Operating Model'!O15</f>
        <v>274.45499363879998</v>
      </c>
      <c r="R28" s="287">
        <f>'Operating Model'!P15</f>
        <v>296.78353549416005</v>
      </c>
      <c r="S28" s="312">
        <f>'Operating Model'!Q15</f>
        <v>312.08323844463484</v>
      </c>
    </row>
    <row r="29" spans="2:19">
      <c r="B29" s="47" t="s">
        <v>30</v>
      </c>
      <c r="E29" s="23">
        <f>E28/E17</f>
        <v>7.1170581660547461E-2</v>
      </c>
      <c r="F29" s="23">
        <f t="shared" ref="F29:S29" si="3">F28/F17</f>
        <v>6.5561065917571701E-2</v>
      </c>
      <c r="G29" s="23">
        <f t="shared" si="3"/>
        <v>7.923407037862007E-2</v>
      </c>
      <c r="H29" s="23">
        <f t="shared" si="3"/>
        <v>5.3545370910522951E-2</v>
      </c>
      <c r="I29" s="23">
        <f t="shared" si="3"/>
        <v>6.8350588903517057E-2</v>
      </c>
      <c r="J29" s="23">
        <f t="shared" si="3"/>
        <v>5.6609479331904508E-2</v>
      </c>
      <c r="K29" s="23">
        <f t="shared" si="3"/>
        <v>5.3666347414231409E-2</v>
      </c>
      <c r="L29" s="23">
        <f t="shared" si="3"/>
        <v>7.1979926063420629E-2</v>
      </c>
      <c r="M29" s="23">
        <f t="shared" si="3"/>
        <v>6.1447065798505542E-2</v>
      </c>
      <c r="N29" s="23">
        <f t="shared" si="3"/>
        <v>5.0647806781369729E-2</v>
      </c>
      <c r="O29" s="23">
        <f t="shared" si="3"/>
        <v>5.9999999999999991E-2</v>
      </c>
      <c r="P29" s="23">
        <f t="shared" si="3"/>
        <v>0.06</v>
      </c>
      <c r="Q29" s="23">
        <f t="shared" si="3"/>
        <v>5.8999999999999997E-2</v>
      </c>
      <c r="R29" s="23">
        <f t="shared" si="3"/>
        <v>5.8000000000000003E-2</v>
      </c>
      <c r="S29" s="319">
        <f t="shared" si="3"/>
        <v>5.7000000000000002E-2</v>
      </c>
    </row>
    <row r="30" spans="2:19">
      <c r="B30" s="47"/>
      <c r="S30" s="49"/>
    </row>
    <row r="31" spans="2:19">
      <c r="B31" s="47" t="s">
        <v>57</v>
      </c>
      <c r="E31" s="287">
        <f>'Case Assumptions'!E44</f>
        <v>85.138999999999996</v>
      </c>
      <c r="F31" s="287">
        <f>'Case Assumptions'!F44</f>
        <v>151.345</v>
      </c>
      <c r="G31" s="287">
        <f>'Case Assumptions'!G44</f>
        <v>150.12700000000001</v>
      </c>
      <c r="H31" s="287">
        <f>'Case Assumptions'!H44</f>
        <v>142.57599999999999</v>
      </c>
      <c r="I31" s="287">
        <f>'Case Assumptions'!I44</f>
        <v>103.289</v>
      </c>
      <c r="J31" s="287">
        <f>'Case Assumptions'!J44</f>
        <v>81.950999999999993</v>
      </c>
      <c r="K31" s="287">
        <f>'Case Assumptions'!K44</f>
        <v>102.884</v>
      </c>
      <c r="L31" s="287">
        <f>'Case Assumptions'!L44</f>
        <v>160.24199999999999</v>
      </c>
      <c r="M31" s="287">
        <f>'Case Assumptions'!M44</f>
        <v>185.739</v>
      </c>
      <c r="N31" s="287">
        <f>'Case Assumptions'!N44</f>
        <v>292.565</v>
      </c>
      <c r="O31" s="287">
        <f>'Case Assumptions'!O44</f>
        <v>261.57104999999996</v>
      </c>
      <c r="P31" s="287">
        <f>'Case Assumptions'!P44</f>
        <v>285.63558659999995</v>
      </c>
      <c r="Q31" s="287">
        <f>'Case Assumptions'!Q44</f>
        <v>302.36567095800001</v>
      </c>
      <c r="R31" s="287">
        <f>'Case Assumptions'!R44</f>
        <v>307.01745051120002</v>
      </c>
      <c r="S31" s="312">
        <f>'Case Assumptions'!S44</f>
        <v>301.13294937640205</v>
      </c>
    </row>
    <row r="32" spans="2:19">
      <c r="B32" s="53" t="s">
        <v>30</v>
      </c>
      <c r="E32" s="23">
        <f>E31/E17</f>
        <v>3.3607277603978643E-2</v>
      </c>
      <c r="F32" s="23">
        <f t="shared" ref="F32:S32" si="4">F31/F17</f>
        <v>5.6926790139385473E-2</v>
      </c>
      <c r="G32" s="23">
        <f t="shared" si="4"/>
        <v>5.2726831931432162E-2</v>
      </c>
      <c r="H32" s="23">
        <f t="shared" si="4"/>
        <v>5.3015866687074448E-2</v>
      </c>
      <c r="I32" s="23">
        <f t="shared" si="4"/>
        <v>4.9060903247083891E-2</v>
      </c>
      <c r="J32" s="23">
        <f t="shared" si="4"/>
        <v>3.6443074946809949E-2</v>
      </c>
      <c r="K32" s="23">
        <f t="shared" si="4"/>
        <v>4.1235313572560002E-2</v>
      </c>
      <c r="L32" s="23">
        <f t="shared" si="4"/>
        <v>7.1774781034565333E-2</v>
      </c>
      <c r="M32" s="23">
        <f t="shared" si="4"/>
        <v>7.6036752527305934E-2</v>
      </c>
      <c r="N32" s="23">
        <f t="shared" si="4"/>
        <v>0.10066423635184399</v>
      </c>
      <c r="O32" s="23">
        <f t="shared" si="4"/>
        <v>7.4999999999999997E-2</v>
      </c>
      <c r="P32" s="23">
        <f t="shared" si="4"/>
        <v>7.0000000000000007E-2</v>
      </c>
      <c r="Q32" s="23">
        <f t="shared" si="4"/>
        <v>6.5000000000000002E-2</v>
      </c>
      <c r="R32" s="23">
        <f t="shared" si="4"/>
        <v>0.06</v>
      </c>
      <c r="S32" s="319">
        <f t="shared" si="4"/>
        <v>5.5E-2</v>
      </c>
    </row>
    <row r="33" spans="2:20">
      <c r="B33" s="47"/>
      <c r="S33" s="49"/>
    </row>
    <row r="34" spans="2:20">
      <c r="B34" s="47" t="s">
        <v>58</v>
      </c>
      <c r="E34" s="287"/>
      <c r="F34" s="287"/>
      <c r="G34" s="287"/>
      <c r="H34" s="287"/>
      <c r="I34" s="287"/>
      <c r="J34" s="287"/>
      <c r="K34" s="287"/>
      <c r="L34" s="287"/>
      <c r="M34" s="287"/>
      <c r="N34" s="287"/>
      <c r="O34" s="318">
        <f>'Working Cap Schedule'!O28</f>
        <v>-2.888216329277725</v>
      </c>
      <c r="P34" s="318">
        <f>'Working Cap Schedule'!P28</f>
        <v>143.56546280386681</v>
      </c>
      <c r="Q34" s="318">
        <f>'Working Cap Schedule'!Q28</f>
        <v>141.61434459781947</v>
      </c>
      <c r="R34" s="318">
        <f>'Working Cap Schedule'!R28</f>
        <v>62.312537407944887</v>
      </c>
      <c r="S34" s="318">
        <f>'Working Cap Schedule'!S28</f>
        <v>89.863832838160761</v>
      </c>
    </row>
    <row r="35" spans="2:20">
      <c r="B35" s="53" t="s">
        <v>30</v>
      </c>
      <c r="E35" s="23"/>
      <c r="F35" s="23"/>
      <c r="G35" s="23"/>
      <c r="H35" s="23"/>
      <c r="I35" s="23"/>
      <c r="J35" s="23"/>
      <c r="K35" s="23"/>
      <c r="L35" s="23"/>
      <c r="M35" s="23"/>
      <c r="N35" s="23"/>
      <c r="O35" s="288">
        <f>O34/O17</f>
        <v>-8.2813531809360931E-4</v>
      </c>
      <c r="P35" s="288">
        <f t="shared" ref="P35:S35" si="5">P34/P17</f>
        <v>3.5183229498444712E-2</v>
      </c>
      <c r="Q35" s="288">
        <f t="shared" si="5"/>
        <v>3.0443047220585016E-2</v>
      </c>
      <c r="R35" s="288">
        <f t="shared" si="5"/>
        <v>1.2177653870330421E-2</v>
      </c>
      <c r="S35" s="320">
        <f t="shared" si="5"/>
        <v>1.6413052162953232E-2</v>
      </c>
    </row>
    <row r="36" spans="2:20">
      <c r="B36" s="47"/>
      <c r="S36" s="49"/>
    </row>
    <row r="37" spans="2:20">
      <c r="B37" s="54" t="s">
        <v>38</v>
      </c>
      <c r="C37" s="20"/>
      <c r="D37" s="20"/>
      <c r="E37" s="20"/>
      <c r="F37" s="20"/>
      <c r="G37" s="20"/>
      <c r="H37" s="20"/>
      <c r="I37" s="20"/>
      <c r="J37" s="20"/>
      <c r="K37" s="20"/>
      <c r="L37" s="20"/>
      <c r="M37" s="20"/>
      <c r="N37" s="20"/>
      <c r="O37" s="21">
        <f>O26+O28-O31-O34</f>
        <v>232.74890473176157</v>
      </c>
      <c r="P37" s="21">
        <f t="shared" ref="P37:S37" si="6">P26+P28-P31-P34</f>
        <v>239.1212646424205</v>
      </c>
      <c r="Q37" s="21">
        <f t="shared" si="6"/>
        <v>371.09764168171898</v>
      </c>
      <c r="R37" s="21">
        <f t="shared" si="6"/>
        <v>544.84445110185845</v>
      </c>
      <c r="S37" s="55">
        <f t="shared" si="6"/>
        <v>638.53192325929842</v>
      </c>
    </row>
    <row r="38" spans="2:20">
      <c r="B38" s="56" t="s">
        <v>39</v>
      </c>
      <c r="C38" s="2"/>
      <c r="D38" s="2"/>
      <c r="E38" s="2"/>
      <c r="F38" s="2"/>
      <c r="G38" s="2"/>
      <c r="H38" s="2"/>
      <c r="I38" s="2"/>
      <c r="J38" s="2"/>
      <c r="K38" s="2"/>
      <c r="L38" s="2"/>
      <c r="M38" s="2"/>
      <c r="N38" s="2"/>
      <c r="O38" s="22">
        <f>O37/(1+$M$5)^O41</f>
        <v>180.21858777365779</v>
      </c>
      <c r="P38" s="22">
        <f t="shared" ref="P38:R38" si="7">P37/(1+$M$5)^P41</f>
        <v>136.2148506398272</v>
      </c>
      <c r="Q38" s="22">
        <f t="shared" si="7"/>
        <v>190.83552698764825</v>
      </c>
      <c r="R38" s="22">
        <f t="shared" si="7"/>
        <v>252.93465732677672</v>
      </c>
      <c r="S38" s="57">
        <f>S37/(1+$M$5)^S41</f>
        <v>267.59820606476967</v>
      </c>
    </row>
    <row r="39" spans="2:20">
      <c r="B39" s="47"/>
      <c r="S39" s="49"/>
    </row>
    <row r="40" spans="2:20">
      <c r="B40" s="47" t="s">
        <v>40</v>
      </c>
      <c r="O40" s="289">
        <f>YEARFRAC(D5,D6)</f>
        <v>5</v>
      </c>
      <c r="S40" s="49"/>
    </row>
    <row r="41" spans="2:20">
      <c r="B41" s="47" t="s">
        <v>41</v>
      </c>
      <c r="O41" s="289">
        <f>O40/2</f>
        <v>2.5</v>
      </c>
      <c r="P41" s="289">
        <f>O40+0.5</f>
        <v>5.5</v>
      </c>
      <c r="Q41" s="289">
        <f>P41+1</f>
        <v>6.5</v>
      </c>
      <c r="R41" s="289">
        <f>Q41+1</f>
        <v>7.5</v>
      </c>
      <c r="S41" s="58">
        <f>R41+1</f>
        <v>8.5</v>
      </c>
    </row>
    <row r="42" spans="2:20">
      <c r="B42" s="47"/>
      <c r="O42" s="290"/>
      <c r="S42" s="49"/>
    </row>
    <row r="43" spans="2:20">
      <c r="B43" s="47" t="s">
        <v>42</v>
      </c>
      <c r="S43" s="50">
        <f>('Operating Model'!Q24+'Operating Model'!Q15)*16.9</f>
        <v>21004.296976230751</v>
      </c>
      <c r="T43" t="s">
        <v>342</v>
      </c>
    </row>
    <row r="44" spans="2:20">
      <c r="B44" s="47" t="s">
        <v>43</v>
      </c>
      <c r="S44" s="50">
        <f>S43/(1+$M$5)^O40</f>
        <v>12593.081744422157</v>
      </c>
    </row>
    <row r="45" spans="2:20">
      <c r="B45" s="47"/>
      <c r="S45" s="49"/>
    </row>
    <row r="46" spans="2:20">
      <c r="B46" s="47" t="s">
        <v>116</v>
      </c>
      <c r="S46" s="50">
        <f>SUM(O38:S38,S44)</f>
        <v>13620.883573214836</v>
      </c>
    </row>
    <row r="47" spans="2:20">
      <c r="B47" s="47" t="s">
        <v>44</v>
      </c>
      <c r="S47" s="59">
        <f>WACC!F15</f>
        <v>1030</v>
      </c>
      <c r="T47" t="s">
        <v>237</v>
      </c>
    </row>
    <row r="48" spans="2:20">
      <c r="B48" s="47" t="s">
        <v>45</v>
      </c>
      <c r="S48" s="60">
        <f>BS!K7</f>
        <v>501.23399999999998</v>
      </c>
      <c r="T48" t="s">
        <v>235</v>
      </c>
    </row>
    <row r="49" spans="1:19">
      <c r="B49" s="47" t="s">
        <v>117</v>
      </c>
      <c r="S49" s="61">
        <f>S46-S47+S48</f>
        <v>13092.117573214837</v>
      </c>
    </row>
    <row r="50" spans="1:19">
      <c r="B50" s="47" t="s">
        <v>54</v>
      </c>
      <c r="S50" s="61">
        <f>'Public Comps Analysis'!F22</f>
        <v>103.40492248535156</v>
      </c>
    </row>
    <row r="51" spans="1:19" ht="16" thickBot="1">
      <c r="B51" s="62" t="s">
        <v>46</v>
      </c>
      <c r="C51" s="63"/>
      <c r="D51" s="63"/>
      <c r="E51" s="63"/>
      <c r="F51" s="63"/>
      <c r="G51" s="63"/>
      <c r="H51" s="63"/>
      <c r="I51" s="63"/>
      <c r="J51" s="63"/>
      <c r="K51" s="63"/>
      <c r="L51" s="63"/>
      <c r="M51" s="63"/>
      <c r="N51" s="63"/>
      <c r="O51" s="63"/>
      <c r="P51" s="63"/>
      <c r="Q51" s="63"/>
      <c r="R51" s="63"/>
      <c r="S51" s="346">
        <f>S49/S50</f>
        <v>126.61019667675374</v>
      </c>
    </row>
    <row r="53" spans="1:19">
      <c r="A53" s="3" t="s">
        <v>0</v>
      </c>
      <c r="B53" s="4" t="s">
        <v>236</v>
      </c>
      <c r="C53" s="4"/>
      <c r="D53" s="4"/>
      <c r="E53" s="4"/>
      <c r="F53" s="4"/>
      <c r="G53" s="4"/>
      <c r="H53" s="4"/>
      <c r="I53" s="4"/>
      <c r="J53" s="4"/>
      <c r="K53" s="4"/>
      <c r="L53" s="4"/>
      <c r="M53" s="4"/>
      <c r="N53" s="4"/>
      <c r="O53" s="4"/>
      <c r="P53" s="4"/>
      <c r="Q53" s="4"/>
      <c r="R53" s="4"/>
      <c r="S53" s="4"/>
    </row>
    <row r="55" spans="1:19" ht="15" customHeight="1" thickBot="1"/>
    <row r="56" spans="1:19" ht="15" customHeight="1">
      <c r="M56" s="321"/>
      <c r="N56" s="322"/>
      <c r="O56" s="477" t="s">
        <v>28</v>
      </c>
      <c r="P56" s="477"/>
      <c r="Q56" s="477"/>
      <c r="R56" s="477"/>
      <c r="S56" s="478"/>
    </row>
    <row r="57" spans="1:19" ht="15" customHeight="1">
      <c r="M57" s="323"/>
      <c r="N57" s="331">
        <f>S51</f>
        <v>126.61019667675374</v>
      </c>
      <c r="O57" s="324">
        <f>P57-0.25%</f>
        <v>2.0000000000000004E-2</v>
      </c>
      <c r="P57" s="324">
        <f>Q57-0.25%</f>
        <v>2.2500000000000003E-2</v>
      </c>
      <c r="Q57" s="324">
        <f>M6</f>
        <v>2.5000000000000001E-2</v>
      </c>
      <c r="R57" s="324">
        <f>Q57+0.25%</f>
        <v>2.75E-2</v>
      </c>
      <c r="S57" s="325">
        <f>R57+0.25%</f>
        <v>0.03</v>
      </c>
    </row>
    <row r="58" spans="1:19" ht="15" customHeight="1">
      <c r="M58" s="479" t="s">
        <v>4</v>
      </c>
      <c r="N58" s="324">
        <f>N59+0.5%</f>
        <v>0.11773333601146241</v>
      </c>
      <c r="O58" s="326">
        <f t="dataTable" ref="O58:S62" dt2D="1" dtr="1" r1="M6" r2="M5" ca="1"/>
        <v>120.70226454062305</v>
      </c>
      <c r="P58" s="326">
        <v>120.70226454062305</v>
      </c>
      <c r="Q58" s="326">
        <v>120.70226454062305</v>
      </c>
      <c r="R58" s="326">
        <v>120.70226454062305</v>
      </c>
      <c r="S58" s="327">
        <v>120.70226454062305</v>
      </c>
    </row>
    <row r="59" spans="1:19" ht="15" customHeight="1">
      <c r="M59" s="479"/>
      <c r="N59" s="324">
        <f>N60+0.5%</f>
        <v>0.1127333360114624</v>
      </c>
      <c r="O59" s="326">
        <v>117.86900623122023</v>
      </c>
      <c r="P59" s="326">
        <v>117.86900623122023</v>
      </c>
      <c r="Q59" s="326">
        <v>117.86900623122023</v>
      </c>
      <c r="R59" s="326">
        <v>117.86900623122023</v>
      </c>
      <c r="S59" s="327">
        <v>117.86900623122023</v>
      </c>
    </row>
    <row r="60" spans="1:19" ht="15" customHeight="1">
      <c r="M60" s="479"/>
      <c r="N60" s="324">
        <f>M5</f>
        <v>0.1077333360114624</v>
      </c>
      <c r="O60" s="326">
        <v>117.86900623122023</v>
      </c>
      <c r="P60" s="326">
        <v>117.86900623122023</v>
      </c>
      <c r="Q60" s="326">
        <v>117.86900623122023</v>
      </c>
      <c r="R60" s="326">
        <v>117.86900623122023</v>
      </c>
      <c r="S60" s="327">
        <v>117.86900623122023</v>
      </c>
    </row>
    <row r="61" spans="1:19">
      <c r="M61" s="479"/>
      <c r="N61" s="324">
        <f>N60-0.5%</f>
        <v>0.1027333360114624</v>
      </c>
      <c r="O61" s="326">
        <v>120.70226454062305</v>
      </c>
      <c r="P61" s="326">
        <v>120.70226454062305</v>
      </c>
      <c r="Q61" s="326">
        <v>120.70226454062305</v>
      </c>
      <c r="R61" s="326">
        <v>120.70226454062305</v>
      </c>
      <c r="S61" s="327">
        <v>120.70226454062305</v>
      </c>
    </row>
    <row r="62" spans="1:19" ht="16" thickBot="1">
      <c r="M62" s="480"/>
      <c r="N62" s="328">
        <f>N61-0.5%</f>
        <v>9.7733336011462391E-2</v>
      </c>
      <c r="O62" s="329">
        <v>126.61019667675374</v>
      </c>
      <c r="P62" s="329">
        <v>126.61019667675374</v>
      </c>
      <c r="Q62" s="329">
        <v>126.61019667675374</v>
      </c>
      <c r="R62" s="329">
        <v>126.61019667675374</v>
      </c>
      <c r="S62" s="330">
        <v>126.61019667675374</v>
      </c>
    </row>
  </sheetData>
  <mergeCells count="3">
    <mergeCell ref="O56:S56"/>
    <mergeCell ref="M58:M62"/>
    <mergeCell ref="B10:D10"/>
  </mergeCells>
  <conditionalFormatting sqref="O58:S62">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D11:D14" xr:uid="{A1FEEF47-14F0-4975-AC02-43A32970385E}">
      <formula1>"1,2,3"</formula1>
    </dataValidation>
  </dataValidation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D590-959F-B344-B311-F804AB19ECEA}">
  <dimension ref="B1:L14"/>
  <sheetViews>
    <sheetView showGridLines="0" topLeftCell="D1" zoomScale="164" workbookViewId="0">
      <selection activeCell="M8" sqref="M8"/>
    </sheetView>
  </sheetViews>
  <sheetFormatPr baseColWidth="10" defaultRowHeight="15"/>
  <cols>
    <col min="10" max="10" width="18.33203125" customWidth="1"/>
    <col min="12" max="12" width="11.1640625" style="406" customWidth="1"/>
  </cols>
  <sheetData>
    <row r="1" spans="2:12" ht="16" thickBot="1"/>
    <row r="2" spans="2:12" ht="20" customHeight="1" thickBot="1">
      <c r="B2" s="495"/>
      <c r="C2" s="495"/>
      <c r="D2" s="495"/>
      <c r="E2" s="495"/>
      <c r="F2" s="495"/>
      <c r="G2" s="495"/>
      <c r="H2" s="495"/>
      <c r="J2" s="465" t="s">
        <v>342</v>
      </c>
      <c r="K2" s="466"/>
      <c r="L2" s="467"/>
    </row>
    <row r="3" spans="2:12">
      <c r="B3" s="495"/>
      <c r="C3" s="495"/>
      <c r="D3" s="495"/>
      <c r="E3" s="495"/>
      <c r="F3" s="495"/>
      <c r="G3" s="495"/>
      <c r="H3" s="495"/>
      <c r="J3" s="47" t="s">
        <v>343</v>
      </c>
      <c r="L3" s="458">
        <f>'Operating Model'!Q24+'Operating Model'!Q15</f>
        <v>1242.8578092444232</v>
      </c>
    </row>
    <row r="4" spans="2:12">
      <c r="B4" s="495"/>
      <c r="C4" s="495"/>
      <c r="D4" s="495"/>
      <c r="E4" s="495"/>
      <c r="F4" s="495"/>
      <c r="G4" s="495"/>
      <c r="H4" s="495"/>
      <c r="J4" s="47" t="s">
        <v>344</v>
      </c>
      <c r="L4" s="457" t="s">
        <v>345</v>
      </c>
    </row>
    <row r="5" spans="2:12">
      <c r="B5" s="495"/>
      <c r="C5" s="495"/>
      <c r="D5" s="495"/>
      <c r="E5" s="495"/>
      <c r="F5" s="495"/>
      <c r="G5" s="495"/>
      <c r="H5" s="495"/>
      <c r="J5" s="47" t="s">
        <v>346</v>
      </c>
      <c r="L5" s="459">
        <f>L3*16.9</f>
        <v>21004.296976230751</v>
      </c>
    </row>
    <row r="6" spans="2:12">
      <c r="B6" s="495"/>
      <c r="C6" s="495"/>
      <c r="D6" s="495"/>
      <c r="E6" s="495"/>
      <c r="F6" s="495"/>
      <c r="G6" s="495"/>
      <c r="H6" s="495"/>
      <c r="J6" s="47" t="s">
        <v>347</v>
      </c>
      <c r="L6" s="457">
        <v>5</v>
      </c>
    </row>
    <row r="7" spans="2:12">
      <c r="B7" s="495"/>
      <c r="C7" s="495"/>
      <c r="D7" s="495"/>
      <c r="E7" s="495"/>
      <c r="F7" s="495"/>
      <c r="G7" s="495"/>
      <c r="H7" s="495"/>
      <c r="J7" s="56" t="s">
        <v>348</v>
      </c>
      <c r="K7" s="2"/>
      <c r="L7" s="460">
        <f>DCF!S44</f>
        <v>12593.081744422157</v>
      </c>
    </row>
    <row r="8" spans="2:12">
      <c r="B8" s="495"/>
      <c r="C8" s="495"/>
      <c r="D8" s="495"/>
      <c r="E8" s="495"/>
      <c r="F8" s="495"/>
      <c r="G8" s="495"/>
      <c r="H8" s="495"/>
      <c r="J8" s="47" t="s">
        <v>349</v>
      </c>
      <c r="L8" s="458">
        <f>DCF!S46</f>
        <v>13620.883573214836</v>
      </c>
    </row>
    <row r="9" spans="2:12">
      <c r="J9" s="47" t="s">
        <v>115</v>
      </c>
      <c r="L9" s="461">
        <f>DCF!S47-DCF!S48</f>
        <v>528.76600000000008</v>
      </c>
    </row>
    <row r="10" spans="2:12">
      <c r="J10" s="47" t="s">
        <v>350</v>
      </c>
      <c r="L10" s="458">
        <f>L8-L9</f>
        <v>13092.117573214837</v>
      </c>
    </row>
    <row r="11" spans="2:12">
      <c r="J11" s="47"/>
      <c r="L11" s="457"/>
    </row>
    <row r="12" spans="2:12">
      <c r="J12" s="56" t="s">
        <v>177</v>
      </c>
      <c r="K12" s="2"/>
      <c r="L12" s="462">
        <f>'Public Comps Analysis'!F22</f>
        <v>103.40492248535156</v>
      </c>
    </row>
    <row r="13" spans="2:12">
      <c r="J13" s="47" t="s">
        <v>351</v>
      </c>
      <c r="L13" s="463">
        <f>L10/L12</f>
        <v>126.61019667675374</v>
      </c>
    </row>
    <row r="14" spans="2:12" ht="16" thickBot="1">
      <c r="J14" s="62" t="s">
        <v>352</v>
      </c>
      <c r="K14" s="63"/>
      <c r="L14" s="464">
        <f>DCF!J6</f>
        <v>0.32617782210907875</v>
      </c>
    </row>
  </sheetData>
  <mergeCells count="1">
    <mergeCell ref="B2:H8"/>
  </mergeCell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1" timestamp="1774734327901"><![CDATA[{"TTMI-US^MSCI_INCOME_STATEMENT_AR(0,,,\"FY_DATEN\",\"LATEST_FY0\")":[["@NA"]]}]]></FdsFormulaCache>
</file>

<file path=customXml/itemProps1.xml><?xml version="1.0" encoding="utf-8"?>
<ds:datastoreItem xmlns:ds="http://schemas.openxmlformats.org/officeDocument/2006/customXml" ds:itemID="{9BF7804B-19CF-4F44-ADFB-75E2CB1D88D0}">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Cover Pg.</vt:lpstr>
      <vt:lpstr>IS</vt:lpstr>
      <vt:lpstr>BS</vt:lpstr>
      <vt:lpstr>CFS</vt:lpstr>
      <vt:lpstr>Revenue Build</vt:lpstr>
      <vt:lpstr>Case Assumptions</vt:lpstr>
      <vt:lpstr>Operating Model</vt:lpstr>
      <vt:lpstr>Working Cap Schedule</vt:lpstr>
      <vt:lpstr>Public Comps Analysis</vt:lpstr>
      <vt:lpstr>WACC</vt:lpstr>
      <vt:lpstr>DCF</vt:lpstr>
      <vt:lpstr>Consensus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Chon</dc:creator>
  <cp:lastModifiedBy>Chen, Edward</cp:lastModifiedBy>
  <dcterms:created xsi:type="dcterms:W3CDTF">2024-07-27T19:38:58Z</dcterms:created>
  <dcterms:modified xsi:type="dcterms:W3CDTF">2026-03-29T23:14:04Z</dcterms:modified>
</cp:coreProperties>
</file>