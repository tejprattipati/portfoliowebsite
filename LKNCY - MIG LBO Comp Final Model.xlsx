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updateLinks="always"/>
  <mc:AlternateContent xmlns:mc="http://schemas.openxmlformats.org/markup-compatibility/2006">
    <mc:Choice Requires="x15">
      <x15ac:absPath xmlns:x15ac="http://schemas.microsoft.com/office/spreadsheetml/2010/11/ac" url="https://umich-my.sharepoint.com/personal/ranais_umich_edu/Documents/"/>
    </mc:Choice>
  </mc:AlternateContent>
  <xr:revisionPtr revIDLastSave="0" documentId="8_{92CD6EC6-B7AD-4E78-A393-A1F8FB2CE2CE}" xr6:coauthVersionLast="47" xr6:coauthVersionMax="47" xr10:uidLastSave="{00000000-0000-0000-0000-000000000000}"/>
  <bookViews>
    <workbookView xWindow="-110" yWindow="-110" windowWidth="19420" windowHeight="10300" activeTab="8" xr2:uid="{00000000-000D-0000-FFFF-FFFF00000000}"/>
  </bookViews>
  <sheets>
    <sheet name="Cover" sheetId="1" r:id="rId1"/>
    <sheet name="LBO Model" sheetId="20" r:id="rId2"/>
    <sheet name="DCF" sheetId="8" r:id="rId3"/>
    <sheet name="WACC" sheetId="7" r:id="rId4"/>
    <sheet name="Revenue Build" sheetId="19" r:id="rId5"/>
    <sheet name="Revenue Assumptions" sheetId="25" r:id="rId6"/>
    <sheet name="Operating Model" sheetId="21" r:id="rId7"/>
    <sheet name="Operating Assumptions" sheetId="26" r:id="rId8"/>
    <sheet name="Comps" sheetId="3" r:id="rId9"/>
    <sheet name="Precedents" sheetId="4" r:id="rId10"/>
    <sheet name="Support &gt;&gt;" sheetId="10" r:id="rId11"/>
    <sheet name="IS" sheetId="14" r:id="rId12"/>
    <sheet name="BS" sheetId="15" r:id="rId13"/>
    <sheet name="CFS" sheetId="16" r:id="rId14"/>
    <sheet name="Factset Custom Comps" sheetId="24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__FDS_HYPERLINK_TOGGLE_STATE__">"ON"</definedName>
    <definedName name="__FDS_UNIQUE_RANGE_ID_GENERATOR_COUNTER">5</definedName>
    <definedName name="__IntlFixup">TRUE</definedName>
    <definedName name="__q3">'[1]1601 Detail information'!$H$97:$H$129</definedName>
    <definedName name="_1__FDSAUDITLINK__">{"fdsup://directions/FAT Viewer?action=UPDATE&amp;creator=factset&amp;DYN_ARGS=TRUE&amp;DOC_NAME=FAT:FQL_AUDITING_CLIENT_TEMPLATE.FAT&amp;display_string=Audit&amp;VAR:KEY=ZOVKJMRYDO&amp;VAR:QUERY=SlVMSUFOKElDX0VTVElNQVRFKEVQUygpLE1FQU4sQU5OX1JPTEwsKzEsMCkuZGF0ZXMp&amp;WINDOW=FIRST_POP","UP&amp;HEIGHT=450&amp;WIDTH=450&amp;START_MAXIMIZED=FALSE&amp;VAR:CALENDAR=US&amp;VAR:SYMBOL=MDCO&amp;VAR:INDEX=0"}</definedName>
    <definedName name="_2__FDSAUDITLINK__">{"fdsup://directions/FAT Viewer?action=UPDATE&amp;creator=factset&amp;DYN_ARGS=TRUE&amp;DOC_NAME=FAT:FQL_AUDITING_CLIENT_TEMPLATE.FAT&amp;display_string=Audit&amp;VAR:KEY=RUVMRUFEDA&amp;VAR:QUERY=SlVMSUFOKElDX0VTVElNQVRFKFNBTEVTKCksTUVBTixBTk5fUk9MTCwrMSwwKS5kYXRlcyk=&amp;WINDOW=FIRST","_POPUP&amp;HEIGHT=450&amp;WIDTH=450&amp;START_MAXIMIZED=FALSE&amp;VAR:CALENDAR=US&amp;VAR:SYMBOL=MDCO&amp;VAR:INDEX=0"}</definedName>
    <definedName name="_3__FDSAUDITLINK__">{"fdsup://directions/FAT Viewer?action=UPDATE&amp;creator=factset&amp;DYN_ARGS=TRUE&amp;DOC_NAME=FAT:FQL_AUDITING_CLIENT_TEMPLATE.FAT&amp;display_string=Audit&amp;VAR:KEY=NUFAVMLAZW&amp;VAR:QUERY=SlVMSUFOKElDX0VTVElNQVRFKEVCSVREQSxNRUFOLEFOTl9ST0xMLCsxLDApLmRhdGVzKQ==&amp;WINDOW=FIRST","_POPUP&amp;HEIGHT=450&amp;WIDTH=450&amp;START_MAXIMIZED=FALSE&amp;VAR:CALENDAR=US&amp;VAR:SYMBOL=MDCO&amp;VAR:INDEX=0"}</definedName>
    <definedName name="_4__FDSAUDITLINK__">{"fdsup://directions/FAT Viewer?action=UPDATE&amp;creator=factset&amp;DYN_ARGS=TRUE&amp;DOC_NAME=FAT:FQL_AUDITING_CLIENT_TEMPLATE.FAT&amp;display_string=Audit&amp;VAR:KEY=VIHYHADUTW&amp;VAR:QUERY=SlVMSUFOKElDX0VTVElNQVRFKEVCSVREQSxNRUFOLEFOTl9ST0xMLCsxLDApLmRhdGVzKQ==&amp;WINDOW=FIRST","_POPUP&amp;HEIGHT=450&amp;WIDTH=450&amp;START_MAXIMIZED=FALSE&amp;VAR:CALENDAR=US&amp;VAR:SYMBOL=MDCO&amp;VAR:INDEX=0"}</definedName>
    <definedName name="_bdm.0052b2d879b443fb8b5b7f9b7e1d1cd2.edm">'[2]Precedent Transactions'!$1:$1048576</definedName>
    <definedName name="_bdm.006A679C67724FC79389DC4D22927E9A.edm">[3]Output!$A:$IV</definedName>
    <definedName name="_bdm.00a08cb028504395b46a809724d12a5d.edm">'[2]Football Field'!$1:$1048576</definedName>
    <definedName name="_bdm.00c6e94a41b24656b09a54c8f0719816.edm">'[4]Strat. Alt.'!$1:$1048576</definedName>
    <definedName name="_bdm.015D17FCDC584596B596D0D9D9E42423.edm">[3]Output!$A:$IV</definedName>
    <definedName name="_bdm.0260b451a590464bb4192c2c003e5ff7.edm">[4]DCF!$1:$1048576</definedName>
    <definedName name="_bdm.02cf64abf374488fa51fc1ec41a32c4e.edm">'[4]M&amp;A Comps'!$1:$1048576</definedName>
    <definedName name="_bdm.02fca72f590d4af7b3e2c2954abe00c8.edm">[5]FF!$1:$1048576</definedName>
    <definedName name="_bdm.037EABD3E1C143E0A4C9EFAB96C2176C.edm">'[6]ghdx_gxdx output NEW'!$A:$IV</definedName>
    <definedName name="_bdm.03882b6fb0ef474bba0ef95ad063bcc3.edm">'[4]Football Field'!$1:$1048576</definedName>
    <definedName name="_bdm.03c17d6584414e4196fd5fce20d5c9ae.edm">'[2]Precedent Transactions'!$1:$1048576</definedName>
    <definedName name="_bdm.04b02edf28d94ee8b930259f38694521.edm">'[4]Strat. Alt.'!$1:$1048576</definedName>
    <definedName name="_bdm.04b7c7d82827448f95077a89ad31c896.edm">'[4]MP Charts 3.0'!$1:$1048576</definedName>
    <definedName name="_bdm.04d904f4c97e4d7296658df009e83741.edm">'[7]Fin Profile'!$1:$1048576</definedName>
    <definedName name="_bdm.0519f2ffd92b4534bd66ba989a17ab75.edm">'[7]LBO Summary'!$1:$1048576</definedName>
    <definedName name="_bdm.055852185cfd4528ade49f8915ecc655.edm">[5]FF!$1:$1048576</definedName>
    <definedName name="_bdm.05960a26cde14c82936a636b600ec85b.edm">'[7]LBO Summary'!$1:$1048576</definedName>
    <definedName name="_bdm.06000a289da64609969ecdd055070953.edm">'[4]Strat. Alt.'!$1:$1048576</definedName>
    <definedName name="_bdm.060F2793D9E2423998467AD3EC73BB2C.edm">[8]Output!$A:$IV</definedName>
    <definedName name="_bdm.06b66d61a14c4d479731f0e3143c6d48.edm">'[4]M&amp;A Comps'!$1:$1048576</definedName>
    <definedName name="_bdm.0761830ae81b49f58448fda978756af4.edm">'[7]LBO Summary'!$1:$1048576</definedName>
    <definedName name="_bdm.07ba5318194a4b26b4697fe251d98fa8.edm">'[4]M&amp;A Comps'!$1:$1048576</definedName>
    <definedName name="_bdm.0845d45cfd504654aa9ed88eac98d1e3.edm">'[4]Summary P.L'!$1:$1048576</definedName>
    <definedName name="_bdm.085e7abc2f75496fb1e071b3e4a5e59e.edm">'[4]Comps.2'!$1:$1048576</definedName>
    <definedName name="_bdm.08b6390c3de54834803333bfc8711f1e.edm">[4]AVP!$1:$1048576</definedName>
    <definedName name="_bdm.08C1D7BE819C4781A74CF6318805C5E2.edm">'[9]Spec. Pharma M&amp;A Precedents'!$A:$IV</definedName>
    <definedName name="_bdm.0921c0170a6144df873c830ceeb4c7f4.edm">[4]Charts!$1:$1048576</definedName>
    <definedName name="_bdm.092f2dd0c7ce49d5a3bd0cf81be33132.edm">[5]DCF_2015!$1:$1048576</definedName>
    <definedName name="_bdm.098D708957BC4D3F8BBF2C8937342EBA.edm">[3]Output!$A:$IV</definedName>
    <definedName name="_bdm.09d586f35a89421eaf61944923137dc2.edm">'[4]M&amp;A Comps'!$1:$1048576</definedName>
    <definedName name="_bdm.0A2E67B530F240BBBBDC3B4DC5001469.edm">[3]Output!$A:$IV</definedName>
    <definedName name="_bdm.0A9A50A4D9834205863153CF17E3B531.edm">[10]Charts!$A:$IV</definedName>
    <definedName name="_bdm.0AC2A1A0F3DD4A8BA18D8B4DA9E7CA5B.edm">[8]GXDX_IPO!$A:$IV</definedName>
    <definedName name="_bdm.0adb85cc32c04880bda5c8e99564a438.edm">'[7]Fin Profile'!$1:$1048576</definedName>
    <definedName name="_bdm.0b13a4d3931044539d21ac8f0fcd4444.edm">[4]DCF!$1:$1048576</definedName>
    <definedName name="_bdm.0b3c4a7be18446b2a153c2d1c8dd5c6e.edm">'[7]LBO Summary'!$1:$1048576</definedName>
    <definedName name="_bdm.0b7059d39d334c30959e118c5f0bf441.edm">'[7]LBO Summary'!$1:$1048576</definedName>
    <definedName name="_bdm.0bc7c6ddbe0f44efba274db558b3aec4.edm">'[7]LBO Summary'!$1:$1048576</definedName>
    <definedName name="_bdm.0bfb419883cb4b36826dab2bfdf29fd7.edm">[4]DCF!$1:$1048576</definedName>
    <definedName name="_bdm.0C60A6498314461E91091A5BC4B2CC02.edm">'[6]ghdx_gxdx output NEW'!$A:$IV</definedName>
    <definedName name="_bdm.0d13198c568342d1bfddc65de125a842.edm">'[4]M&amp;A Comps'!$1:$1048576</definedName>
    <definedName name="_bdm.0d3c0384f46845d49626641f4044ba2d.edm">[7]IS!$1:$1048576</definedName>
    <definedName name="_bdm.0da3f46c7de146b598f9c074ef7cfc33.edm">[5]FF!$1:$1048576</definedName>
    <definedName name="_bdm.0eb9bfa0140945f1bbb693e439a697a9.edm">[4]DCF!$1:$1048576</definedName>
    <definedName name="_bdm.0ed65bae934742c59e0407895da36f8b.edm">[5]FF!$1:$1048576</definedName>
    <definedName name="_bdm.0f17cba32be64ef29b27fc1162234c18.edm">'[4]Strat. Alt.'!$1:$1048576</definedName>
    <definedName name="_bdm.0f4ea587d40948f59c1bc31c3573b963.edm">[2]AVP!$1:$1048576</definedName>
    <definedName name="_bdm.0FE355E66A5E41AC8F880A3AA51226B8.edm">'[9]SP Comps'!$A:$IV</definedName>
    <definedName name="_bdm.0fe9c490c9134e2ba6a6e35f5ed6aa57.edm">'[7]LBO Summary'!$1:$1048576</definedName>
    <definedName name="_bdm.1036a40be0a24a779dd008958eaac621.edm">'[4]MP Charts 3.0'!$1:$1048576</definedName>
    <definedName name="_bdm.1080a96a06e340e1a3cd6799139b7ac5.edm">'[7]LBO Summary'!$1:$1048576</definedName>
    <definedName name="_bdm.10A1BA92E6AF42689069FA0C225AE53E.edm">[10]Charts!$A:$IV</definedName>
    <definedName name="_bdm.115087044f204ca8ac825c0da8260cd6.edm">'[7]LBO Summary'!$1:$1048576</definedName>
    <definedName name="_bdm.12fbfc733a914c22a3982519f6484a19.edm">[5]FF!$1:$1048576</definedName>
    <definedName name="_bdm.132db457ce734dd0a95cac7dbcbb5842.edm">'[4]M&amp;A Comps'!$1:$1048576</definedName>
    <definedName name="_bdm.13AC5C95A4324304BFB4E0F0B43DBAA6.edm">[10]Charts!$IV$1</definedName>
    <definedName name="_bdm.13C499D78DB94018ADBEE150800E43E7.edm">[3]Output!$A:$IV</definedName>
    <definedName name="_bdm.13d164acd1db4e8d88392622dcf632cc.edm">'[4]Strat. Alt.'!$1:$1048576</definedName>
    <definedName name="_bdm.1482261739544e0ebafb9c57748cfd30.edm">'[4]Summary P.L'!$1:$1048576</definedName>
    <definedName name="_bdm.14D7BCE1F69F4CDF9FEF991C2D52E9CC.edm">[3]Output!$IU$1</definedName>
    <definedName name="_bdm.14e4bcdd57d54c80bbe3d963be194efd.edm">[7]IS!$1:$1048576</definedName>
    <definedName name="_bdm.14ecc3ae66854afeb6431016d9b9b428.edm">'[4]Strat. Alt.'!$1:$1048576</definedName>
    <definedName name="_bdm.1643573ee75a44758d7f5fce13499833.edm">[4]AVP!$1:$1048576</definedName>
    <definedName name="_bdm.167ce278d65c465f83eed460db06427e.edm">#REF!</definedName>
    <definedName name="_bdm.16b3d750548d47f385dd98bb651bf8f9.edm">'[4]Comps.2'!$1:$1048576</definedName>
    <definedName name="_bdm.1799eba6c5934eedb89c0f9dc8f0f44b.edm">'[7]LBO Summary'!$1:$1048576</definedName>
    <definedName name="_bdm.179be4d172a147beac1973107cb1ff0d.edm">[4]AVP!$1:$1048576</definedName>
    <definedName name="_bdm.17bb2f78c8094a45bbe75d79fbf86024.edm">'[4]M&amp;A Comps'!$1:$1048576</definedName>
    <definedName name="_bdm.17f3375756dd455ebefd4b0d0f33bcfb.edm">'[7]LBO Summary'!$1:$1048576</definedName>
    <definedName name="_bdm.17fb44c2c38b41f2a2ee2fa86c9eb392.edm">'[4]M&amp;A Comps'!$1:$1048576</definedName>
    <definedName name="_bdm.182543540a1345738fdfb09b99f51e2c.edm">'[4]Strat. Alt.'!$1:$1048576</definedName>
    <definedName name="_bdm.18e038f65b164bd88a4f66822510568a.edm">'[4]MP Charts 3.0'!$1:$1048576</definedName>
    <definedName name="_bdm.18ea75df67e744de894c757cd64a0ec1.edm">[5]LBO!$1:$1048576</definedName>
    <definedName name="_bdm.191075a53eeb445880dff04e5f5c0e2c.edm">[4]DCF!$1:$1048576</definedName>
    <definedName name="_bdm.1914ea04b2e841978aba89f098349c0a.edm">'[7]LBO Summary'!$1:$1048576</definedName>
    <definedName name="_bdm.19188c514923423784ba597b24d01e96.edm">[5]FF!$1:$1048576</definedName>
    <definedName name="_bdm.191d0ff2448544919766f85de86cda41.edm">'[7]LBO Summary'!$1:$1048576</definedName>
    <definedName name="_bdm.1a2c4a6762114740b5eae1e655037644.edm">'[4]MP Charts 3.0'!$1:$1048576</definedName>
    <definedName name="_bdm.1a6af96774c04a18a7b4bc4d3d97efc7.edm">'[2]Precedent Transactions'!$1:$1048576</definedName>
    <definedName name="_bdm.1A7ADA0C0F2043E58B02A03CB3370667.edm">[10]Charts!$A:$IV</definedName>
    <definedName name="_bdm.1a7ea744b8854c2195abe82a800bb2d4.edm">'[4]MP Charts 3.0'!$1:$1048576</definedName>
    <definedName name="_bdm.1adf92271fc3435a88e7da0bad2aabef.edm">'[4]MP Charts 3.0'!$1:$1048576</definedName>
    <definedName name="_bdm.1af0f1e379214220ad1540cecf6a098f.edm">'[4]Strat. Alt.'!$1:$1048576</definedName>
    <definedName name="_bdm.1affd768f23e40d0a176096c7c4a73b5.edm">'[7]LBO Summary'!$1:$1048576</definedName>
    <definedName name="_bdm.1b29071fd747412c95c1c3d4b5d7b256.edm">'[7]LBO Summary'!$1:$1048576</definedName>
    <definedName name="_bdm.1bbeac187709405895a0b50328526470.edm">[2]AVP!$1:$1048576</definedName>
    <definedName name="_bdm.1bc830d27959480a89dfe8d26c8a8858.edm">'[4]Strat. Alt.'!$1:$1048576</definedName>
    <definedName name="_bdm.1bebc23e423d4270addc09cfd6bcf726.edm">'[4]Strat. Alt.'!$1:$1048576</definedName>
    <definedName name="_bdm.1cb0580557094e709604b04cad352a1b.edm">[2]AVP!$1:$1048576</definedName>
    <definedName name="_bdm.1cea2b5000864ccb907adab96258d52b.edm">'[2]Football Field'!$1:$1048576</definedName>
    <definedName name="_bdm.1cedd3118d9c4aa7a46853167c578a1b.edm">'[7]LBO Summary'!$1:$1048576</definedName>
    <definedName name="_bdm.1d3ecbaf69f9434cb9a00dfef02fd7fa.edm">'[7]LBO Summary'!$1:$1048576</definedName>
    <definedName name="_bdm.1d512c7fb71c4cecb91222660fd5a992.edm">[5]FF!$1:$1048576</definedName>
    <definedName name="_bdm.1d6e6676ded84f158e84a6ab0e9c0107.edm">[11]WACC!$1:$1048576</definedName>
    <definedName name="_bdm.1d9a585c691b4a9c8994a16141cfb89f.edm">'[7]LBO Summary'!$1:$1048576</definedName>
    <definedName name="_bdm.1E934D3EDA4C4C40BD934193D610D416.edm">[10]Charts!$A:$IV</definedName>
    <definedName name="_bdm.1EA825FE2D324E3E9F6749E9BA13E435.edm">[10]Charts!$A:$IV</definedName>
    <definedName name="_bdm.1ec1aee52b004f50b16a6fedef102066.edm">'[4]Strat. Alt.'!$1:$1048576</definedName>
    <definedName name="_bdm.1ef6f49f834f417cbaf6beb9a0922ad2.edm">'[7]LBO Summary'!$1:$1048576</definedName>
    <definedName name="_bdm.1f40e22b1cc849c5b6400d1b2e314a42.edm">'[7]LBO Summary'!$1:$1048576</definedName>
    <definedName name="_bdm.20106ac8a1e443b2b5d2b7855aedc34b.edm">'[4]M&amp;A Comps'!$1:$1048576</definedName>
    <definedName name="_bdm.20165b1e77c343cb8f6a4878d22f6421.edm">'[4]Football Field'!$1:$1048576</definedName>
    <definedName name="_bdm.203446f17e294250bc5676c75bfd8dfb.edm">'[7]LBO Summary'!$1:$1048576</definedName>
    <definedName name="_bdm.215CF8DF63814BD6844B1225209429D9.edm">'[9]SP Comps'!$A:$IV</definedName>
    <definedName name="_bdm.21bf03aea9cb4d35bcad3a01519a59d3.edm">'[4]MP Charts 3.0'!$1:$1048576</definedName>
    <definedName name="_bdm.21e55b8248a1461b83be5152c9499c3f.edm">'[4]Football Field'!$1:$1048576</definedName>
    <definedName name="_bdm.220701784cdf4c359b10cb85e9918938.edm">'[4]MP Charts 3.0'!$1:$1048576</definedName>
    <definedName name="_bdm.22443813188e4228aa7a583b907c37cb.edm">'[2]Precedent Transactions'!$1:$1048576</definedName>
    <definedName name="_bdm.2281244202ab4426a07edcdf18bbb6de.edm">'[2]Precedent Transactions'!$1:$1048576</definedName>
    <definedName name="_bdm.23b5bbbc2ee240ab8dbe8862f1479383.edm">'[4]Strat. Alt.'!$1:$1048576</definedName>
    <definedName name="_bdm.23E42FE1B3B44ACFB6C08474E2EF9C0D.edm">'[12]Balance Sheet'!$IV$1</definedName>
    <definedName name="_bdm.24754ea2d17c47ad94c654203fd55bf0.edm">[4]DCF!$1:$1048576</definedName>
    <definedName name="_bdm.247d00d897a842e6a807af0e7b15acec.edm">[4]DCF!$1:$1048576</definedName>
    <definedName name="_bdm.24a2c6d40ba64870b2b1e6298fd1946b.edm">'[7]LBO Summary'!$1:$1048576</definedName>
    <definedName name="_bdm.24fb96dee9744affa554bef964f2bbb4.edm">'[4]M&amp;A Comps'!$1:$1048576</definedName>
    <definedName name="_bdm.251c87c72d4848d8a277bcf2d965bcb1.edm">'[2]Football Field'!$1:$1048576</definedName>
    <definedName name="_bdm.2533f575cfa84b2599d205c9af62360a.edm">'[4]M&amp;A Comps'!$1:$1048576</definedName>
    <definedName name="_bdm.25c981e5878144dd8a8f6b186adcb9a1.edm">[4]WACC!$1:$1048576</definedName>
    <definedName name="_bdm.25D2D540FA4E4AA0B4F312FD20FF257B.edm">'[9]Spec. Pharma M&amp;A Precedents'!$A:$IV</definedName>
    <definedName name="_bdm.25EFBDD9DE484E10856DAA864366CB95.edm">'[6]ghdx_gxdx output NEW'!$A:$IV</definedName>
    <definedName name="_bdm.2634a3b0f03440d39288587e1b6ffb79.edm">'[7]LBO Summary'!$1:$1048576</definedName>
    <definedName name="_bdm.266f72e8e4bd4fd78ac781e3aaf465ea.edm">[5]FF!$1:$1048576</definedName>
    <definedName name="_bdm.2671cb9857f6482ca562c3fb72ffb659.edm">[5]FF!$1:$1048576</definedName>
    <definedName name="_bdm.26f42845b2984045986375d8aba694e9.edm">[4]WACC!$1:$1048576</definedName>
    <definedName name="_bdm.2738b34d57864cdba1933d83732a75e6.edm">'[5]Formatted P&amp;L'!$1:$1048576</definedName>
    <definedName name="_bdm.27757bab60ab4b2cb5926265f2f5d550.edm">'[4]Strat. Alt.'!$1:$1048576</definedName>
    <definedName name="_bdm.27c0980be36d4b95a9b7cd32769f6071.edm">'[4]Strat. Alt.'!$1:$1048576</definedName>
    <definedName name="_bdm.27f62360bb3a42e1b15420b610275fe0.edm">'[7]LBO Summary'!$1:$1048576</definedName>
    <definedName name="_bdm.284E5B032CE04845BC7B72A555A0C99A.edm">[10]Charts!$A:$IV</definedName>
    <definedName name="_bdm.294c94d50857484eb20fa2c118f89f53.edm">'[4]Strat. Alt.'!$1:$1048576</definedName>
    <definedName name="_bdm.2a20da70461b4957836ac05cf6a98246.edm">'[4]M&amp;A Comps'!$1:$1048576</definedName>
    <definedName name="_bdm.2a2725f7b0154ad89d3c4a84eccb2376.edm">'[4]M&amp;A Comps (2)'!$1:$1048576</definedName>
    <definedName name="_bdm.2A8C118BF6DF4B7AA154A1AB2F27EBFA.edm">[10]Charts!$IV$1</definedName>
    <definedName name="_bdm.2a9587d2a6284210a70c99e58e16606f.edm">'[4]Strat. Alt.'!$1:$1048576</definedName>
    <definedName name="_bdm.2aaa32fc81b94780b2a31de7a256e7e6.edm">[5]Industry!$1:$1048576</definedName>
    <definedName name="_bdm.2ae7f6502f7b4ab8a0836b7320a5abd2.edm">'[4]Strat. Alt.'!$1:$1048576</definedName>
    <definedName name="_bdm.2aefbbdf98e04a898a7715c07c2548ce.edm">'[7]LBO Summary'!$1:$1048576</definedName>
    <definedName name="_bdm.2B86D9370718499EB4F04EEDE3B26AA0.edm">'[6]ghdx_gxdx output OLD'!$A:$IV</definedName>
    <definedName name="_bdm.2bdb14d6d9a947b29d4396d3574d0f5d.edm">'[4]Comps.2'!$1:$1048576</definedName>
    <definedName name="_bdm.2e06b54f064d4d83b4f9a12d114a9379.edm">[2]AVP!$1:$1048576</definedName>
    <definedName name="_bdm.2E29C3DFECA4450AAAB910FDA7BCAC99.edm">'[12]Revenue Break-up Pie charts'!$IV$1</definedName>
    <definedName name="_bdm.2e39a9f3b639422892801cf6e5655022.edm">[5]DCF_2015!$1:$1048576</definedName>
    <definedName name="_bdm.2e7957d4fc434333b5b513c19413f3f7.edm">[5]FF!$1:$1048576</definedName>
    <definedName name="_bdm.2ec2483b1d7b4d3390aaf60933290c96.edm">'[7]Fin Profile'!$1:$1048576</definedName>
    <definedName name="_bdm.2f3dfefefc8d4f52839d34a9750b1144.edm">'[4]M&amp;A Comps'!$1:$1048576</definedName>
    <definedName name="_bdm.2f5d5813e7fa4a5aa2310e455b2e231f.edm">'[4]MP Charts 3.0'!$1:$1048576</definedName>
    <definedName name="_bdm.2fa8d89374e14df59be693b865fb48f4.edm">'[7]LBO Summary'!$1:$1048576</definedName>
    <definedName name="_bdm.2fbc6d1de74949f08c9666e3adf5f070.edm">'[4]Football Field'!$1:$1048576</definedName>
    <definedName name="_bdm.2fcbad25ff4d43acbda37cc766007cf3.edm">'[4]Football Field'!$1:$1048576</definedName>
    <definedName name="_bdm.2fe65f3ed0a042d5a48337d1d18bbb6c.edm">'[4]Strat. Alt.'!$1:$1048576</definedName>
    <definedName name="_bdm.30171265509745e58f0287ca04690fcd.edm">'[7]LBO Summary'!$1:$1048576</definedName>
    <definedName name="_bdm.3062933eaf7d46acbeb4e6716dc8815e.edm">'[4]M&amp;A Comps'!$1:$1048576</definedName>
    <definedName name="_bdm.306dda59fcfc4e6daee1e892a49b98e4.edm">'[4]MP Charts 3.0'!$1:$1048576</definedName>
    <definedName name="_bdm.3150739116b74f11962e2928cf8596f1.edm">'[4]MP Charts 3.0'!$1:$1048576</definedName>
    <definedName name="_bdm.31542197e6b549f29ccc2ba101e9a062.edm">'[7]LBO Summary'!$1:$1048576</definedName>
    <definedName name="_bdm.316f4ac111e54fc59d706d646094a46a.edm">'[4]Valuation Charts'!$1:$1048576</definedName>
    <definedName name="_bdm.3292063b83864ccb9fe5f983d34b5d03.edm">'[4]Strat. Alt.'!$1:$1048576</definedName>
    <definedName name="_bdm.3311e15d738d4140bfd56e946e5ed37a.edm">[5]LBO!$1:$1048576</definedName>
    <definedName name="_bdm.33bd516d103a4fc58e0a1bd3f9dad015.edm">'[4]Strat. Alt.'!$1:$1048576</definedName>
    <definedName name="_bdm.3408e6cad3134bca8314939b33f8f940.edm">'[7]LBO Summary'!$1:$1048576</definedName>
    <definedName name="_bdm.341a330bcd114c5da6ed4ad0dddde74f.edm">'[7]LBO Summary'!$1:$1048576</definedName>
    <definedName name="_bdm.34437a9c7792440eb972949b5cd8567e.edm">'[4]Strat. Alt.'!$1:$1048576</definedName>
    <definedName name="_bdm.3461d74b804445168234086ff3bd3cab.edm">[4]DCF!$1:$1048576</definedName>
    <definedName name="_bdm.34a3161745514bc5891864eb534399b2.edm">'[4]MP Charts 3.0'!$1:$1048576</definedName>
    <definedName name="_bdm.34f9f0d61b764776954b09a210f3b412.edm">'[4]Strat. Alt.'!$1:$1048576</definedName>
    <definedName name="_bdm.35f4e4b06f98400fb2a5841d5a318183.edm">'[7]LBO Summary'!$1:$1048576</definedName>
    <definedName name="_bdm.36aca81fd81041c2bf903f72318333d3.edm">'[2]Football Field'!$1:$1048576</definedName>
    <definedName name="_bdm.36e4b7f5f3f8422d82ca8f6f6c84af6f.edm">[5]FF!$1:$1048576</definedName>
    <definedName name="_bdm.37098af8ceff44eba1786c6339b3890f.edm">'[4]Strat. Alt.'!$1:$1048576</definedName>
    <definedName name="_bdm.370bb5d5d69f4e5fb72a78b983442988.edm">'[7]LBO Summary'!$1:$1048576</definedName>
    <definedName name="_bdm.37a27c3eeb9540e9ba97e6a35612a4ad.edm">'[7]LBO Summary'!$1:$1048576</definedName>
    <definedName name="_bdm.37D2D8C1D7FD48ADB5E0E715BB30EC1F.edm">'[8]financial charts'!$A:$IV</definedName>
    <definedName name="_bdm.38497ec0cfcc476ea2f66a81b537ecb2.edm">'[4]M&amp;A Comps'!$1:$1048576</definedName>
    <definedName name="_bdm.3861ff9c8bb64354a0d80186b3924392.edm">'[2]Precedent Transactions'!$1:$1048576</definedName>
    <definedName name="_bdm.386feb37df644ec4b539c79a72adc532.edm">'[4]M&amp;A Comps'!$1:$1048576</definedName>
    <definedName name="_bdm.38e934ba7b2e4fbdb7cf8f76d1e36fc6.edm">'[4]Comps.2'!$1:$1048576</definedName>
    <definedName name="_bdm.38f020470af34e55af9e3e5ec868d756.edm">[4]AVP!$1:$1048576</definedName>
    <definedName name="_bdm.3902a26f858c480497747a6ec2136648.edm">[13]AVP!$1:$1048576</definedName>
    <definedName name="_bdm.3a2dc83c4586413885499941a22959b5.edm">[5]FF!$1:$1048576</definedName>
    <definedName name="_bdm.3a3d0e5d13ce416eb2cda25c6cadf807.edm">'[2]Precedent Transactions'!$1:$1048576</definedName>
    <definedName name="_bdm.3a4cb8e4debc440682b698a346844bce.edm">'[4]MP Charts 3.0'!$1:$1048576</definedName>
    <definedName name="_bdm.3a6812739c594ef59bcb7a40765b5ce6.edm">'[4]Strat. Alt.'!$1:$1048576</definedName>
    <definedName name="_bdm.3aebbc31dc9c426ba56248a7599e883b.edm">'[4]M&amp;A Comps'!$1:$1048576</definedName>
    <definedName name="_bdm.3b87f308d08c45d8936a154d3e418a47.edm">'[2]Precedent Transactions'!$1:$1048576</definedName>
    <definedName name="_bdm.3b93b9fbed7c4327b4b70d30782c9e4c.edm">'[4]Valuation Charts'!$1:$1048576</definedName>
    <definedName name="_bdm.3bbff3ee2f1b4a91927b532b484e2109.edm">'[4]Strat. Alt.'!$1:$1048576</definedName>
    <definedName name="_bdm.3c00b339a64541dc9865872f77f7aa4f.edm">'[2]Precedent Transactions'!$1:$1048576</definedName>
    <definedName name="_bdm.3c5d43f1986a4187885c5731e0796ab3.edm">[5]FF!$1:$1048576</definedName>
    <definedName name="_bdm.3c89c841aa9a43db9527ed1ee5fa216a.edm">'[7]LBO Summary'!$1:$1048576</definedName>
    <definedName name="_bdm.3cbf5f4d340240069066b17c29c0bb80.edm">'[7]LBO Summary'!$1:$1048576</definedName>
    <definedName name="_bdm.3d24b561450c4282a964544418e940e8.edm">'[2]Precedent Transactions'!$1:$1048576</definedName>
    <definedName name="_bdm.3d8b6f744c2345ceb9b06d93b93830c1.edm">'[4]Strat. Alt.'!$1:$1048576</definedName>
    <definedName name="_bdm.3db3104416b048a4b177acfa925c37bf.edm">'[13]M&amp;A Comps'!$1:$1048576</definedName>
    <definedName name="_bdm.3dce522a0a8a441aadf3d000eb83780e.edm">'[7]LBO Summary'!$1:$1048576</definedName>
    <definedName name="_bdm.3e48b527414b4e40a8cd753840413118.edm">'[4]MP Charts 3.0'!$1:$1048576</definedName>
    <definedName name="_bdm.3e51aaf1137f48288841bf411bafc4a4.edm">'[4]M&amp;A Comps'!$1:$1048576</definedName>
    <definedName name="_bdm.3E5AD3C7383E4B85B490E0100FEE3F1A.edm">[3]Output!$A:$IV</definedName>
    <definedName name="_bdm.3ed6202f553d4d389f2904b5d22698f7.edm">'[7]Fin Profile'!$1:$1048576</definedName>
    <definedName name="_bdm.3ee9463967d64d71870593006ceaec5e.edm">[5]FF!$1:$1048576</definedName>
    <definedName name="_bdm.3ef0707eb33f45e581d0adc7bdb06723.edm">'[4]M&amp;A Comps'!$1:$1048576</definedName>
    <definedName name="_bdm.3faaf6ea95c3489781259a57fbaea8c6.edm">'[4]M&amp;A Comps'!$1:$1048576</definedName>
    <definedName name="_bdm.400a7a19150a45948aefc6f78cf8cdab.edm">'[2]Precedent Transactions'!$1:$1048576</definedName>
    <definedName name="_bdm.40ce215af5204d15aac01a4fa1f2d240.edm">'[4]Valuation Charts'!$1:$1048576</definedName>
    <definedName name="_bdm.412B6BE675434F629678B2ECDFC54009.edm">[3]Output!$A:$IV</definedName>
    <definedName name="_bdm.416f8e96a7384b80a350146974fab74d.edm">'[2]Precedent Transactions'!$1:$1048576</definedName>
    <definedName name="_bdm.423C0B67E463443AB159C006FAF82AD5.edm">'[8]financial charts'!$A:$IV</definedName>
    <definedName name="_bdm.4266ac4ed33e40bfae6893c7a99215f9.edm">'[4]M&amp;A Comps'!$1:$1048576</definedName>
    <definedName name="_bdm.42a05471e35344fc8baa0b835224bde7.edm">[14]DCF!$1:$1048576</definedName>
    <definedName name="_bdm.42c5ae5bbff74ac6beffa3d309fb4dd9.edm">'[2]Precedent Transactions'!$1:$1048576</definedName>
    <definedName name="_bdm.42d04536bece426bbbbbfdbde46e26d7.edm">[4]DCF!$1:$1048576</definedName>
    <definedName name="_bdm.42EB3C72B23A4EE588C59E96DD7544E5.edm">[10]Charts!$A:$IV</definedName>
    <definedName name="_bdm.42EF92714CD04538863029F46FA7BA71.edm">'[9]Spec. Pharma M&amp;A Precedents'!$A:$IV</definedName>
    <definedName name="_bdm.439ceb15eb2c450f92fc7934ce11b09b.edm">[4]DCF!$1:$1048576</definedName>
    <definedName name="_bdm.43ef9f9fb7844e3cb68eab728f2e7ade.edm">'[7]LBO Summary'!$1:$1048576</definedName>
    <definedName name="_bdm.44b6644854eb4033936c05e437ae4c87.edm">'[4]Comps.2'!$1:$1048576</definedName>
    <definedName name="_bdm.452f3b959adb40029cea0c984fb522fa.edm">'[2]Precedent Transactions'!$1:$1048576</definedName>
    <definedName name="_bdm.4597b8ab0801481cb5a41875df1bccd5.edm">'[4]MP Charts 3.0'!$1:$1048576</definedName>
    <definedName name="_bdm.459ff2044fbd42699203629b4908f66d.edm">'[4]Strat. Alt.'!$1:$1048576</definedName>
    <definedName name="_bdm.46e936515f8340e493fcc4e21d698af7.edm">'[7]LBO Summary'!$1:$1048576</definedName>
    <definedName name="_bdm.47b28b7b0d7e4166a2575c9dc128f08c.edm">[5]FF!$1:$1048576</definedName>
    <definedName name="_bdm.47cb070785cf45dd996b8761469a4974.edm">'[2]Precedent Transactions'!$1:$1048576</definedName>
    <definedName name="_bdm.47cbdc88074447e4a7f7fdfb70867577.edm">[2]Financials!$1:$1048576</definedName>
    <definedName name="_bdm.4814626800AD480EA9CE0A9D402F9389.edm">'[12]Balance Sheet'!$A:$IV</definedName>
    <definedName name="_bdm.48360629b9ad4cd690d9a42cefa40add.edm">'[2]Precedent Transactions'!$1:$1048576</definedName>
    <definedName name="_bdm.4854798e258a4a7daad949caa4add42f.edm">'[4]M&amp;A Comps (2)'!$1:$1048576</definedName>
    <definedName name="_bdm.485622F5417D4129A456EAEA0DFFB358.edm">[3]Output!$A:$IV</definedName>
    <definedName name="_bdm.48b36c69f26f43949a534f60e0f855ab.edm">[5]FF!$1:$1048576</definedName>
    <definedName name="_bdm.48ed0d9461004979afb7a7ddb7fa5fdf.edm">'[4]Comps.2'!$1:$1048576</definedName>
    <definedName name="_bdm.48fe52fb70b8429ca81fb7f1379ec093.edm">[4]WACC!$1:$1048576</definedName>
    <definedName name="_bdm.492a68f081bf4f898693795d36dd0cc8.edm">'[4]Strat. Alt.'!$1:$1048576</definedName>
    <definedName name="_bdm.4964fb72c3f14eb4bd4e199c8b800d24.edm">'[7]Fin Profile'!$1:$1048576</definedName>
    <definedName name="_bdm.4a453a97d42e4f5cb9602896fe35df07.edm">'[2]Precedent Transactions'!$1:$1048576</definedName>
    <definedName name="_bdm.4a4d031c76174c2cb668fa6fc0717d5b.edm">'[7]LBO Summary'!$1:$1048576</definedName>
    <definedName name="_bdm.4a50b466e69f4a028bca57abb2f5ac8d.edm">[13]AVP!$1:$1048576</definedName>
    <definedName name="_bdm.4A73750E195A4DCA901E7ECA5D3D2955.edm">[3]Output!$A:$IV</definedName>
    <definedName name="_bdm.4b21bec6eda4441d82be3369191782ad.edm">'[7]LBO Summary'!$1:$1048576</definedName>
    <definedName name="_bdm.4b54c94ba2524784b2d6abbfc5f74b9b.edm">'[4]MP Charts 3.0'!$1:$1048576</definedName>
    <definedName name="_bdm.4bd710f3f9c346ff862c6cbc50e17e1d.edm">'[7]LBO Summary'!$1:$1048576</definedName>
    <definedName name="_bdm.4bde3a5da87a4453927115e55c85f7fb.edm">'[4]Comps.2'!$1:$1048576</definedName>
    <definedName name="_bdm.4c97a4c565924c97a1c008bbef4c7b61.edm">'[5]Formatted P&amp;L'!$1:$1048576</definedName>
    <definedName name="_bdm.4d5a6ba760ff414092a8da440dc315c4.edm">'[4]MP Charts 3.0'!$1:$1048576</definedName>
    <definedName name="_bdm.4D6A45C451CD4164B803A2E47ED4480E.edm">[8]GXDX!$A:$IV</definedName>
    <definedName name="_bdm.4df5610f206149d49f7b855fbdf69523.edm">'[4]Comps.2'!$1:$1048576</definedName>
    <definedName name="_bdm.4E2765D9F9824A61BA9136A67EF5B692.edm">[10]Charts!$IV$1</definedName>
    <definedName name="_bdm.4ead86a95e2f4540b8415b946167a2cf.edm">'[4]Strat. Alt.'!$1:$1048576</definedName>
    <definedName name="_bdm.4f2a6ef15ff04d878f915ea01bfadf8d.edm">'[7]LBO Summary'!$1:$1048576</definedName>
    <definedName name="_bdm.4f59e8f023024ddf9fcb7571f8d2cc90.edm">'[7]LBO Summary'!$1:$1048576</definedName>
    <definedName name="_bdm.4fb25c863d7845c39e2383db217f6f71.edm">'[2]Precedent Transactions'!$1:$1048576</definedName>
    <definedName name="_bdm.4fc5286e051745b38874cdab3400dab1.edm">'[4]MP Charts 3.0'!$1:$1048576</definedName>
    <definedName name="_bdm.505f369eb9364698a33804c2c9e68fc3.edm">[4]DCF!$1:$1048576</definedName>
    <definedName name="_bdm.50b68aca25034f61876720fb70ab333c.edm">'[15]Rev Breakdown'!$1:$1048576</definedName>
    <definedName name="_bdm.5198f623e4a2441888e52cb13ec61b11.edm">[5]FF!$1:$1048576</definedName>
    <definedName name="_bdm.51cd9b3c9b474d9c80f32e1659557cd8.edm">[4]WACC!$1:$1048576</definedName>
    <definedName name="_bdm.51db7fa75b5649e28a17010f75adee41.edm">'[4]M&amp;A Comps'!$1:$1048576</definedName>
    <definedName name="_bdm.524FB2AF19944949B0D5B945E0A0B59F.edm">[8]GXDX!$A:$IV</definedName>
    <definedName name="_bdm.53a6096ecc4b4076b18b1a51da671c82.edm">'[4]MP Charts 3.0'!$1:$1048576</definedName>
    <definedName name="_bdm.53d823ce1ea04145b5558bc9daa209d8.edm">'[4]MP Charts 3.0'!$1:$1048576</definedName>
    <definedName name="_bdm.5412B732995246B8B010B9738FB5B29C.edm">'[12]Revenue Break-up Pie charts'!$IV$1</definedName>
    <definedName name="_bdm.54a1754d98894f16ab5019ecf34a0870.edm">'[13]M&amp;A Comps'!$1:$1048576</definedName>
    <definedName name="_bdm.54e1f2857f4144aabca3e0448d0b768a.edm">'[7]LBO Summary'!$1:$1048576</definedName>
    <definedName name="_bdm.5531eb003f4c42c3b963bbe2c84389fa.edm">'[4]Strat. Alt.'!$1:$1048576</definedName>
    <definedName name="_bdm.55370942BC62484096E0E6848C97E738.edm">'[6]ghdx_gxdx output NEW'!$A:$IV</definedName>
    <definedName name="_bdm.55B80C10E452485193F0A686D024F99C.edm">[8]GXDX_IPO!$A:$IV</definedName>
    <definedName name="_bdm.55db062ca1754df1ba6f4ad3df1dd97e.edm">[4]DCF!$1:$1048576</definedName>
    <definedName name="_bdm.564d2b1a2aee4e0f99cebfc6eb795dd9.edm">[5]FF!$1:$1048576</definedName>
    <definedName name="_bdm.56591cc2acab4950ad6daafe0efa742a.edm">[5]FF!$1:$1048576</definedName>
    <definedName name="_bdm.5663f8cfa27541c79d4b8e72ee818c79.edm">[4]WACC!$1:$1048576</definedName>
    <definedName name="_bdm.56d3ad0fc9934bed965eb0e1e8a9ce7a.edm">[4]DCF!$1:$1048576</definedName>
    <definedName name="_bdm.56da64a8d3784200b4571b0f0a25122a.edm">'[4]Strat. Alt.'!$1:$1048576</definedName>
    <definedName name="_bdm.5705b09582364a92b8c633bda8d224a2.edm">'[4]Comps.2'!$1:$1048576</definedName>
    <definedName name="_bdm.57d538ae2d144758b0f0b368ab80eee7.edm">'[4]Comps.2'!$1:$1048576</definedName>
    <definedName name="_bdm.58173b02b6ba42f08d51c7db3d5f7c34.edm">'[4]Strat. Alt.'!$1:$1048576</definedName>
    <definedName name="_bdm.594551a64e984a37be8abf4791e12961.edm">'[4]Strat. Alt.'!$1:$1048576</definedName>
    <definedName name="_bdm.5974703dbdc44e31b089d478941088ec.edm">'[7]Fin Profile'!$1:$1048576</definedName>
    <definedName name="_bdm.59dd5d3ce32b443eaddb9050102f39fc.edm">[4]DCF!$1:$1048576</definedName>
    <definedName name="_bdm.5a6260cdaad2496eaea43c670582135e.edm">[7]IS!$1:$1048576</definedName>
    <definedName name="_bdm.5CBA3BE06AD54A75BF69ACC8F52587C5.edm">'[8]financial charts'!$A:$IV</definedName>
    <definedName name="_bdm.5CBD02BA6922432CB090B5568AC83DDA.edm">'[12]Revenue Break-up Pie charts'!$A:$IV</definedName>
    <definedName name="_bdm.5ce688cd16f4413c9b8dcd95cabc1e14.edm">'[2]Precedent Transactions'!$1:$1048576</definedName>
    <definedName name="_bdm.5d034d987bea4c08be2b91da3df5ad35.edm">'[13]M&amp;A Comps'!$1:$1048576</definedName>
    <definedName name="_bdm.5D040D112293467395E98D895DF873B5.edm">[10]Charts!$A:$IV</definedName>
    <definedName name="_bdm.5d22377b570e4607ab61292d87ec44b7.edm">'[4]MP Charts 3.0'!$1:$1048576</definedName>
    <definedName name="_bdm.5d2a941aa21f4b0e84fbd5ea93e78534.edm">'[4]Comps.2'!$1:$1048576</definedName>
    <definedName name="_bdm.5D5BF56264AC4B94B0C6A90E05CAEC26.edm">[8]range!$A:$IV</definedName>
    <definedName name="_bdm.5dda29d1d53c415f9122fb241695da60.edm">'[7]Fin Profile'!$1:$1048576</definedName>
    <definedName name="_bdm.5DEBF4CF23DF4234BFBDF1EB55A553FA.edm">'[12]Revenue Break-up Pie charts'!$A:$IV</definedName>
    <definedName name="_bdm.5df8421436964130a5c0eb0c5cfa2704.edm">[4]AVP!$1:$1048576</definedName>
    <definedName name="_bdm.5e0e2618d3914746811d2632c47d71fc.edm">'[4]Football Field'!$1:$1048576</definedName>
    <definedName name="_bdm.5E3FF3B70DF243A3811021092FFDF3B8.edm">'[12]Revenue Break-up Pie charts'!$IV$1</definedName>
    <definedName name="_bdm.5e691e155ad3406a971263aa31e66431.edm">[5]FF!$1:$1048576</definedName>
    <definedName name="_bdm.5eb775cbb7c345c2a4dc6b4d053b27d3.edm">[4]Charts!$1:$1048576</definedName>
    <definedName name="_bdm.5f1cc9cb99f24a98ad5e201c80b01bdd.edm">'[4]Strat. Alt.'!$1:$1048576</definedName>
    <definedName name="_bdm.5fa3d0bb4c624503a19825f4d744a741.edm">[5]FF!$1:$1048576</definedName>
    <definedName name="_bdm.5fd9b19797b3481eafeb979c27c060c5.edm">[5]DCF_2015!$1:$1048576</definedName>
    <definedName name="_bdm.602a23b72c624f8eab959c85b053f1c3.edm">[4]WACC!$1:$1048576</definedName>
    <definedName name="_bdm.606853534d3347608ef627517fef511e.edm">'[7]LBO Summary'!$1:$1048576</definedName>
    <definedName name="_bdm.60B628D9CD1E452CB5D523930B7A1128.edm">'[6]ghdx_gxdx output OLD'!$A:$IV</definedName>
    <definedName name="_bdm.60f214d16dda4a999f064e415edba6bb.edm">[5]LBO!$1:$1048576</definedName>
    <definedName name="_bdm.60f6036dc7d741f4a7b30cf136372ef4.edm">[4]AVP!$1:$1048576</definedName>
    <definedName name="_bdm.612f9e03329c4d2d859badbbeaa06b1e.edm">[4]DCF!$1:$1048576</definedName>
    <definedName name="_bdm.61321ebd44954b2281098291c93e0057.edm">'[2]Precedent Transactions'!$1:$1048576</definedName>
    <definedName name="_bdm.615347516bcc460a887fde77d4d622f1.edm">[4]DCF!$1:$1048576</definedName>
    <definedName name="_bdm.619e10d0d7254c659f6d0eb647e84638.edm">'[7]LBO Summary'!$1:$1048576</definedName>
    <definedName name="_bdm.625087a1dd1d49899399e9a8ee6c65a7.edm">[4]DCF!$1:$1048576</definedName>
    <definedName name="_bdm.62738641D8E04023AD1E6F293388953D.edm">'[8]financial charts'!$A:$IV</definedName>
    <definedName name="_bdm.63B8B55DCF1C49248D4B07DBF84658DB.edm">'[9]SP Comps'!$A:$IV</definedName>
    <definedName name="_bdm.645fedbb85be47919e263f8e90f7027d.edm">'[4]Strat. Alt.'!$1:$1048576</definedName>
    <definedName name="_bdm.6483443ab221465b95f8f5bc4284fc83.edm">'[5]Revenue Chart'!$1:$1048576</definedName>
    <definedName name="_bdm.64b0782b13fa449a8896ba30d62a5f3f.edm">[5]FF!$1:$1048576</definedName>
    <definedName name="_bdm.64EC6A2E1CAC42DD894BCB24723720D7.edm">'[16]Index Chart'!$A:$IV</definedName>
    <definedName name="_bdm.65b71dc6c6af423a9ecc188adb996f0b.edm">'[4]Comps.2'!$1:$1048576</definedName>
    <definedName name="_bdm.6606ed598e7b4fdcb50559527b211951.edm">'[7]LBO Summary'!$1:$1048576</definedName>
    <definedName name="_bdm.6680814393304BC9843681CC5AEA9DD0.edm">'[9]SP Comps'!$A:$IV</definedName>
    <definedName name="_bdm.66aa651378b648b89d1915e8cdc70c8e.edm">[4]AVP!$1:$1048576</definedName>
    <definedName name="_bdm.66b034afdc534b00b7b6cf001c1271a5.edm">'[2]Precedent Transactions'!$1:$1048576</definedName>
    <definedName name="_bdm.66CF8A1C68BB4BE286D851B56F8BFBFF.edm">'[12]Revenue Break-up Pie charts'!$A:$IV</definedName>
    <definedName name="_bdm.66f7fb84a4ea4c57b0a8d52f7517c5c7.edm">'[4]MP Charts 3.0'!$1:$1048576</definedName>
    <definedName name="_bdm.671e428952854def9cdd26299c9739d1.edm">'[4]Comps.2'!$1:$1048576</definedName>
    <definedName name="_bdm.676110b8843448bcac5374d162f15903.edm">'[4]Strat. Alt.'!$1:$1048576</definedName>
    <definedName name="_bdm.677F1958984D40F4BF564DCD95DE89A1.edm">[8]GXDX_IPO!$A:$IV</definedName>
    <definedName name="_bdm.67e50299103e44499301b3d2d6c34268.edm">'[4]Valuation Charts'!$1:$1048576</definedName>
    <definedName name="_bdm.682dc14126014427be976939c6a33763.edm">[5]FF!$1:$1048576</definedName>
    <definedName name="_bdm.693118b79f2d430499b5a4efbf9d9c55.edm">'[4]Comps.2'!$1:$1048576</definedName>
    <definedName name="_bdm.69968d3343c74843b5820152f97e7401.edm">'[4]Valuation Charts'!$1:$1048576</definedName>
    <definedName name="_bdm.69e8dc9d3e424fcc847ab21926a5fc4e.edm">'[7]LBO Summary'!$1:$1048576</definedName>
    <definedName name="_bdm.6A2CFD1E89F44BE1A9A670E2BA637D1A.edm">[8]GXDX_IPO!$A:$IV</definedName>
    <definedName name="_bdm.6a670ccc932d4d3abab67d832c51aba6.edm">'[4]Strat. Alt.'!$1:$1048576</definedName>
    <definedName name="_bdm.6ab713932d9347aba6fe08cf55a88889.edm">'[7]LBO Summary'!$1:$1048576</definedName>
    <definedName name="_bdm.6b965b267e7c406ab490dc0131115eb8.edm">[5]FF!$1:$1048576</definedName>
    <definedName name="_bdm.6BFE8C1F60E4425B97295FA594F86E11.edm">'[12]Balance Sheet'!$A:$IV</definedName>
    <definedName name="_bdm.6c335cf4dacf471e8176ed9bbd73e898.edm">'[7]LBO Summary'!$1:$1048576</definedName>
    <definedName name="_bdm.6D66DD92E625413788F175253B9C9B99.edm">[3]Output!$A:$IV</definedName>
    <definedName name="_bdm.6dd992e2f6194de4887dc8464dc3de2a.edm">'[2]Precedent Transactions'!$1:$1048576</definedName>
    <definedName name="_bdm.6e1fc2e7dea44b2d949dff91c460aa84.edm">'[4]MP Charts 3.0'!$1:$1048576</definedName>
    <definedName name="_bdm.6eb78bbe96f8477b988b5ab380845e53.edm">'[2]Precedent Transactions'!$1:$1048576</definedName>
    <definedName name="_bdm.6eeac6b2ad4c449f9b120886b0adb3fa.edm">'[7]LBO Summary'!$1:$1048576</definedName>
    <definedName name="_bdm.6fc93b3defe34ffbbd5402937c2c3278.edm">'[7]LBO Summary'!$1:$1048576</definedName>
    <definedName name="_bdm.6ff5c336493848d794057fb9911c6398.edm">'[4]MP Charts 3.0'!$1:$1048576</definedName>
    <definedName name="_bdm.711888d4f81e477bb9d11ccaced6ad90.edm">'[4]Strat. Alt.'!$1:$1048576</definedName>
    <definedName name="_bdm.71206ab862c9465589e8d541e01ab12d.edm">[4]AVP!$1:$1048576</definedName>
    <definedName name="_bdm.71D5645B58A74077B3DCDDC5F164CE40.edm">'[12]Balance Sheet'!$A:$IV</definedName>
    <definedName name="_bdm.720b3908f95f4a188d4837237a5a70d5.edm">'[4]Football Field'!$1:$1048576</definedName>
    <definedName name="_bdm.727cccf00cf04836b14e4bc93a2429d0.edm">'[7]LBO Summary'!$1:$1048576</definedName>
    <definedName name="_bdm.72B53786A02C4858AF82EC639669F0CB.edm">[8]GXDX_IPO!$A:$IV</definedName>
    <definedName name="_bdm.72BCF064952A4EB8A1215FE8C634EE01.edm">'[9]SP Comps'!$A:$IV</definedName>
    <definedName name="_bdm.72db9e415690406d86976bc69d01abac.edm">[7]IS!$1:$1048576</definedName>
    <definedName name="_bdm.72ff163d345241da9137c6cd251a2b03.edm">'[7]LBO Summary'!$1:$1048576</definedName>
    <definedName name="_bdm.7360A341F77744A38E381FFFFCACD4C5.edm">[3]Output!$A:$IV</definedName>
    <definedName name="_bdm.74fca38fae3f4615bb65cafe3d05a76f.edm">[5]DCF_2015!$1:$1048576</definedName>
    <definedName name="_bdm.74fd58468b8c458a8c0ef5e261a718c7.edm">'[2]Football Field'!$1:$1048576</definedName>
    <definedName name="_bdm.752af324e3af4657af766e99bea6da73.edm">'[2]Precedent Transactions'!$1:$1048576</definedName>
    <definedName name="_bdm.75417749c54f4132a1e98df00d05d0f5.edm">[5]FF!$1:$1048576</definedName>
    <definedName name="_bdm.758fa1a2273d462ea3d1caae174db62b.edm">[5]DCF_2015!$1:$1048576</definedName>
    <definedName name="_bdm.75AD9DA8CF9C449F9C80A3BA24DA03F0.edm">'[12]Revenue Break-up Pie charts'!$A:$IV</definedName>
    <definedName name="_bdm.75c6a84e7e5e42f3b01b8985c48990bc.edm">'[4]M&amp;A Comps'!$1:$1048576</definedName>
    <definedName name="_bdm.7640a9605f564344862eab2a4588c4d0.edm">[5]DCF_2015!$1:$1048576</definedName>
    <definedName name="_bdm.76749698E1AA43608E85C799640E509D.edm">[3]Output!$A:$IV</definedName>
    <definedName name="_bdm.7686202e9a3d4caf85dd0657e925cc88.edm">[13]AVP!$1:$1048576</definedName>
    <definedName name="_bdm.768fb333e2f8468c9356b25e95e8b092.edm">[4]DCF!$1:$1048576</definedName>
    <definedName name="_bdm.77B59F8820234209BA273C94AD3BBF0A.edm">'[9]Spec. Pharma M&amp;A Precedents'!$A:$IV</definedName>
    <definedName name="_bdm.785d7c812c08484e9d4cdd7228ca43ca.edm">'[2]Football Field'!$1:$1048576</definedName>
    <definedName name="_bdm.7951a3923af04a0f83c3a5453e36d626.edm">[5]FF!$1:$1048576</definedName>
    <definedName name="_bdm.79c867f0402f4fe3861c8fb9b3879401.edm">[7]IS!$1:$1048576</definedName>
    <definedName name="_bdm.7a04f0895a664d2eae36d0bc28949154.edm">'[4]M&amp;A Comps'!$1:$1048576</definedName>
    <definedName name="_bdm.7a9404f8eed048dcb6864724c00e67cb.edm">'[2]Precedent Transactions'!$1:$1048576</definedName>
    <definedName name="_bdm.7ab680c956a942c991538981d51719f3.edm">[4]DCF!$1:$1048576</definedName>
    <definedName name="_bdm.7b2cb41fa0e24374985d150f3246b1d5.edm">'[5]LBO Output'!$1:$1048576</definedName>
    <definedName name="_bdm.7b76ba65362f424f8abf4d167cd84ad6.edm">[5]FF!$1:$1048576</definedName>
    <definedName name="_bdm.7b7c3ee5843e4eb1a1b0a4b4959c39f8.edm">'[7]LBO Summary'!$1:$1048576</definedName>
    <definedName name="_bdm.7b88659688314e898969a23beccfdb83.edm">[4]DCF!$1:$1048576</definedName>
    <definedName name="_bdm.7b9704ea0c12491782689c4fef17fbf1.edm">'[2]Football Field'!$1:$1048576</definedName>
    <definedName name="_bdm.7bb93f7ab7b643caadca2967fbcb0efa.edm">[4]DCF!$1:$1048576</definedName>
    <definedName name="_bdm.7be568d6ed6a4b0090e41e8946372eab.edm">'[2]Precedent Transactions'!$1:$1048576</definedName>
    <definedName name="_bdm.7c4f178a399f4f78a1391041095b191d.edm">[4]DCF!$1:$1048576</definedName>
    <definedName name="_bdm.7c774880a6e44715ad0b34d8a7431c1a.edm">[5]FF!$1:$1048576</definedName>
    <definedName name="_bdm.7c7c666fe9724109b6e581e452194d50.edm">'[4]Comps.2'!$1:$1048576</definedName>
    <definedName name="_bdm.7C7ED5864B2C4A609B1A91238E98A1DA.edm">[8]GXDX!$A:$IV</definedName>
    <definedName name="_bdm.7c95669f4a35463db4d93f65d85ca27f.edm">'[4]Strat. Alt.'!$1:$1048576</definedName>
    <definedName name="_bdm.7cd595cf0ab5410a9fae9a5a2336e84a.edm">'[7]LBO Summary'!$1:$1048576</definedName>
    <definedName name="_bdm.7dd427ed2e7c4176982065727d05a4e2.edm">'[4]Strat. Alt.'!$1:$1048576</definedName>
    <definedName name="_bdm.7de940db85e649c69fcccda2bb9971ab.edm">'[2]Precedent Transactions'!$1:$1048576</definedName>
    <definedName name="_bdm.7e4636c7aaa54b7bb43ea6aaaa21db00.edm">[4]DCF!$1:$1048576</definedName>
    <definedName name="_bdm.7e7e1cce71254b2fa351fe1f9727c4f6.edm">[7]IS!$1:$1048576</definedName>
    <definedName name="_bdm.7e84dd9b4cf4490184e48d17c9056a90.edm">'[7]LBO Summary'!$1:$1048576</definedName>
    <definedName name="_bdm.7eb58ba27af647b180a46b623fbd4b27.edm">'[4]Valuation Charts'!$1:$1048576</definedName>
    <definedName name="_bdm.7ed4c7414271407a9e987e934b84fd90.edm">'[4]M&amp;A Comps (2)'!$1:$1048576</definedName>
    <definedName name="_bdm.7f00d14f36ca4d98ac7b6633af619414.edm">'[4]Comps.2'!$1:$1048576</definedName>
    <definedName name="_bdm.7f45023573074e94ab2d204d2529bedf.edm">'[4]Strat. Alt.'!$1:$1048576</definedName>
    <definedName name="_bdm.7f58aa1262034a60af65da8efd5d1efb.edm">'[4]M&amp;A Comps'!$1:$1048576</definedName>
    <definedName name="_bdm.7f9c747a338d4613957c514738538b04.edm">'[4]Valuation Charts'!$1:$1048576</definedName>
    <definedName name="_bdm.802AA908952D4EC79A0414989C99EF42.edm">[10]Charts!$A:$IV</definedName>
    <definedName name="_bdm.802e0b76b68b4cad9aec726de0b3ee48.edm">[5]FF!$1:$1048576</definedName>
    <definedName name="_bdm.805c7ec04e714425b52ab556cbeabc17.edm">'[4]M&amp;A Comps'!$1:$1048576</definedName>
    <definedName name="_bdm.80b4bee32c634d6e83591b960cbd6a9f.edm">'[4]Strat. Alt.'!$1:$1048576</definedName>
    <definedName name="_bdm.80E52BD9F8F644F095BE248F9BE5583D.edm">[10]Charts!$IV$1</definedName>
    <definedName name="_bdm.813EB349269B4048B318C2DAFA1249C7.edm">'[12]Revenue Break-up Pie charts'!$IV$1</definedName>
    <definedName name="_bdm.8171fc8964594a069e02db3b0637780b.edm">[5]FF!$1:$1048576</definedName>
    <definedName name="_bdm.81977dcadc8c447c91b6e186f5cb5329.edm">[5]FF!$1:$1048576</definedName>
    <definedName name="_bdm.8210c55064e14d1aa86245ac120194b3.edm">'[4]M&amp;A Comps'!$1:$1048576</definedName>
    <definedName name="_bdm.8383b109a7a640f193a6aceb39d24c68.edm">[13]AVP!$1:$1048576</definedName>
    <definedName name="_bdm.83b50e94a628471f984ea6e7efa2c095.edm">'[7]LBO Summary'!$1:$1048576</definedName>
    <definedName name="_bdm.84B0D8D427EC4F43B73E034534F2F1CC.edm">'[9]EB Comps'!$A:$IV</definedName>
    <definedName name="_bdm.84ccf81dce874788bb518acf36b05212.edm">'[7]LBO Summary'!$1:$1048576</definedName>
    <definedName name="_bdm.8535ee81d26549c6aded943e96e4d82c.edm">[14]Revenue!$1:$1048576</definedName>
    <definedName name="_bdm.856222e691a04166b4563311db53a687.edm">[5]FF!$1:$1048576</definedName>
    <definedName name="_bdm.85865127129744bf9f2adb54287b1ebc.edm">[13]AVP!$1:$1048576</definedName>
    <definedName name="_bdm.8609383f48a144fe8563f10184cd5790.edm">'[4]M&amp;A Comps'!$1:$1048576</definedName>
    <definedName name="_bdm.860fda8e07f045bc86774fdaae997b26.edm">'[4]Strat. Alt.'!$1:$1048576</definedName>
    <definedName name="_bdm.861D5644B66049D7ABF4975E79AFE6D9.edm">'[6]ghdx_gxdx output NEW'!$A:$IV</definedName>
    <definedName name="_bdm.87109d8066404fecbfa3f865a5fa55e6.edm">[4]DCF!$1:$1048576</definedName>
    <definedName name="_bdm.8737a58b19ce4c9b959ec95845cdc2b7.edm">'[7]LBO Summary'!$1:$1048576</definedName>
    <definedName name="_bdm.87d72d31b33c4362a13d210b90bd111a.edm">'[7]LBO Summary'!$1:$1048576</definedName>
    <definedName name="_bdm.87d76e47620d4f99964e59132bd722fe.edm">'[2]Football Field'!$1:$1048576</definedName>
    <definedName name="_bdm.87e724a3162247caab18c3b073a5efdf.edm">'[4]MP Charts 3.0'!$1:$1048576</definedName>
    <definedName name="_bdm.87f54383d74548c196054d90dc7dbb01.edm">[4]DCF!$1:$1048576</definedName>
    <definedName name="_bdm.8893b91292804bd481fc0b21771477cf.edm">'[7]LBO Summary'!$1:$1048576</definedName>
    <definedName name="_bdm.88AEFDEEF309401C8E282E8861328B77.edm">'[13]M&amp;A Comps'!$1:$1048576</definedName>
    <definedName name="_bdm.88b75396f73647f2986b74c1d99b07de.edm">'[4]Valuation Charts'!$1:$1048576</definedName>
    <definedName name="_bdm.8a1060dcc2ab4196a560aef1351c514a.edm">[5]FF!$1:$1048576</definedName>
    <definedName name="_bdm.8a507e8d421243ca911576a4571b21a8.edm">[5]FF!$1:$1048576</definedName>
    <definedName name="_bdm.8a6d815f6d6f4cfb96710ac86562873b.edm">[2]Financials!$1:$1048576</definedName>
    <definedName name="_bdm.8A7192087851492480B52D3E3C1262E6.edm">'[6]ghdx_gxdx output NEW'!$A:$IV</definedName>
    <definedName name="_bdm.8a79566389154869b7e30c9f94d20756.edm">'[7]LBO Summary'!$1:$1048576</definedName>
    <definedName name="_bdm.8a932a723f374eb990fa9b0b487be32d.edm">[11]WACC!$1:$1048576</definedName>
    <definedName name="_bdm.8B43ECD6734E43059ACB83BB0AAF50D1.edm">'[12]Revenue Break-up Pie charts'!$A:$IV</definedName>
    <definedName name="_bdm.8b765d90319e4d8abd2973d48399af62.edm">'[7]LBO Summary'!$1:$1048576</definedName>
    <definedName name="_bdm.8bc6d8fa49664fe0a434dbcb6333e459.edm">[7]IS!$1:$1048576</definedName>
    <definedName name="_bdm.8be33be1150c41dba7deae84ab25c1f7.edm">'[4]Strat. Alt.'!$1:$1048576</definedName>
    <definedName name="_bdm.8c4536c4b3c34889b0c2338727d945a0.edm">'[4]MP Charts 3.0'!$1:$1048576</definedName>
    <definedName name="_bdm.8c4c9ac6c4544a939f88d20707394ee5.edm">'[2]Football Field'!$1:$1048576</definedName>
    <definedName name="_bdm.8c7f00d651834df281db146cc5b57fb8.edm">'[4]Comps.2'!$1:$1048576</definedName>
    <definedName name="_bdm.8c8b90d568124dbfbfc2240247892d6f.edm">[11]WACC!$1:$1048576</definedName>
    <definedName name="_bdm.8cc6bd0123194f0ea61698e3774d74a6.edm">'[4]M&amp;A Comps'!$1:$1048576</definedName>
    <definedName name="_bdm.8e2a2228ba2e45538771dbf9828df2b3.edm">'[4]Strat. Alt.'!$1:$1048576</definedName>
    <definedName name="_bdm.8e9b352837274fbabddc2522c4a34923.edm">[7]IS!$1:$1048576</definedName>
    <definedName name="_bdm.8f2872253d4e42e48c18d7ec054e7e1f.edm">[4]DCF!$1:$1048576</definedName>
    <definedName name="_bdm.8fa1a1ffe29d4d74914ded57672c1493.edm">'[7]LBO Summary'!$1:$1048576</definedName>
    <definedName name="_bdm.906ad7fa2bce4f62ab6b0b144f06a901.edm">'[4]MP Charts 3.0'!$1:$1048576</definedName>
    <definedName name="_bdm.90900EA4CF344E3BABEF31884504C5B7.edm">[10]Charts!$A:$IV</definedName>
    <definedName name="_bdm.917c679c5d374132b54d7a3508791f2e.edm">[4]DCF!$1:$1048576</definedName>
    <definedName name="_bdm.9196e54ef198402599c4bbaf52df9674.edm">'[4]Strat. Alt.'!$1:$1048576</definedName>
    <definedName name="_bdm.91c63fb3fe4a430c9d476ec2b925f9fe.edm">[4]DCF!$1:$1048576</definedName>
    <definedName name="_bdm.91cee4540af3463390d0b07d57017b9e.edm">[5]DCF_2015!$1:$1048576</definedName>
    <definedName name="_bdm.91fa3d9e823c4d30a68b59f66bcc4be6.edm">[13]AVP!$1:$1048576</definedName>
    <definedName name="_bdm.92C9B2191A144D489D75B568248C80F6.edm">'[9]Spec. Pharma M&amp;A Precedents'!$A:$IV</definedName>
    <definedName name="_bdm.930002ce898d4d9590ae5e6d27f3f7ba.edm">[5]DCF_2015!$1:$1048576</definedName>
    <definedName name="_bdm.9306d3d0bf31488e84fa51fa027f49be.edm">'[4]M&amp;A Comps'!$1:$1048576</definedName>
    <definedName name="_bdm.933ee29eb3074aa8974d0c47dc092e2e.edm">[4]Charts!$1:$1048576</definedName>
    <definedName name="_bdm.9347ff4e64954102b4e6057af43e40e5.edm">'[4]Valuation Charts'!$1:$1048576</definedName>
    <definedName name="_bdm.9416d448d6c041e4963f2d00792c926d.edm">'[4]Strat. Alt.'!$1:$1048576</definedName>
    <definedName name="_bdm.94488147797A44D5A580CE8A92428323.edm">'[12]Revenue Break-up Pie charts'!$A:$IV</definedName>
    <definedName name="_bdm.944b4b03138b484b978e4b43de6f1bb9.edm">[4]DCF!$1:$1048576</definedName>
    <definedName name="_bdm.948671465f0f43fe816ad8bb821adfff.edm">'[5]Public Comps'!$1:$1048576</definedName>
    <definedName name="_bdm.94AF55E5C4BE4619821BD07246F25980.edm">[8]GXDX!$A:$IV</definedName>
    <definedName name="_bdm.94e08013419c4ebe9b3739a7221314de.edm">[11]WACC!$1:$1048576</definedName>
    <definedName name="_bdm.9524f43d964d4674a32ea994f87512f5.edm">[13]AVP!$1:$1048576</definedName>
    <definedName name="_bdm.9545d1ab1716404cb2cda04d37731257.edm">'[7]LBO Summary'!$1:$1048576</definedName>
    <definedName name="_bdm.95a9d120fe6a4381a63eb04d9686eb07.edm">[5]FF!$1:$1048576</definedName>
    <definedName name="_bdm.9606f11bf30a4b43995ed5c2c2c01af6.edm">'[4]Strat. Alt.'!$1:$1048576</definedName>
    <definedName name="_bdm.960d9146c5ff469486d78ee70bb9808a.edm">'[4]Comps.2'!$1:$1048576</definedName>
    <definedName name="_bdm.963e66aa91064c35880685179003b7c6.edm">'[4]MP Charts 3.0'!$1:$1048576</definedName>
    <definedName name="_bdm.9735cef79b44455f8719fe318c633dc4.edm">[5]FF!$1:$1048576</definedName>
    <definedName name="_bdm.97560aa126124bd981827199a97b4807.edm">'[2]Precedent Transactions'!$1:$1048576</definedName>
    <definedName name="_bdm.97661d2b6c0f4027bc34819ac0687133.edm">'[4]Valuation Charts'!$1:$1048576</definedName>
    <definedName name="_bdm.97804a508dd040d399bd22c0ef0529ad.edm">[14]DCF!$1:$1048576</definedName>
    <definedName name="_bdm.97b91fcea27546c9a51c0cf1833f28ae.edm">[5]FF!$1:$1048576</definedName>
    <definedName name="_bdm.97c9b6b9e46d4acebfb73041b6ec667f.edm">[5]FF!$1:$1048576</definedName>
    <definedName name="_bdm.98d5eb167d2a4e20bca8ec2c77401e07.edm">'[4]MP Charts 3.0'!$1:$1048576</definedName>
    <definedName name="_bdm.996BAD3DEB5A42E6B72E5F26BB8F667C.edm">'[12]Revenue Break-up Pie charts'!$IV$1</definedName>
    <definedName name="_bdm.99E5B3574A7C48D59D263360DF349283.edm">'[12]Revenue Break-up Pie charts'!$A:$IV</definedName>
    <definedName name="_bdm.9a27fb453be74cc9972bdfeeeccc296f.edm">'[4]Strat. Alt.'!$1:$1048576</definedName>
    <definedName name="_bdm.9afc44d681214747acd46acdf7f61131.edm">'[7]LBO Summary'!$1:$1048576</definedName>
    <definedName name="_bdm.9BB654F0E64F44AD9F998C1D7328F24C.edm">'[12]Revenue Break-up Pie charts'!$A:$IV</definedName>
    <definedName name="_bdm.9BE22C42F5D145949B11F4E68A8F9BBE.edm">'[6]ghdx_gxdx output OLD'!$A:$IV</definedName>
    <definedName name="_bdm.9bfe3649dd844d33b747db14bf114721.edm">'[4]Football Field'!$1:$1048576</definedName>
    <definedName name="_bdm.9c586ec711e340f185aca1d31adf4e2c.edm">'[7]LBO Summary'!$1:$1048576</definedName>
    <definedName name="_bdm.9cf7b34a9adf467dbfda3e9ee796c9db.edm">'[4]Football Field'!$1:$1048576</definedName>
    <definedName name="_bdm.9d1efa295927450fb5c62a72a1d762ef.edm">[7]IS!$1:$1048576</definedName>
    <definedName name="_bdm.9de9e3abafcd44a1ab029a3a55ca9b33.edm">'[7]LBO Summary'!$1:$1048576</definedName>
    <definedName name="_bdm.9f4b25fbe64746feae2e67593b1ec317.edm">'[7]LBO Summary'!$1:$1048576</definedName>
    <definedName name="_bdm.a0242ec375be411ba1d01b8c2d0cacbc.edm">'[4]MP Charts 3.0'!$1:$1048576</definedName>
    <definedName name="_bdm.a0813b20cee348129d11369bf325e582.edm">'[4]Strat. Alt.'!$1:$1048576</definedName>
    <definedName name="_bdm.a0929c9832f54698b3770dcea6d5f0e1.edm">'[7]LBO Summary'!$1:$1048576</definedName>
    <definedName name="_bdm.A0C6754351AA4669A8193313497E6B38.edm">[10]Charts!$IV$1</definedName>
    <definedName name="_bdm.A0D051BBDDFC4BE38BC55A8B41361A4F.edm">[8]GXDX!$A:$IV</definedName>
    <definedName name="_bdm.a22e2f2d19d94193a646c6e466e49ae4.edm">'[4]MP Charts 3.0'!$1:$1048576</definedName>
    <definedName name="_bdm.a22f5fbfdb2b4dd19fc419fc736b7ab1.edm">'[4]Strat. Alt.'!$1:$1048576</definedName>
    <definedName name="_bdm.A23E895D0EB84B319A4DD82A666BCC43.edm">[10]Charts!$IV$1</definedName>
    <definedName name="_bdm.A273AE63C96B420F85A9C16DF742532E.edm">'[9]Spec. Pharma M&amp;A Precedents'!$A:$IV</definedName>
    <definedName name="_bdm.a2c4dbcdb6354869838cb49f3f7f6e49.edm">[4]DCF!$1:$1048576</definedName>
    <definedName name="_bdm.A34FE07160B3417388EDF2AC514FA0EE.edm">'[9]Spec. Pharma M&amp;A Precedents'!$A:$IV</definedName>
    <definedName name="_bdm.a3b898088e3447808552a1e09b2c7927.edm">#REF!</definedName>
    <definedName name="_bdm.a3f16d070cfb42c396fef143892a089e.edm">[4]Charts!$1:$1048576</definedName>
    <definedName name="_bdm.a410a6338619472c8bc22a43ad3682f7.edm">'[4]MP Charts 3.0'!$1:$1048576</definedName>
    <definedName name="_bdm.a4b66bbed5c24a259a10d3d423cb47bd.edm">'[4]M&amp;A Comps'!$1:$1048576</definedName>
    <definedName name="_bdm.a4eef2f3d3984d85a59c5e0bb8bbb2fe.edm">'[7]LBO Summary'!$1:$1048576</definedName>
    <definedName name="_bdm.A4FD1690C0C14E5D917B38D47361486D.edm">'[9]Deal Comps'!$A:$IV</definedName>
    <definedName name="_bdm.a4fee91c5cf74331bf3711fad9bd665a.edm">'[4]M&amp;A Comps'!$1:$1048576</definedName>
    <definedName name="_bdm.a5c840d0b20c4393bb1d171e7942f7cc.edm">'[4]Strat. Alt.'!$1:$1048576</definedName>
    <definedName name="_bdm.a5e68a79c7d04072a45f4b4ec2780495.edm">'[2]Precedent Transactions'!$1:$1048576</definedName>
    <definedName name="_bdm.a60f010552ee45c49bff9b29290e79b2.edm">'[7]LBO Summary'!$1:$1048576</definedName>
    <definedName name="_bdm.a62f5b5e1d444da3b568c60f3392ecd9.edm">'[4]M&amp;A Comps'!$1:$1048576</definedName>
    <definedName name="_bdm.a63e18a41b1f4976bc2e1f5cb8478771.edm">[5]LBO!$1:$1048576</definedName>
    <definedName name="_bdm.a640ec7b4b894c5ab61c5d88e29f8202.edm">[5]FF!$1:$1048576</definedName>
    <definedName name="_bdm.a65346b1fa7f48dcabdcaf39f819089b.edm">'[2]Football Field'!$1:$1048576</definedName>
    <definedName name="_bdm.a6a805c5d4604d21a7386f1a7da2567f.edm">[5]FF!$1:$1048576</definedName>
    <definedName name="_bdm.a6b5a74aa13544bcb126ba6d44255a30.edm">'[7]LBO Summary'!$1:$1048576</definedName>
    <definedName name="_bdm.a705284ae63441eeb82cd24f51756b01.edm">[2]AVP!$1:$1048576</definedName>
    <definedName name="_bdm.a75cd4baf72a421bb83449e842a56bfe.edm">[5]FF!$1:$1048576</definedName>
    <definedName name="_bdm.a836da9d9bfb4cd3afc424ae619488cd.edm">'[7]LBO Summary'!$1:$1048576</definedName>
    <definedName name="_bdm.a8573dd3afd74ed1a15569474b146dfb.edm">[4]AVP!$1:$1048576</definedName>
    <definedName name="_bdm.A890E9457A774BB1B9C62DB2EBD5F9C5.edm">'[12]Balance Sheet'!$A:$IV</definedName>
    <definedName name="_bdm.A8A2C3FC3CA045B79C4BA2478C2D0795.edm">'[12]Balance Sheet'!$IV$1</definedName>
    <definedName name="_bdm.a92d97749a8b4db98f45ca899e2b6991.edm">'[7]LBO Summary'!$1:$1048576</definedName>
    <definedName name="_bdm.aa0a4f9029014694bb4f9c696ae8ff60.edm">[4]DCF!$1:$1048576</definedName>
    <definedName name="_bdm.ab1aca52b23d41a09f599501f898a0d4.edm">'[4]M&amp;A Comps'!$1:$1048576</definedName>
    <definedName name="_bdm.ac51fa95ed6d4a88928bc09948077d71.edm">'[2]Precedent Transactions'!$1:$1048576</definedName>
    <definedName name="_bdm.acbefa24498f4b768d846d6820061346.edm">'[4]M&amp;A Comps'!$1:$1048576</definedName>
    <definedName name="_bdm.ad583da44c7645d1848d3b0c3f1bddd4.edm">'[7]LBO Summary'!$1:$1048576</definedName>
    <definedName name="_bdm.ad7386495077457fa147482c1d78dcd8.edm">'[5]Revenue Chart'!$1:$1048576</definedName>
    <definedName name="_bdm.ae7b0dcc5f5f4feabeae2d2072b38857.edm">'[4]M&amp;A Comps'!$1:$1048576</definedName>
    <definedName name="_bdm.AEE3EEF1AA2241D6AE1EEB65B6D14936.edm">'[8]financial charts'!$A:$IV</definedName>
    <definedName name="_bdm.afd181d0471b4eaaaba1f47a41ceceaa.edm">'[4]MP Charts 3.0'!$1:$1048576</definedName>
    <definedName name="_bdm.b000027f29764a079da29e46715945a1.edm">'[4]Valuation Charts'!$1:$1048576</definedName>
    <definedName name="_bdm.b005f8ce70f24977bcfe6b4e37fd9d3e.edm">[5]FF!$1:$1048576</definedName>
    <definedName name="_bdm.b0f04a563b6141ee9ca9b09a5ee91049.edm">[5]FF!$1:$1048576</definedName>
    <definedName name="_bdm.b18d7e275eea44efbcd92f6749ecd705.edm">'[4]Strat. Alt.'!$1:$1048576</definedName>
    <definedName name="_bdm.B29E9F5EB73E4EA88825DFEB02AAD5D7.edm">[3]Output!$A:$IV</definedName>
    <definedName name="_bdm.b2a67b15e6564d1c86a182f4ef8de25a.edm">'[4]MP Charts 3.0'!$1:$1048576</definedName>
    <definedName name="_bdm.b31937be4a394e4ab8b7200d0bc0151d.edm">'[4]Strat. Alt.'!$1:$1048576</definedName>
    <definedName name="_bdm.b32f9e7e04fd480db82457e044390afa.edm">'[4]Strat. Alt.'!$1:$1048576</definedName>
    <definedName name="_bdm.B368FB574F5949968C3D07630B5AE593.edm">[3]Output!$A:$IV</definedName>
    <definedName name="_bdm.B37866961D1A4F5C8B19AB648BBBF633.edm">[10]Charts!$A:$IV</definedName>
    <definedName name="_bdm.B3B8EF1FF2F54AA4A39379B886DD4AB2.edm">'[9]EB Comps'!$A:$IV</definedName>
    <definedName name="_bdm.b3c68e9d5e6c4a388e267d0677a40e2c.edm">'[7]LBO Summary'!$1:$1048576</definedName>
    <definedName name="_bdm.b42d9dea8bbf4c879c8b2dff401e3e58.edm">'[4]Comps.2'!$1:$1048576</definedName>
    <definedName name="_bdm.b43b9319240c4df3b98293ef907eb909.edm">'[4]Strat. Alt.'!$1:$1048576</definedName>
    <definedName name="_bdm.b4a3f877bdf643e4b80eb71e80bb70b4.edm">'[4]MP Charts 3.0'!$1:$1048576</definedName>
    <definedName name="_bdm.b57ec0e51ef54cf794d4241a1994d9ed.edm">'[4]Strat. Alt.'!$1:$1048576</definedName>
    <definedName name="_bdm.b5d187a100e34b5b87b8035ae0ce5d33.edm">'[4]Comps.2'!$1:$1048576</definedName>
    <definedName name="_bdm.b60283474dc54892aa812f8b1500ac31.edm">[4]DCF!$1:$1048576</definedName>
    <definedName name="_bdm.b6078ad7793e4dd69f965c8c4bec7270.edm">'[7]LBO Summary'!$1:$1048576</definedName>
    <definedName name="_bdm.b6471b21da5c46879efa9433d5359f85.edm">[5]FF!$1:$1048576</definedName>
    <definedName name="_bdm.b6aa6489706b4ce88300b42de44618dc.edm">[5]DCF_2015!$1:$1048576</definedName>
    <definedName name="_bdm.b76528dc85b542388597d87733e550af.edm">'[4]Strat. Alt.'!$1:$1048576</definedName>
    <definedName name="_bdm.b77020319844475ca67b7794b7072bcb.edm">'[4]Strat. Alt.'!$1:$1048576</definedName>
    <definedName name="_bdm.b7dcb5f5a4364c329e468209f9757127.edm">'[4]MP Charts 3.0'!$1:$1048576</definedName>
    <definedName name="_bdm.B7FC7D979C9D406991DF237E21053145.edm">'[13]M&amp;A Comps'!$1:$1048576</definedName>
    <definedName name="_bdm.b81b47b5fd1b4fbd8ed0c2028dab55f9.edm">[4]DCF!$1:$1048576</definedName>
    <definedName name="_bdm.b8873c915ecc4a95a7e8839b587eafd5.edm">[4]DCF!$1:$1048576</definedName>
    <definedName name="_bdm.b8df9c3f41324bfc8a442334a8dacb06.edm">[5]DCF_2015!$1:$1048576</definedName>
    <definedName name="_bdm.b8f8ede2e7d74d9e8ec67c3cccb1c92c.edm">'[7]LBO Summary'!$1:$1048576</definedName>
    <definedName name="_bdm.b9ea7e3825c7456f8d44d66f40217c94.edm">'[4]Comps.2'!$1:$1048576</definedName>
    <definedName name="_bdm.ba0574e3ef244a57bd864717f5c63ffe.edm">[7]Charts!$1:$1048576</definedName>
    <definedName name="_bdm.ba930942f6b54bf6998da80f56642b26.edm">'[5]Formatted P&amp;L'!$1:$1048576</definedName>
    <definedName name="_bdm.ba964df8c6764f518e7e6efb69669f31.edm">'[4]Valuation Charts'!$1:$1048576</definedName>
    <definedName name="_bdm.bacb00a867c84279850cdeb352a1519e.edm">#REF!</definedName>
    <definedName name="_bdm.bb0ae0eee2f447a99f8690bc1b3fc27a.edm">[4]DCF!$1:$1048576</definedName>
    <definedName name="_bdm.BB6AC3D1F0AD4344A165118DDB20858E.edm">[8]GXDX!$A:$IV</definedName>
    <definedName name="_bdm.bb9b1ed6ea8e4b19b4348f504a5842cf.edm">'[4]Strat. Alt.'!$1:$1048576</definedName>
    <definedName name="_bdm.bbcd1096f292405ab53d27fef1dd9ae2.edm">'[4]Comps.2'!$1:$1048576</definedName>
    <definedName name="_bdm.bc1e24821658497ab6b9f0291e2d4f19.edm">'[7]LBO Summary'!$1:$1048576</definedName>
    <definedName name="_bdm.bc2084d4846f47d99aa67a1dbc0a470c.edm">[4]WACC!$1:$1048576</definedName>
    <definedName name="_bdm.BC424D0831FA4BF38B69F6A54D47FC7B.edm">'[6]ghdx_gxdx output OLD'!$A:$IV</definedName>
    <definedName name="_bdm.bc6df7bd195f4b2ea9251e52fda2e084.edm">[5]FF!$1:$1048576</definedName>
    <definedName name="_bdm.bcc2483ad0da4791aaf71071d687f0e4.edm">[4]DCF!$1:$1048576</definedName>
    <definedName name="_bdm.bce71dccb2e741b3905f784cebe7e53a.edm">[4]DCF!$1:$1048576</definedName>
    <definedName name="_bdm.bcfcbdc520dc4d82adea0c2028ae494b.edm">'[7]LBO Summary'!$1:$1048576</definedName>
    <definedName name="_bdm.bd544a5c2167436a9a473ac06fab208f.edm">'[4]Strat. Alt.'!$1:$1048576</definedName>
    <definedName name="_bdm.bd9eea102f714a8ca6fef828a284134e.edm">'[4]Strat. Alt.'!$1:$1048576</definedName>
    <definedName name="_bdm.BDA76BA495054A528CCBED2EAA28DF30.edm">[3]Output!$A:$IV</definedName>
    <definedName name="_bdm.bdfec735a33d432ca565f7dbf4c2ce2e.edm">[4]WACC!$1:$1048576</definedName>
    <definedName name="_bdm.BE20411E31CD4F74A0CA3604CA5F3C8B.edm">[8]GXDX_IPO!$A:$IV</definedName>
    <definedName name="_bdm.be635c6a36564262b9c131560af8ac1d.edm">'[7]LBO Summary'!$1:$1048576</definedName>
    <definedName name="_bdm.bedcf7cc780b4a4f9ef2a3113836727c.edm">'[4]MP Charts 3.0'!$1:$1048576</definedName>
    <definedName name="_bdm.bee589ff0fe64e638a52caa06e7c4fb7.edm">'[4]Strat. Alt.'!$1:$1048576</definedName>
    <definedName name="_bdm.beeaa625c6be4abc93406d8184c999ff.edm">'[4]Strat. Alt.'!$1:$1048576</definedName>
    <definedName name="_bdm.bf1ef9d90af84d24a031c5629eccea70.edm">'[2]Precedent Transactions'!$1:$1048576</definedName>
    <definedName name="_bdm.bf6d5773a2864ac2a6bd2d65250183cf.edm">[4]DCF!$1:$1048576</definedName>
    <definedName name="_bdm.bf77f74e2ff944159d3f50db17d02a5c.edm">'[4]Comps.2'!$1:$1048576</definedName>
    <definedName name="_bdm.bf9dd1c6236b49cc9eaccefd898037d4.edm">'[7]Fin Profile'!$1:$1048576</definedName>
    <definedName name="_bdm.c00bc3d4addb4d639f8c9ccbfd8af1d3.edm">[4]AVP!$1:$1048576</definedName>
    <definedName name="_bdm.c0108c8fff7f4e348eef748c06c54f39.edm">'[4]M&amp;A Comps'!$1:$1048576</definedName>
    <definedName name="_bdm.c06d2fd840814abf82eb92b111d3f7eb.edm">'[4]MP Charts 3.0'!$1:$1048576</definedName>
    <definedName name="_bdm.C0DC384D221044F8BDBCF7F3B6932DC2.edm">[8]GXDX_IPO!$A:$IV</definedName>
    <definedName name="_bdm.c1043fe355bf4676b9c91b3b92b05520.edm">'[7]LBO Summary'!$1:$1048576</definedName>
    <definedName name="_bdm.c16067aa909743538262919bbc960739.edm">'[4]MP Charts 3.0'!$1:$1048576</definedName>
    <definedName name="_bdm.c18ad6b823514f43a07b58f2b0bc4c91.edm">'[2]Football Field'!$1:$1048576</definedName>
    <definedName name="_bdm.c19e6fa71e174c3a8e09d5bb112d1cd3.edm">[7]Charts!$1:$1048576</definedName>
    <definedName name="_bdm.c1c45128ec0b4e0189ab236e5819fa8e.edm">[5]FF!$1:$1048576</definedName>
    <definedName name="_bdm.c202c26113554353bffcd3e99be1adc6.edm">'[4]Summary P.L'!$1:$1048576</definedName>
    <definedName name="_bdm.c22303b0ebb14469a394a91a21fdf750.edm">'[7]LBO Summary'!$1:$1048576</definedName>
    <definedName name="_bdm.c25458c169924f218ecfbc5db32a203c.edm">'[2]Precedent Transactions'!$1:$1048576</definedName>
    <definedName name="_bdm.c25a8decff3c43f497e87d58f138d5c9.edm">[4]DCF!$1:$1048576</definedName>
    <definedName name="_bdm.c260d9d1ad0d446a94b356e2fad6cdce.edm">'[7]LBO Summary'!$1:$1048576</definedName>
    <definedName name="_bdm.c2b46589760c42d989d1d109be99b3f9.edm">'[4]Strat. Alt.'!$1:$1048576</definedName>
    <definedName name="_bdm.c3211e4340e7420a889504c58472792b.edm">'[4]Football Field'!$1:$1048576</definedName>
    <definedName name="_bdm.c32fc1e339ad4ab68046983c3e34c074.edm">'[4]MP Charts 3.0'!$1:$1048576</definedName>
    <definedName name="_bdm.c375036ede894d0782ad2405b181656e.edm">'[7]LBO Summary'!$1:$1048576</definedName>
    <definedName name="_bdm.c37c2b9c9c894d54a4f7a956cc5d4968.edm">'[4]M&amp;A Comps'!$1:$1048576</definedName>
    <definedName name="_bdm.C3A3DF1B0B8447FDBCAD8E88E92344B5.edm">'[9]Spec. Pharma M&amp;A Precedents'!$A:$IV</definedName>
    <definedName name="_bdm.c3ce2de222a44b29823ea6d931c26516.edm">[4]DCF!$1:$1048576</definedName>
    <definedName name="_bdm.c3f39a7a840f470791d9098311cfe15a.edm">[4]DCF!$1:$1048576</definedName>
    <definedName name="_bdm.c40cbf1a2b31478b85d0eafd98bbac07.edm">[5]LBO!$1:$1048576</definedName>
    <definedName name="_bdm.c428f586c3f34bab969e0f8a1f3e3a09.edm">'[7]LBO Summary'!$1:$1048576</definedName>
    <definedName name="_bdm.c461bc79970a447e8cb10d90130c34bf.edm">'[4]Comps.2'!$1:$1048576</definedName>
    <definedName name="_bdm.c4c5754bf6b7475488e85c204792891d.edm">'[4]M&amp;A Comps'!$1:$1048576</definedName>
    <definedName name="_bdm.c4c9c29482b64616a221eb1c29d99cae.edm">'[7]LBO Summary'!$1:$1048576</definedName>
    <definedName name="_bdm.c56282ecde3242ab8a700fb754b9f01c.edm">'[7]LBO Summary'!$1:$1048576</definedName>
    <definedName name="_bdm.C58588CA069A40D0A3D59897EB4E6786.edm">'[12]Balance Sheet'!$A:$IV</definedName>
    <definedName name="_bdm.C6DAC68F2F124DA8B6113795033AC984.edm">[8]GXDX_IPO!$A:$IV</definedName>
    <definedName name="_bdm.c6eebe73af924692a1390771a52cd8d0.edm">'[4]Strat. Alt.'!$1:$1048576</definedName>
    <definedName name="_bdm.C6FD02A720FD489FA7CC27B1DF3E1216.edm">[10]Charts!$IV$1</definedName>
    <definedName name="_bdm.C70132599E994434AE0DF825AAF927B6.edm">'[12]Revenue Break-up Pie charts'!$A:$IV</definedName>
    <definedName name="_bdm.c73a529fc80a4e33a4942f7847133076.edm">'[4]MP Charts 3.0'!$1:$1048576</definedName>
    <definedName name="_bdm.c764279acc4e49069b0ce759c821e408.edm">'[5]Comp Charts'!$1:$1048576</definedName>
    <definedName name="_bdm.c76e1a634eda487e98f47866040b1dcc.edm">'[4]MP Charts 3.0'!$1:$1048576</definedName>
    <definedName name="_bdm.c7865d3211c34a0289ede12736609d45.edm">'[2]Precedent Transactions'!$1:$1048576</definedName>
    <definedName name="_bdm.c7b3185fc9904310b4c89dd5bf4d369d.edm">[5]FF!$1:$1048576</definedName>
    <definedName name="_bdm.c7f0059ed4df45b4bdc7bcd1940ca023.edm">'[7]Fin Profile'!$1:$1048576</definedName>
    <definedName name="_bdm.C884E9D8BAB94978B83F18EA89817EF0.edm">'[6]ghdx_gxdx output OLD'!$A:$IV</definedName>
    <definedName name="_bdm.c8c1e1defdae47349ec803405cfdfc23.edm">'[7]LBO Summary'!$1:$1048576</definedName>
    <definedName name="_bdm.c8cdefc74e524439a7020f37c9692f0d.edm">'[4]M&amp;A Comps'!$1:$1048576</definedName>
    <definedName name="_bdm.c8cf2c2648514ab3aed3c3b8b004f266.edm">'[4]Strat. Alt.'!$1:$1048576</definedName>
    <definedName name="_bdm.c9784408987a453d90f5cdce9bcf88c9.edm">'[7]Fin Profile'!$1:$1048576</definedName>
    <definedName name="_bdm.ca27df35ae434a29ab65c8961dff4ffb.edm">'[4]Strat. Alt.'!$1:$1048576</definedName>
    <definedName name="_bdm.ca6aae307910442392d868f8fa0cf76c.edm">[5]FF!$1:$1048576</definedName>
    <definedName name="_bdm.ca8faaadae8d49cf9ae197ca5ccebb33.edm">'[7]LBO Summary'!$1:$1048576</definedName>
    <definedName name="_bdm.caca327161c94ee481385a66a64904eb.edm">[4]DCF!$1:$1048576</definedName>
    <definedName name="_bdm.CB28F7593EB4476F99EEC865B064F4C0.edm">[8]GXDX_IPO!$A:$IV</definedName>
    <definedName name="_bdm.CB2AA6770A5C48BA99BB40AE193E3373.edm">'[12]Revenue Break-up Pie charts'!$A:$IV</definedName>
    <definedName name="_bdm.cb8f992e8b0b4e4aabee6de38ef6355d.edm">'[4]MP Charts 3.0'!$1:$1048576</definedName>
    <definedName name="_bdm.ccb182ec255c46b7add79f89ad8b1ec2.edm">'[4]M&amp;A Comps'!$1:$1048576</definedName>
    <definedName name="_bdm.cd496173b95840b3bc60a7172559dab6.edm">[2]Financials!$1:$1048576</definedName>
    <definedName name="_bdm.cd53276899c941d1838398bf8fec51bc.edm">'[4]M&amp;A Comps'!$1:$1048576</definedName>
    <definedName name="_bdm.cebaaf8ccbf64e46a894d1ea2235b0c0.edm">[5]FF!$1:$1048576</definedName>
    <definedName name="_bdm.ceee8d572ebd45f1bf88d3ce63b043e7.edm">'[2]Precedent Transactions'!$1:$1048576</definedName>
    <definedName name="_bdm.cf440742c8c944a88261aa76b9171f08.edm">'[4]M&amp;A Comps (2)'!$1:$1048576</definedName>
    <definedName name="_bdm.cf8dff3c277340b1a054e329b0472787.edm">'[4]Strat. Alt.'!$1:$1048576</definedName>
    <definedName name="_bdm.cfec8a27af3f48bf916df8efc95e4390.edm">'[4]Strat. Alt.'!$1:$1048576</definedName>
    <definedName name="_bdm.cff1bfd59e9148c58f5cf5a8d3320a16.edm">'[7]LBO Summary'!$1:$1048576</definedName>
    <definedName name="_bdm.d04e9f7860214e0aa10ba98c8dffc4f1.edm">'[4]Strat. Alt.'!$1:$1048576</definedName>
    <definedName name="_bdm.d05b84e579b64d74a318719d586f7a62.edm">[4]Charts!$1:$1048576</definedName>
    <definedName name="_bdm.D1B7B57F7B2142E39F05399E0382F2E0.edm">[3]Sheet1!$A:$IV</definedName>
    <definedName name="_bdm.d2741bdf92bb41e3bcbdf3e660a0f2d4.edm">'[4]Strat. Alt.'!$1:$1048576</definedName>
    <definedName name="_bdm.d38efaeadef04e25b08c6edd67429b4c.edm">'[2]Precedent Transactions'!$1:$1048576</definedName>
    <definedName name="_bdm.D390ED67BE534E59861D11970D111EA4.edm">[3]Output!$A:$IV</definedName>
    <definedName name="_bdm.d3c0d4bc1c0b4041a5c2d92aab01964a.edm">'[4]MP Charts 3.0'!$1:$1048576</definedName>
    <definedName name="_bdm.d40e98025e6e4419bc7a181963a9d0ed.edm">'[2]Football Field'!$1:$1048576</definedName>
    <definedName name="_bdm.d4d5c0b76b664395b55f88fc92a19b15.edm">[5]LBO!$1:$1048576</definedName>
    <definedName name="_bdm.D584DAE0B67941D6BDEE1E2C50FE02C6.edm">'[6]ghdx_gxdx output OLD'!$A:$IV</definedName>
    <definedName name="_bdm.d5fd9f54bbf84860b98b69aafd148006.edm">'[4]Strat. Alt.'!$1:$1048576</definedName>
    <definedName name="_bdm.D6052CFBD41043E2A9A3AE305F6AE129.edm">[8]GXDX!$A:$IV</definedName>
    <definedName name="_bdm.d6513a22f66c43549a1e26498ada3174.edm">'[4]Strat. Alt.'!$1:$1048576</definedName>
    <definedName name="_bdm.d66aac04990b4fc3a29e1e4d1e7a5d71.edm">'[4]Strat. Alt.'!$1:$1048576</definedName>
    <definedName name="_bdm.d6e919856f8e47c68b5bd0857ad3a346.edm">'[5]LBO Output'!$1:$1048576</definedName>
    <definedName name="_bdm.d72a025e16d44bc3b369c3093d9585ca.edm">'[4]Strat. Alt.'!$1:$1048576</definedName>
    <definedName name="_bdm.d72ca9c1daa54f7c8a564e6e2b3865f6.edm">'[2]Precedent Transactions'!$1:$1048576</definedName>
    <definedName name="_bdm.d72e5758f0c5430ea2f870014af05e5e.edm">'[5]Revenue Chart'!$1:$1048576</definedName>
    <definedName name="_bdm.d808441c24b94b629b364ec2a81b680e.edm">'[7]LBO Summary'!$1:$1048576</definedName>
    <definedName name="_bdm.d81ef5016b2143c88bad0bdc8bfbc202.edm">'[7]Fin Profile'!$1:$1048576</definedName>
    <definedName name="_bdm.d8764847e5014796bd0598687182d563.edm">'[2]Precedent Transactions'!$1:$1048576</definedName>
    <definedName name="_bdm.d8b8bd53a41b4cc78ad0ea85c36ab7aa.edm">'[4]Strat. Alt.'!$1:$1048576</definedName>
    <definedName name="_bdm.D90FE5986D154F2091E151D4F3F87B8E.edm">'[8]financial charts'!$A:$IV</definedName>
    <definedName name="_bdm.d99bdba790524749902619876852aa99.edm">'[4]Valuation Charts'!$1:$1048576</definedName>
    <definedName name="_bdm.d9e0afc86aec444ca6ecf7d54a2df31a.edm">'[7]LBO Summary'!$1:$1048576</definedName>
    <definedName name="_bdm.d9ef99c3fa3b4b47a60223698a3f9708.edm">'[7]LBO Summary'!$1:$1048576</definedName>
    <definedName name="_bdm.da39dac2401042079c372cfb6d2c0683.edm">'[7]LBO Summary'!$1:$1048576</definedName>
    <definedName name="_bdm.da4811490f534da4baa7dd2666c2cc5a.edm">'[4]M&amp;A Comps'!$1:$1048576</definedName>
    <definedName name="_bdm.da50e184898242d5b8f1fa533ad25c00.edm">'[4]M&amp;A Comps'!$1:$1048576</definedName>
    <definedName name="_bdm.da79da3bdb654523b0439994aa729c1a.edm">'[4]M&amp;A Comps'!$1:$1048576</definedName>
    <definedName name="_bdm.dad0e63da6584dbd8f75892ec201c110.edm">'[7]Fin Profile'!$1:$1048576</definedName>
    <definedName name="_bdm.dae1ac0c148341378be0a00ba3a6a2f0.edm">'[4]MP Charts 3.0'!$1:$1048576</definedName>
    <definedName name="_bdm.db003f47542e4290951809a5ac1a6f65.edm">'[2]Precedent Transactions'!$1:$1048576</definedName>
    <definedName name="_bdm.db1ee935079f4cc28cbafc5294be942f.edm">'[4]Strat. Alt.'!$1:$1048576</definedName>
    <definedName name="_bdm.dbf8a7b01bb142b0a660b01c56aef98a.edm">'[4]Football Field'!$1:$1048576</definedName>
    <definedName name="_bdm.DD0EC3E479EB46AABE2AD1A39DF199AB.edm">[8]GXDX_IPO!$A:$IV</definedName>
    <definedName name="_bdm.DD9AEF4B0EC549CEB595108C7A0FB2C5.edm">[10]Charts!$A:$IV</definedName>
    <definedName name="_bdm.ddac57bc1dc94914a94849eebfcf7356.edm">'[7]LBO Summary'!$1:$1048576</definedName>
    <definedName name="_bdm.ddec6b06bca44cb8891ddc2d46adcf00.edm">'[4]Strat. Alt.'!$1:$1048576</definedName>
    <definedName name="_bdm.DE0CE692DCE54DACB1E6477350A755ED.edm">[8]GXDX!$A:$IV</definedName>
    <definedName name="_bdm.deef3a7911f545f1bc5fa00ab33fa5b5.edm">'[7]LBO Summary'!$1:$1048576</definedName>
    <definedName name="_bdm.df749babbaeb4eb78c624d8faefffdd0.edm">'[7]LBO Summary'!$1:$1048576</definedName>
    <definedName name="_bdm.df8a0772aecb4feebe36b576989418b8.edm">[13]AVP!$1:$1048576</definedName>
    <definedName name="_bdm.dfa77684c6cb4abbb8ec1c600b42e66a.edm">'[7]LBO Summary'!$1:$1048576</definedName>
    <definedName name="_bdm.e0599cb442cc44c2b964246f80e6eb97.edm">'[4]Strat. Alt.'!$1:$1048576</definedName>
    <definedName name="_bdm.e0bcf8c2b3d1457d826995451440c245.edm">[7]IS!$1:$1048576</definedName>
    <definedName name="_bdm.e1183ce915ad4220b4fd22b3b9ec02b1.edm">'[4]M&amp;A Comps'!$1:$1048576</definedName>
    <definedName name="_bdm.e225ac3a6e9e45438515e99255b9a7f5.edm">'[7]LBO Summary'!$1:$1048576</definedName>
    <definedName name="_bdm.e2c9688482aa409bb53dfdb0b6f1aa9e.edm">[13]AVP!$1:$1048576</definedName>
    <definedName name="_bdm.e2e83c080d9e47158186b943066eceed.edm">'[4]Strat. Alt.'!$1:$1048576</definedName>
    <definedName name="_bdm.e3374011a27e4e2591d77277e39f54f2.edm">[4]DCF!$1:$1048576</definedName>
    <definedName name="_bdm.e38097dee8c74fc4b4a4ec92b3ac4892.edm">[14]DCF!$1:$1048576</definedName>
    <definedName name="_bdm.e39b68ad05ad4f498970b3649e591e27.edm">'[4]Comps.2'!$1:$1048576</definedName>
    <definedName name="_bdm.e3b40db8198643fdbb8e0673f2abf7dd.edm">'[7]LBO Summary'!$1:$1048576</definedName>
    <definedName name="_bdm.e3d46a61e8f04d3cbeb5eca511c5777f.edm">'[4]Strat. Alt.'!$1:$1048576</definedName>
    <definedName name="_bdm.e4233ab580004325b5e803acb96d0ca6.edm">'[7]LBO Summary'!$1:$1048576</definedName>
    <definedName name="_bdm.e4825b6d71204ef4890f599a8875db97.edm">'[7]LBO Summary'!$1:$1048576</definedName>
    <definedName name="_bdm.e4c5f613766c4677914f52b4b2804a8b.edm">'[7]LBO Summary'!$1:$1048576</definedName>
    <definedName name="_bdm.e533b66f10b24d88940ad9a745ad0a1b.edm">[4]DCF!$1:$1048576</definedName>
    <definedName name="_bdm.e5ac177821b54ed5a5a777debd34af73.edm">[4]AVP!$1:$1048576</definedName>
    <definedName name="_bdm.e5f7bba1469d4262b1315bbf4ebc2436.edm">[4]WACC!$1:$1048576</definedName>
    <definedName name="_bdm.e61b8c2468b24f618362128a2a7b469a.edm">[5]FF!$1:$1048576</definedName>
    <definedName name="_bdm.e718dab095624fc8a6102c0ca68ec196.edm">[7]IS!$1:$1048576</definedName>
    <definedName name="_bdm.e75dfc2a3a084ccb870679fb49ab13d1.edm">'[4]Strat. Alt.'!$1:$1048576</definedName>
    <definedName name="_bdm.e78d8f48ad224cfb8736d3fa8d804f6b.edm">'[2]Precedent Transactions'!$1:$1048576</definedName>
    <definedName name="_bdm.e79f3be796d34177b252c555e1f34bf3.edm">[4]AVP!$1:$1048576</definedName>
    <definedName name="_bdm.e807518ba9f4496c8d76515ce6f43937.edm">[4]DCF!$1:$1048576</definedName>
    <definedName name="_bdm.e8389a0a84ad4f16b873ee3e74725391.edm">'[4]Strat. Alt.'!$1:$1048576</definedName>
    <definedName name="_bdm.e8417c08c5ed4f16bdead1b748a0c244.edm">'[7]LBO Summary'!$1:$1048576</definedName>
    <definedName name="_bdm.E88316208FBE4AD0978D03DBB7541C23.edm">[10]Charts!$A:$IV</definedName>
    <definedName name="_bdm.e9358c0f6dc346348abbc42649402f53.edm">'[4]M&amp;A Comps'!$1:$1048576</definedName>
    <definedName name="_bdm.e97ccfd53d2a41f6b5afdb3ed7648787.edm">[2]AVP!$1:$1048576</definedName>
    <definedName name="_bdm.e98f355bd5f34f6080b13d4cf583cbca.edm">'[2]Precedent Transactions'!$1:$1048576</definedName>
    <definedName name="_bdm.E997DDF80A784E1A8894B4A9F9665EF4.edm">[17]Nyco_Brad!$A$1:$IV$65536</definedName>
    <definedName name="_bdm.e9ba44344a984b95b743f963fd32318d.edm">'[7]Fin Profile'!$1:$1048576</definedName>
    <definedName name="_bdm.e9cabc598def49d595c8d89cb5ed9cca.edm">[2]AVP!$1:$1048576</definedName>
    <definedName name="_bdm.e9e8aa49f6bf406e99b0400d070282aa.edm">[14]DCF!$1:$1048576</definedName>
    <definedName name="_bdm.ea981268da9743f4a40924f63e1eec9c.edm">'[2]Football Field'!$1:$1048576</definedName>
    <definedName name="_bdm.eb0e0a4042e549f4af9fe27cc6900d8a.edm">[4]DCF!$1:$1048576</definedName>
    <definedName name="_bdm.ebf3ac965e48408998068d44fa074d76.edm">'[4]Strat. Alt.'!$1:$1048576</definedName>
    <definedName name="_bdm.ec0bbc9316b14f94b6a40465ad8ea00d.edm">[5]FF!$1:$1048576</definedName>
    <definedName name="_bdm.ec1cc636b8274dc9831bbed8d5190f05.edm">[4]DCF!$1:$1048576</definedName>
    <definedName name="_bdm.ec20681f1cd34fb3a4b36f4a6eeb3551.edm">'[7]LBO Summary'!$1:$1048576</definedName>
    <definedName name="_bdm.ECB01AA0E3AE449995C6225B548094F9.edm">[8]GXDX!$A:$IV</definedName>
    <definedName name="_bdm.ecd64e8c66544b3ea05a26a835d1e0d9.edm">'[4]Strat. Alt.'!$1:$1048576</definedName>
    <definedName name="_bdm.ed361a9e1b4d4574b98de31d6d6f6173.edm">'[4]Strat. Alt.'!$1:$1048576</definedName>
    <definedName name="_bdm.EDB180BF2DE2431B905DA2888028DE9F.edm">[8]GXDX_IPO!$A:$IV</definedName>
    <definedName name="_bdm.ee31e1b16ecc4d328a9d91ee5d4471c8.edm">'[7]LBO Summary'!$1:$1048576</definedName>
    <definedName name="_bdm.eebedc8b194c4d38b264bf1031655124.edm">'[4]Strat. Alt.'!$1:$1048576</definedName>
    <definedName name="_bdm.EEC8A490FB7D4079864A984EEA31DB3A.edm">'[6]ghdx_gxdx output OLD'!$A:$IV</definedName>
    <definedName name="_bdm.eed88f4900fb4506b084d7af64fe02ef.edm">'[5]Comp Charts'!$1:$1048576</definedName>
    <definedName name="_bdm.eef49a8e717b434b9d1b2f1d30f5542c.edm">[7]IS!$1:$1048576</definedName>
    <definedName name="_bdm.ef3087f8e1a84b859e7558036f9da51a.edm">'[4]M&amp;A Comps'!$1:$1048576</definedName>
    <definedName name="_bdm.ef4a085f2d1a475ca978556186e6a723.edm">[4]AVP!$1:$1048576</definedName>
    <definedName name="_bdm.ef54207d0c464dc6bf82733ffbd2ef04.edm">'[2]Precedent Transactions'!$1:$1048576</definedName>
    <definedName name="_bdm.efcfdbe7da63449d9cf2cf3e3b5841b2.edm">'[7]LBO Summary'!$1:$1048576</definedName>
    <definedName name="_bdm.eff68644a7a6439a81fc61f376780bbf.edm">'[4]M&amp;A Comps'!$1:$1048576</definedName>
    <definedName name="_bdm.f005fee1207d49c5999833ee9151df25.edm">[5]FF!$1:$1048576</definedName>
    <definedName name="_bdm.F0286AA43B4B46CB92400990520CD08E.edm">[8]GXDX_IPO!$A:$IV</definedName>
    <definedName name="_bdm.f08a324edf1546f18e9cfa1d083b1a93.edm">'[4]MP Charts 3.0'!$1:$1048576</definedName>
    <definedName name="_bdm.f0a9bd0b9f5943c1b947d7c1bc15a3a2.edm">'[2]Football Field'!$1:$1048576</definedName>
    <definedName name="_bdm.f0c4065cf0f54c649f6d760c4b84f599.edm">'[7]LBO Summary'!$1:$1048576</definedName>
    <definedName name="_bdm.f16f91be1d464756a57e3c03ca13d7ec.edm">'[7]LBO Summary'!$1:$1048576</definedName>
    <definedName name="_bdm.f2154e6aaaf147ef8a8c06cb4b44c00d.edm">'[7]LBO Summary'!$1:$1048576</definedName>
    <definedName name="_bdm.f23a4661994546bd971f8bca644de3b1.edm">'[4]Strat. Alt.'!$1:$1048576</definedName>
    <definedName name="_bdm.f2bb3d6bc53f4a0d8ec85521fe279905.edm">'[4]MP Charts 3.0'!$1:$1048576</definedName>
    <definedName name="_bdm.f33c764e0ecd4b9180c00d58bb8cc020.edm">'[4]MP Charts 3.0'!$1:$1048576</definedName>
    <definedName name="_bdm.f38bda9b7c9a4c1fb7c8c2ebf61925a4.edm">'[4]M&amp;A Comps'!$1:$1048576</definedName>
    <definedName name="_bdm.f38df756522148899802a6a334dc8c1c.edm">'[4]M&amp;A Comps'!$1:$1048576</definedName>
    <definedName name="_bdm.f3ec615d85214c6ba9d48f6b0b867592.edm">[4]DCF!$1:$1048576</definedName>
    <definedName name="_bdm.f4635e27187943009530b425f8606902.edm">'[7]LBO Summary'!$1:$1048576</definedName>
    <definedName name="_bdm.F48882BF5FC54EE89C2C28256D54327F.edm">'[6]ghdx_gxdx output OLD'!$A:$IV</definedName>
    <definedName name="_bdm.f4ab55ddcf4a40e282a08f18a864a0fa.edm">[5]FF!$1:$1048576</definedName>
    <definedName name="_bdm.f4ba6c18239b46c3bb18926671513286.edm">'[4]Comps.2'!$1:$1048576</definedName>
    <definedName name="_bdm.f53462570e214a549ea4953717fabec1.edm">'[7]LBO Summary'!$1:$1048576</definedName>
    <definedName name="_bdm.F5A6E7A9A8AA4302840449FF46A559F9.edm">[10]Charts!$A:$IV</definedName>
    <definedName name="_bdm.F5F43569B14F4C2AA9BA56DCCD299113.edm">'[12]Balance Sheet'!$A:$IV</definedName>
    <definedName name="_bdm.f61ba00bd1894fbca5fb6ab49ef980c4.edm">[5]FF!$1:$1048576</definedName>
    <definedName name="_bdm.f77377b8cfbf45f291702b575f98b930.edm">'[7]LBO Summary'!$1:$1048576</definedName>
    <definedName name="_bdm.f78febdfa8aa444296d93800c995d6fc.edm">'[4]Strat. Alt.'!$1:$1048576</definedName>
    <definedName name="_bdm.f884e53f117c45a88ee9187fbcb19448.edm">[5]FF!$1:$1048576</definedName>
    <definedName name="_bdm.f8e6783176b2463c919ad62e149bab1d.edm">'[4]Strat. Alt.'!$1:$1048576</definedName>
    <definedName name="_bdm.f8fb962b609c46d4b2e07f6ec81ef719.edm">'[7]LBO Summary'!$1:$1048576</definedName>
    <definedName name="_bdm.fac2a53fc4c7493a8c401ea07bcbc7ee.edm">[7]IS!$1:$1048576</definedName>
    <definedName name="_bdm.fbc1dee1a33c4588a4eed1235e7247c0.edm">'[7]LBO Summary'!$1:$1048576</definedName>
    <definedName name="_bdm.FBEED86BD05448A5BB8041D84704C098.edm">'[9]SP Comps'!$A:$IV</definedName>
    <definedName name="_bdm.fc10a3078ee44f4899fe29f24b0ab43e.edm">'[7]LBO Summary'!$1:$1048576</definedName>
    <definedName name="_bdm.fc18a011444546ec9cea643ca3cd2001.edm">'[7]LBO Summary'!$1:$1048576</definedName>
    <definedName name="_bdm.fd79c0a27cc340eca28cc3abdc19dc25.edm">'[4]M&amp;A Comps'!$1:$1048576</definedName>
    <definedName name="_bdm.fe1b09b5ec6e4fd8ac50b1d4d829ff0b.edm">'[4]M&amp;A Comps'!$1:$1048576</definedName>
    <definedName name="_bdm.fe7e3c71f7974fc39f195696b9e42177.edm">'[4]Strat. Alt.'!$1:$1048576</definedName>
    <definedName name="_bdm.fe877dc056b949fa8bd1c98d0262f785.edm">'[4]Strat. Alt.'!$1:$1048576</definedName>
    <definedName name="_bdm.FEC084ED98B149579D377AC66B5B5398.edm">[10]Charts!$A:$IV</definedName>
    <definedName name="_bdm.fee63dea079a41ec91c9932109cf5f4a.edm">'[2]Precedent Transactions'!$1:$1048576</definedName>
    <definedName name="_bdm.ff0f5429077c4944aca6786387f5d3ab.edm">[5]FF!$1:$1048576</definedName>
    <definedName name="_bdm.ffa76ab9f3984b44a0057bd5970a39ed.edm">[7]IS!$1:$1048576</definedName>
    <definedName name="_bdm.ffe1ee93c2d9494d9bb8230215dd4341.edm">[4]DCF!$1:$1048576</definedName>
    <definedName name="_Order1">255</definedName>
    <definedName name="_Order1a">0</definedName>
    <definedName name="_Order2">0</definedName>
    <definedName name="_Order2a">0</definedName>
    <definedName name="_q3">'[1]1601 Detail information'!$H$97:$H$129</definedName>
    <definedName name="AAA_DOCTOPS">"AAA_SET"</definedName>
    <definedName name="AAA_duser">"OFF"</definedName>
    <definedName name="AAB_Addin5">"AAB_Description for addin 5,Description for addin 5,Description for addin 5,Description for addin 5,Description for addin 5,Description for addin 5"</definedName>
    <definedName name="AAB_GSPPG">"AAB_Goldman Sachs PPG Chart Utilities 1.0g"</definedName>
    <definedName name="asdfa">"c313"</definedName>
    <definedName name="asdfs">"c161"</definedName>
    <definedName name="asdfsadf">"c182"</definedName>
    <definedName name="asdfsf">"c315"</definedName>
    <definedName name="asdjf">"c100"</definedName>
    <definedName name="cb_sChart41E9A35_opts">"1, 9, 1, False, 2, False, False, , 0, False, True, 1, 1"</definedName>
    <definedName name="cb_sChart68E08A4_opts">"1, 1, 1, False, 2, True, False, , 0, False, False, 2, 2"</definedName>
    <definedName name="cb_sChart6F544DD_opts">"1, 3, 1, False, 2, False, False, , 0, False, False, 2, 1"</definedName>
    <definedName name="cb_sChart74FE4B0_opts">"1, 4, 1, False, 2, True, False, , 0, False, False, 1, 1"</definedName>
    <definedName name="cb_sChart74FE8FC_opts">"1, 4, 1, False, 2, True, False, , 0, False, False, 1, 1"</definedName>
    <definedName name="cb_sChartF046D89_opts">"1, 1, 1, False, 2, True, False, , 1, False, False, 1, 1"</definedName>
    <definedName name="cb_sChartF048B26_opts">"1, 5, 1, False, 2, False, False, , 1, False, False, 1, 2"</definedName>
    <definedName name="cb_sChartF2B7B01_opts">"1, 1, 1, False, 2, True, False, , 1, False, False, 1, 1"</definedName>
    <definedName name="CIQWBGuid">"Targus_Mini_Deck.v1.xlsx"</definedName>
    <definedName name="dfasd">"c322"</definedName>
    <definedName name="ev.Calculation">-4105</definedName>
    <definedName name="ev.Initialized">FALSE</definedName>
    <definedName name="fggfds">{"fdsup://directions/FAT Viewer?action=UPDATE&amp;creator=factset&amp;DYN_ARGS=TRUE&amp;DOC_NAME=FAT:FQL_AUDITING_CLIENT_TEMPLATE.FAT&amp;display_string=Audit&amp;VAR:KEY=RUVMRUFEDA&amp;VAR:QUERY=SlVMSUFOKElDX0VTVElNQVRFKFNBTEVTKCksTUVBTixBTk5fUk9MTCwrMSwwKS5kYXRlcyk=&amp;WINDOW=FIRST","_POPUP&amp;HEIGHT=450&amp;WIDTH=450&amp;START_MAXIMIZED=FALSE&amp;VAR:CALENDAR=US&amp;VAR:SYMBOL=MDCO&amp;VAR:INDEX=0"}</definedName>
    <definedName name="hn.ExtDb">FALSE</definedName>
    <definedName name="hn.ModelType">"DEAL"</definedName>
    <definedName name="hn.ModelVersion">1</definedName>
    <definedName name="hn.NoUpload">0</definedName>
    <definedName name="hn.RolledForward">FALSE</definedName>
    <definedName name="HTML_CodePage">1252</definedName>
    <definedName name="HTML_Control">{"'SERC'!$E$1:$M$37"}</definedName>
    <definedName name="HTML_OBDlg2">FALSE</definedName>
    <definedName name="HTML_OBDlg3">TRUE</definedName>
    <definedName name="HTML_OBDlg4">TRUE</definedName>
    <definedName name="HTML_OS">0</definedName>
    <definedName name="HTML_PathFile">"Z:\News_2001\kb01030515"</definedName>
    <definedName name="HTML_PathTemplate">"Z:\gochart.htm"</definedName>
    <definedName name="HTML1_10">""</definedName>
    <definedName name="HTML1_11">1</definedName>
    <definedName name="HTML1_12">"F:\USERS\ECON\Census95\Int\T9ST.htm"</definedName>
    <definedName name="HTML1_2">1</definedName>
    <definedName name="HTML1_3">""</definedName>
    <definedName name="HTML1_4">""</definedName>
    <definedName name="HTML1_5">""</definedName>
    <definedName name="HTML1_6">-4146</definedName>
    <definedName name="HTML1_7">-4146</definedName>
    <definedName name="HTML1_8">"2/17/98"</definedName>
    <definedName name="HTML1_9">"BPH"</definedName>
    <definedName name="HTML2_10">""</definedName>
    <definedName name="HTML2_11">1</definedName>
    <definedName name="HTML2_12">"F:\USERS\ECON\Census95\Int\T9ST.htm"</definedName>
    <definedName name="HTML2_2">1</definedName>
    <definedName name="HTML2_3">""</definedName>
    <definedName name="HTML2_4">""</definedName>
    <definedName name="HTML2_5">""</definedName>
    <definedName name="HTML2_6">-4146</definedName>
    <definedName name="HTML2_7">-4146</definedName>
    <definedName name="HTML2_8">"2/17/98"</definedName>
    <definedName name="HTML2_9">"BPH"</definedName>
    <definedName name="HTML3_10">""</definedName>
    <definedName name="HTML3_11">1</definedName>
    <definedName name="HTML3_12">"F:\USERS\ECON\Census95\Int\T9st.htm"</definedName>
    <definedName name="HTML3_2">1</definedName>
    <definedName name="HTML3_3">""</definedName>
    <definedName name="HTML3_4">""</definedName>
    <definedName name="HTML3_5">""</definedName>
    <definedName name="HTML3_6">-4146</definedName>
    <definedName name="HTML3_7">-4146</definedName>
    <definedName name="HTML3_8">"2/17/98"</definedName>
    <definedName name="HTML3_9">"BPH"</definedName>
    <definedName name="HTMLCount">3</definedName>
    <definedName name="iasdf">"c88"</definedName>
    <definedName name="IQ_1_4_FAMILY_JUNIOR_LIENS_CHARGE_OFFS_FDIC">"c6605"</definedName>
    <definedName name="IQ_1_4_FAMILY_JUNIOR_LIENS_NET_CHARGE_OFFS_FDIC">"c6643"</definedName>
    <definedName name="IQ_1_4_FAMILY_JUNIOR_LIENS_RECOVERIES_FDIC">"c6624"</definedName>
    <definedName name="IQ_1_4_FAMILY_RES_DOM_FFIEC">"c15269"</definedName>
    <definedName name="IQ_1_4_FAMILY_SENIOR_LIENS_CHARGE_OFFS_FDIC">"c6604"</definedName>
    <definedName name="IQ_1_4_FAMILY_SENIOR_LIENS_NET_CHARGE_OFFS_FDIC">"c6642"</definedName>
    <definedName name="IQ_1_4_FAMILY_SENIOR_LIENS_RECOVERIES_FDIC">"c6623"</definedName>
    <definedName name="IQ_1_4_HOME_EQUITY_NET_LOANS_FDIC">"c6441"</definedName>
    <definedName name="IQ_1_4_RESIDENTIAL_FIRST_LIENS_NET_LOANS_FDIC">"c6439"</definedName>
    <definedName name="IQ_1_4_RESIDENTIAL_JUNIOR_LIENS_NET_LOANS_FDIC">"c6440"</definedName>
    <definedName name="IQ_1_4_RESIDENTIAL_LOANS_FDIC">"c6310"</definedName>
    <definedName name="IQ_ACCEPTANCES_OTHER_FOREIGN_BANKS_LL_REC_FFIEC">"c15293"</definedName>
    <definedName name="IQ_ACCEPTANCES_OTHER_US_BANKS_LL_REC_FFIEC">"c15292"</definedName>
    <definedName name="IQ_ACQUIRED_BY_REPORTING_BANK_FDIC">"c6535"</definedName>
    <definedName name="IQ_ADDIN">"AUTO"</definedName>
    <definedName name="IQ_ADDITIONAL_NON_INT_INC_FDIC">"c6574"</definedName>
    <definedName name="IQ_ADDITIONS_NON_ACCRUAL_ASSET_DURING_QTR_FFIEC">"c15349"</definedName>
    <definedName name="IQ_ADJUSTABLE_RATE_LOANS_FDIC">"c6375"</definedName>
    <definedName name="IQ_AE_BR">"c10"</definedName>
    <definedName name="IQ_AFTER_TAX_INCOME_FDIC">"c6583"</definedName>
    <definedName name="IQ_AG_PROD_FARM_LOANS_DOM_QUARTERLY_AVG_FFIEC">"c15477"</definedName>
    <definedName name="IQ_AGRICULTURAL_PRODUCTION_CHARGE_OFFS_FDIC">"c6597"</definedName>
    <definedName name="IQ_AGRICULTURAL_PRODUCTION_CHARGE_OFFS_LESS_THAN_300M_FDIC">"c6655"</definedName>
    <definedName name="IQ_AGRICULTURAL_PRODUCTION_NET_CHARGE_OFFS_FDIC">"c6635"</definedName>
    <definedName name="IQ_AGRICULTURAL_PRODUCTION_NET_CHARGE_OFFS_LESS_THAN_300M_FDIC">"c6657"</definedName>
    <definedName name="IQ_AGRICULTURAL_PRODUCTION_RECOVERIES_FDIC">"c6616"</definedName>
    <definedName name="IQ_AGRICULTURAL_PRODUCTION_RECOVERIES_LESS_THAN_300M_FDIC">"c6656"</definedName>
    <definedName name="IQ_ALL_OTHER_DEPOSITS_FOREIGN_DEP_FFIEC">"c15347"</definedName>
    <definedName name="IQ_ALL_OTHER_INVEST_UNCONSOL_SUBS_FFIEC">"c15275"</definedName>
    <definedName name="IQ_AMENDED_BALANCE_PREVIOUS_YR_FDIC">"c6499"</definedName>
    <definedName name="IQ_AMORT_EXPENSE_FDIC">"c6677"</definedName>
    <definedName name="IQ_AMORTIZED_COST_FDIC">"c6426"</definedName>
    <definedName name="IQ_ANNUAL_DIVIDEND">"c229"</definedName>
    <definedName name="IQ_AP_BR">"c34"</definedName>
    <definedName name="IQ_AR_BR">"c41"</definedName>
    <definedName name="IQ_ASSET_BACKED_FDIC">"c6301"</definedName>
    <definedName name="IQ_ASSET_WRITEDOWN_BR">"c50"</definedName>
    <definedName name="IQ_ASSET_WRITEDOWN_CF_BR">"c53"</definedName>
    <definedName name="IQ_ASSETS_HELD_FDIC">"c6305"</definedName>
    <definedName name="IQ_ASSETS_PER_EMPLOYEE_FDIC">"c6737"</definedName>
    <definedName name="IQ_ASSETS_SOLD_1_4_FAMILY_LOANS_FDIC">"c6686"</definedName>
    <definedName name="IQ_ASSETS_SOLD_AUTO_LOANS_FDIC">"c6680"</definedName>
    <definedName name="IQ_ASSETS_SOLD_CL_LOANS_FDIC">"c6681"</definedName>
    <definedName name="IQ_ASSETS_SOLD_CREDIT_CARDS_RECEIVABLES_FDIC">"c6683"</definedName>
    <definedName name="IQ_ASSETS_SOLD_HOME_EQUITY_LINES_FDIC">"c6684"</definedName>
    <definedName name="IQ_ASSETS_SOLD_OTHER_CONSUMER_LOANS_FDIC">"c6682"</definedName>
    <definedName name="IQ_ASSETS_SOLD_OTHER_LOANS_FDIC">"c6685"</definedName>
    <definedName name="IQ_AVAIL_FOR_SALE_FAIR_VALUE_TOT_FFIEC">"c15399"</definedName>
    <definedName name="IQ_AVAIL_FOR_SALE_LEVEL_1_FFIEC">"c15421"</definedName>
    <definedName name="IQ_AVAIL_FOR_SALE_LEVEL_2_FFIEC">"c15434"</definedName>
    <definedName name="IQ_AVAIL_FOR_SALE_LEVEL_3_FFIEC">"c15447"</definedName>
    <definedName name="IQ_AVAILABLE_FOR_SALE_FDIC">"c6409"</definedName>
    <definedName name="IQ_AVERAGE_ASSETS_FDIC">"c6362"</definedName>
    <definedName name="IQ_AVERAGE_ASSETS_QUART_FDIC">"c6363"</definedName>
    <definedName name="IQ_AVERAGE_DEPOSITS">"c15256"</definedName>
    <definedName name="IQ_AVERAGE_EARNING_ASSETS_FDIC">"c6748"</definedName>
    <definedName name="IQ_AVERAGE_EQUITY_FDIC">"c6749"</definedName>
    <definedName name="IQ_AVERAGE_INTEREST_BEARING_DEPOSITS">"c15254"</definedName>
    <definedName name="IQ_AVERAGE_LOANS_FDIC">"c6750"</definedName>
    <definedName name="IQ_AVERAGE_LOANS_HFI">"c15251"</definedName>
    <definedName name="IQ_AVERAGE_LOANS_HFS">"c15252"</definedName>
    <definedName name="IQ_AVERAGE_NON_INTEREST_BEARING_DEPOSITS">"c15255"</definedName>
    <definedName name="IQ_AVG_PRICE_TARGET">"c82"</definedName>
    <definedName name="IQ_BALANCE_GOODS_APR_FC_UNUSED_UNUSED_UNUSED">"c8353"</definedName>
    <definedName name="IQ_BALANCE_GOODS_APR_UNUSED_UNUSED_UNUSED">"c7473"</definedName>
    <definedName name="IQ_BALANCE_GOODS_FC_UNUSED_UNUSED_UNUSED">"c7693"</definedName>
    <definedName name="IQ_BALANCE_GOODS_POP_FC_UNUSED_UNUSED_UNUSED">"c7913"</definedName>
    <definedName name="IQ_BALANCE_GOODS_POP_UNUSED_UNUSED_UNUSED">"c7033"</definedName>
    <definedName name="IQ_BALANCE_GOODS_UNUSED_UNUSED_UNUSED">"c6813"</definedName>
    <definedName name="IQ_BALANCE_GOODS_YOY_FC_UNUSED_UNUSED_UNUSED">"c8133"</definedName>
    <definedName name="IQ_BALANCE_GOODS_YOY_UNUSED_UNUSED_UNUSED">"c7253"</definedName>
    <definedName name="IQ_BALANCE_SERV_APR_FC_UNUSED_UNUSED_UNUSED">"c8355"</definedName>
    <definedName name="IQ_BALANCE_SERV_APR_UNUSED_UNUSED_UNUSED">"c7475"</definedName>
    <definedName name="IQ_BALANCE_SERV_FC_UNUSED_UNUSED_UNUSED">"c7695"</definedName>
    <definedName name="IQ_BALANCE_SERV_POP_FC_UNUSED_UNUSED_UNUSED">"c7915"</definedName>
    <definedName name="IQ_BALANCE_SERV_POP_UNUSED_UNUSED_UNUSED">"c7035"</definedName>
    <definedName name="IQ_BALANCE_SERV_UNUSED_UNUSED_UNUSED">"c6815"</definedName>
    <definedName name="IQ_BALANCE_SERV_YOY_FC_UNUSED_UNUSED_UNUSED">"c8135"</definedName>
    <definedName name="IQ_BALANCE_SERV_YOY_UNUSED_UNUSED_UNUSED">"c7255"</definedName>
    <definedName name="IQ_BALANCE_TRADE_APR_FC_UNUSED_UNUSED_UNUSED">"c8357"</definedName>
    <definedName name="IQ_BALANCE_TRADE_APR_UNUSED_UNUSED_UNUSED">"c7477"</definedName>
    <definedName name="IQ_BALANCE_TRADE_FC_UNUSED_UNUSED_UNUSED">"c7697"</definedName>
    <definedName name="IQ_BALANCE_TRADE_POP_FC_UNUSED_UNUSED_UNUSED">"c7917"</definedName>
    <definedName name="IQ_BALANCE_TRADE_POP_UNUSED_UNUSED_UNUSED">"c7037"</definedName>
    <definedName name="IQ_BALANCE_TRADE_UNUSED_UNUSED_UNUSED">"c6817"</definedName>
    <definedName name="IQ_BALANCE_TRADE_YOY_FC_UNUSED_UNUSED_UNUSED">"c8137"</definedName>
    <definedName name="IQ_BALANCE_TRADE_YOY_UNUSED_UNUSED_UNUSED">"c7257"</definedName>
    <definedName name="IQ_BALANCES_DUE_DEPOSITORY_INSTITUTIONS_FDIC">"c6389"</definedName>
    <definedName name="IQ_BALANCES_DUE_FOREIGN_FDIC">"c6391"</definedName>
    <definedName name="IQ_BALANCES_DUE_FRB_FDIC">"c6393"</definedName>
    <definedName name="IQ_BANK_BENEFICIARY_FDIC">"c6505"</definedName>
    <definedName name="IQ_BANK_GUARANTOR_FDIC">"c6506"</definedName>
    <definedName name="IQ_BANK_PREMISES_FDIC">"c6329"</definedName>
    <definedName name="IQ_BANK_SECURITIZATION_1_4_FAMILY_LOANS_FDIC">"c6721"</definedName>
    <definedName name="IQ_BANK_SECURITIZATION_AUTO_LOANS_FDIC">"c6715"</definedName>
    <definedName name="IQ_BANK_SECURITIZATION_CL_LOANS_FDIC">"c6716"</definedName>
    <definedName name="IQ_BANK_SECURITIZATION_CREDIT_CARDS_RECEIVABLES_FDIC">"c6718"</definedName>
    <definedName name="IQ_BANK_SECURITIZATION_HOME_EQUITY_LINES_FDIC">"c6719"</definedName>
    <definedName name="IQ_BANK_SECURITIZATION_OTHER_CONSUMER_LOANS_FDIC">"c6717"</definedName>
    <definedName name="IQ_BANK_SECURITIZATION_OTHER_LOANS_FDIC">"c6720"</definedName>
    <definedName name="IQ_BANKS_FOREIGN_COUNTRIES_NON_TRANS_ACCTS_FFIEC">"c15326"</definedName>
    <definedName name="IQ_BANKS_FOREIGN_COUNTRIES_TOTAL_DEPOSITS_FDIC">"c6475"</definedName>
    <definedName name="IQ_BANKS_FOREIGN_COUNTRIES_TRANS_ACCTS_FFIEC">"c15318"</definedName>
    <definedName name="IQ_BIZ_SEG_ASSETS">"c90"</definedName>
    <definedName name="IQ_BIZ_SEG_EBT">"c91"</definedName>
    <definedName name="IQ_BIZ_SEG_GP">"c92"</definedName>
    <definedName name="IQ_BIZ_SEG_NI">"c93"</definedName>
    <definedName name="IQ_BIZ_SEG_OPER_INC">"c94"</definedName>
    <definedName name="IQ_BIZ_SEG_REV">"c95"</definedName>
    <definedName name="IQ_BOARD_MEMBER_ASSISTANT_EMAIL">"c15179"</definedName>
    <definedName name="IQ_BOARD_MEMBER_ASSISTANT_FAX">"c15181"</definedName>
    <definedName name="IQ_BOARD_MEMBER_ASSISTANT_NAME">"c15178"</definedName>
    <definedName name="IQ_BOARD_MEMBER_ASSISTANT_PHONE">"c15180"</definedName>
    <definedName name="IQ_BOARD_MEMBER_DIRECT_FAX">"c15176"</definedName>
    <definedName name="IQ_BOARD_MEMBER_DIRECT_PHONE">"c15175"</definedName>
    <definedName name="IQ_BOARD_MEMBER_EMAIL">"c15177"</definedName>
    <definedName name="IQ_BOARD_MEMBER_MAIN_FAX">"c15174"</definedName>
    <definedName name="IQ_BOARD_MEMBER_MAIN_PHONE">"c15173"</definedName>
    <definedName name="IQ_BOARD_MEMBER_OFFICE_ADDRESS">"c15172"</definedName>
    <definedName name="IQ_BONDRATING_FITCH">"IQ_BONDRATING_FITCH"</definedName>
    <definedName name="IQ_BONDRATING_FITCH_DATE">"c241"</definedName>
    <definedName name="IQ_BONDRATING_SP">"IQ_BONDRATING_SP"</definedName>
    <definedName name="IQ_BONDRATING_SP_DATE">"c242"</definedName>
    <definedName name="IQ_BOOK_VALUE">"IQ_BOOK_VALUE"</definedName>
    <definedName name="IQ_BROKER_DEPOSIT_LESS_THAN_100000_1_YR_LESS_FFIEC">"c15307"</definedName>
    <definedName name="IQ_BROKER_DEPOSIT_LESS_THAN_100000_1_YR_MORE_FFIEC">"c15308"</definedName>
    <definedName name="IQ_BROKER_DEPOSIT_LESS_THAN_100000_FFIEC">"c15306"</definedName>
    <definedName name="IQ_BROKER_DEPOSIT_MORE_THAN_100000_1_YR_LESS_FFIEC">"c15310"</definedName>
    <definedName name="IQ_BROKER_DEPOSIT_MORE_THAN_100000_1_YR_MORE_FFIEC">"c15311"</definedName>
    <definedName name="IQ_BROKER_DEPOSIT_MORE_THAN_100000_FFIEC">"c15309"</definedName>
    <definedName name="IQ_BROKERED_DEPOSITS_FDIC">"c6486"</definedName>
    <definedName name="IQ_BUDGET_BALANCE_APR_FC_UNUSED_UNUSED_UNUSED">"c8359"</definedName>
    <definedName name="IQ_BUDGET_BALANCE_APR_UNUSED_UNUSED_UNUSED">"c7479"</definedName>
    <definedName name="IQ_BUDGET_BALANCE_FC_UNUSED_UNUSED_UNUSED">"c7699"</definedName>
    <definedName name="IQ_BUDGET_BALANCE_POP_FC_UNUSED_UNUSED_UNUSED">"c7919"</definedName>
    <definedName name="IQ_BUDGET_BALANCE_POP_UNUSED_UNUSED_UNUSED">"c7039"</definedName>
    <definedName name="IQ_BUDGET_BALANCE_UNUSED_UNUSED_UNUSED">"c6819"</definedName>
    <definedName name="IQ_BUDGET_BALANCE_YOY_FC_UNUSED_UNUSED_UNUSED">"c8139"</definedName>
    <definedName name="IQ_BUDGET_BALANCE_YOY_UNUSED_UNUSED_UNUSED">"c7259"</definedName>
    <definedName name="IQ_BUDGET_RECEIPTS_APR_FC_UNUSED_UNUSED_UNUSED">"c8361"</definedName>
    <definedName name="IQ_BUDGET_RECEIPTS_APR_UNUSED_UNUSED_UNUSED">"c7481"</definedName>
    <definedName name="IQ_BUDGET_RECEIPTS_FC_UNUSED_UNUSED_UNUSED">"c7701"</definedName>
    <definedName name="IQ_BUDGET_RECEIPTS_POP_FC_UNUSED_UNUSED_UNUSED">"c7921"</definedName>
    <definedName name="IQ_BUDGET_RECEIPTS_POP_UNUSED_UNUSED_UNUSED">"c7041"</definedName>
    <definedName name="IQ_BUDGET_RECEIPTS_UNUSED_UNUSED_UNUSED">"c6821"</definedName>
    <definedName name="IQ_BUDGET_RECEIPTS_YOY_FC_UNUSED_UNUSED_UNUSED">"c8141"</definedName>
    <definedName name="IQ_BUDGET_RECEIPTS_YOY_UNUSED_UNUSED_UNUSED">"c7261"</definedName>
    <definedName name="IQ_BV_ACT_OR_EST_REUT">"c5471"</definedName>
    <definedName name="IQ_BV_EST_REUT">"c5403"</definedName>
    <definedName name="IQ_BV_HIGH_EST_REUT">"c5405"</definedName>
    <definedName name="IQ_BV_LOW_EST_REUT">"c5406"</definedName>
    <definedName name="IQ_BV_MEDIAN_EST_REUT">"c5404"</definedName>
    <definedName name="IQ_BV_NUM_EST_REUT">"c5407"</definedName>
    <definedName name="IQ_BV_STDDEV_EST_REUT">"c5408"</definedName>
    <definedName name="IQ_CAPEX_BR">"c111"</definedName>
    <definedName name="IQ_CAPITAL_ALLOCATION_ADJUSTMENT_FOREIGN_FFIEC">"c15389"</definedName>
    <definedName name="IQ_CASH_BANKS_FOREIGN_COUNTRIES_DOM_FFIEC">"c15289"</definedName>
    <definedName name="IQ_CASH_COLLECTION_UNPOSTED_DEBITS_CURRENCY_FFIEC">"c15279"</definedName>
    <definedName name="IQ_CASH_COLLECTION_UNPOSTED_DEBITS_DOM_FFIEC">"c15286"</definedName>
    <definedName name="IQ_CASH_DEPOSITORY_INSTIT_US_DOM_FFIEC">"c15288"</definedName>
    <definedName name="IQ_CASH_DIVIDENDS_NET_INCOME_FDIC">"c6738"</definedName>
    <definedName name="IQ_CASH_DUE_OTHER_FED_RESERVE_BANKS_DOM_FFIEC">"c15290"</definedName>
    <definedName name="IQ_CASH_DUE_OTHER_FED_RESERVE_BANKS_FFIEC">"c15284"</definedName>
    <definedName name="IQ_CASH_DUE_US_BRANCH_FOREIGN_BANK_FFIEC">"c15280"</definedName>
    <definedName name="IQ_CASH_FOREIGN_BRANCH_OTHER_US_BANKS_FFIEC">"c15282"</definedName>
    <definedName name="IQ_CASH_IN_PROCESS_FDIC">"c6386"</definedName>
    <definedName name="IQ_CASH_OTHER_BANKS_FOREIGN_COUNTRIES_FFIEC">"c15283"</definedName>
    <definedName name="IQ_CASH_OTHER_US_COMM_BANK_DEP_INSTIT_FFIEC">"c15281"</definedName>
    <definedName name="IQ_CASH_STRUCTURED_PRODUCTS_AVAIL_SALE_FFIEC">"c15263"</definedName>
    <definedName name="IQ_CASH_STRUCTURED_PRODUCTS_FFIEC">"c15260"</definedName>
    <definedName name="IQ_CCE_FDIC">"c6296"</definedName>
    <definedName name="IQ_CDS_COUPON">"c15234"</definedName>
    <definedName name="IQ_CDS_NEXT_SERIES_ID">"c15231"</definedName>
    <definedName name="IQ_CDS_PREV_SERIES_ID">"c15232"</definedName>
    <definedName name="IQ_CDS_PRICE_TYPE">"c15233"</definedName>
    <definedName name="IQ_CEO_ID">"c15210"</definedName>
    <definedName name="IQ_CEO_NAME">"c15209"</definedName>
    <definedName name="IQ_CERTIFIED_OFFICIAL_CHECKS_TRANS_ACCTS_FFIEC">"c15320"</definedName>
    <definedName name="IQ_CFO_ID">"c15212"</definedName>
    <definedName name="IQ_CFO_NAME">"c15211"</definedName>
    <definedName name="IQ_CH">110000</definedName>
    <definedName name="IQ_CHAIRMAN_ID">"c15218"</definedName>
    <definedName name="IQ_CHAIRMAN_NAME">"c15217"</definedName>
    <definedName name="IQ_CHANGE_AP_BR">"c135"</definedName>
    <definedName name="IQ_CHANGE_AR_BR">"c142"</definedName>
    <definedName name="IQ_CHANGE_DEF_TAX_TOTAL">"c15557"</definedName>
    <definedName name="IQ_CHANGE_INVENT_REAL_APR_FC_UNUSED_UNUSED_UNUSED">"c8500"</definedName>
    <definedName name="IQ_CHANGE_INVENT_REAL_APR_UNUSED_UNUSED_UNUSED">"c7620"</definedName>
    <definedName name="IQ_CHANGE_INVENT_REAL_FC_UNUSED_UNUSED_UNUSED">"c7840"</definedName>
    <definedName name="IQ_CHANGE_INVENT_REAL_POP_FC_UNUSED_UNUSED_UNUSED">"c8060"</definedName>
    <definedName name="IQ_CHANGE_INVENT_REAL_POP_UNUSED_UNUSED_UNUSED">"c7180"</definedName>
    <definedName name="IQ_CHANGE_INVENT_REAL_UNUSED_UNUSED_UNUSED">"c6960"</definedName>
    <definedName name="IQ_CHANGE_INVENT_REAL_YOY_FC_UNUSED_UNUSED_UNUSED">"c8280"</definedName>
    <definedName name="IQ_CHANGE_INVENT_REAL_YOY_UNUSED_UNUSED_UNUSED">"c7400"</definedName>
    <definedName name="IQ_CHANGE_OTHER_NET_OPER_ASSETS_BR">"c3595"</definedName>
    <definedName name="IQ_CHANGE_OTHER_WORK_CAP_BR">"c154"</definedName>
    <definedName name="IQ_CHARGE_OFFS_1_4_FAMILY_FDIC">"c6756"</definedName>
    <definedName name="IQ_CHARGE_OFFS_1_4_FAMILY_LOANS_FDIC">"c6714"</definedName>
    <definedName name="IQ_CHARGE_OFFS_AUTO_LOANS_FDIC">"c6708"</definedName>
    <definedName name="IQ_CHARGE_OFFS_CL_LOANS_FDIC">"c6709"</definedName>
    <definedName name="IQ_CHARGE_OFFS_COMMERCIAL_INDUSTRIAL_FDIC">"c6759"</definedName>
    <definedName name="IQ_CHARGE_OFFS_COMMERCIAL_RE_FDIC">"c6754"</definedName>
    <definedName name="IQ_CHARGE_OFFS_COMMERCIAL_RE_NOT_SECURED_FDIC">"c6764"</definedName>
    <definedName name="IQ_CHARGE_OFFS_CONSTRUCTION_DEVELOPMENT_FDIC">"c6753"</definedName>
    <definedName name="IQ_CHARGE_OFFS_CREDIT_CARDS_FDIC">"c6761"</definedName>
    <definedName name="IQ_CHARGE_OFFS_CREDIT_CARDS_RECEIVABLES_FDIC">"c6711"</definedName>
    <definedName name="IQ_CHARGE_OFFS_HOME_EQUITY_FDIC">"c6757"</definedName>
    <definedName name="IQ_CHARGE_OFFS_HOME_EQUITY_LINES_FDIC">"c6712"</definedName>
    <definedName name="IQ_CHARGE_OFFS_INDIVIDUALS_FDIC">"c6760"</definedName>
    <definedName name="IQ_CHARGE_OFFS_MULTI_FAMILY_FDIC">"c6755"</definedName>
    <definedName name="IQ_CHARGE_OFFS_OTHER_1_4_FAMILY_FDIC">"c6758"</definedName>
    <definedName name="IQ_CHARGE_OFFS_OTHER_CONSUMER_LOANS_FDIC">"c6710"</definedName>
    <definedName name="IQ_CHARGE_OFFS_OTHER_INDIVIDUAL_FDIC">"c6762"</definedName>
    <definedName name="IQ_CHARGE_OFFS_OTHER_LOANS_FDIC">"c6763"</definedName>
    <definedName name="IQ_CHARGE_OFFS_OTHER_LOANS_OTHER_FDIC">"c6713"</definedName>
    <definedName name="IQ_CHARGE_OFFS_RE_LOANS_FDIC">"c6752"</definedName>
    <definedName name="IQ_CLOSED_END_SEC_1_4_RESIDENT_CHARGE_OFFS_FFIEC">"c15397"</definedName>
    <definedName name="IQ_CLOSED_END_SEC_1_4_RESIDENT_DUE_30_89_FFIEC">"c15413"</definedName>
    <definedName name="IQ_CLOSED_END_SEC_1_4_RESIDENT_DUE_90_FFIEC">"c15417"</definedName>
    <definedName name="IQ_CLOSED_END_SEC_1_4_RESIDENT_NON_ACCRUAL_FFIEC">"c15460"</definedName>
    <definedName name="IQ_CLOSED_END_SEC_1_4_RESIDENT_RECOV_FFIEC">"c15398"</definedName>
    <definedName name="IQ_CMO_FDIC">"c6406"</definedName>
    <definedName name="IQ_COLLECTION_DOMESTIC_FDIC">"c6387"</definedName>
    <definedName name="IQ_COMM_BANKS_OTHER_DEP_INST_US_TRANS_ACCTS_FFIEC">"c15317"</definedName>
    <definedName name="IQ_COMM_BANKS_OTHER_INST_US_NON_TRANS_ACCTS_FFIEC">"c15325"</definedName>
    <definedName name="IQ_COMMERCIAL_BANKS_DEPOSITS_FOREIGN_FDIC">"c6480"</definedName>
    <definedName name="IQ_COMMERCIAL_BANKS_LOANS_FDIC">"c6434"</definedName>
    <definedName name="IQ_COMMERCIAL_BANKS_NONTRANSACTION_ACCOUNTS_FDIC">"c6548"</definedName>
    <definedName name="IQ_COMMERCIAL_BANKS_TOTAL_DEPOSITS_FDIC">"c6474"</definedName>
    <definedName name="IQ_COMMERCIAL_BANKS_TOTAL_LOANS_FOREIGN_FDIC">"c6444"</definedName>
    <definedName name="IQ_COMMERCIAL_BANKS_TRANSACTION_ACCOUNTS_FDIC">"c6540"</definedName>
    <definedName name="IQ_COMMERCIAL_DOM">"c177"</definedName>
    <definedName name="IQ_COMMERCIAL_INDUSTRIAL_CHARGE_OFFS_FDIC">"c6598"</definedName>
    <definedName name="IQ_COMMERCIAL_INDUSTRIAL_DOM_QUARTERLY_AVG_FFIEC">"c15478"</definedName>
    <definedName name="IQ_COMMERCIAL_INDUSTRIAL_LOANS_NET_FDIC">"c6317"</definedName>
    <definedName name="IQ_COMMERCIAL_INDUSTRIAL_NET_CHARGE_OFFS_FDIC">"c6636"</definedName>
    <definedName name="IQ_COMMERCIAL_INDUSTRIAL_NON_US_DUE_30_89_FFIEC">"c15415"</definedName>
    <definedName name="IQ_COMMERCIAL_INDUSTRIAL_NON_US_DUE_90_FFIEC">"c15419"</definedName>
    <definedName name="IQ_COMMERCIAL_INDUSTRIAL_NON_US_NON_ACCRUAL_FFIEC">"c15464"</definedName>
    <definedName name="IQ_COMMERCIAL_INDUSTRIAL_RECOVERIES_FDIC">"c6617"</definedName>
    <definedName name="IQ_COMMERCIAL_INDUSTRIAL_TOTAL_LOANS_FOREIGN_FDIC">"c6451"</definedName>
    <definedName name="IQ_COMMERCIAL_INDUSTRIAL_US_DUE_30_89_FFIEC">"c15414"</definedName>
    <definedName name="IQ_COMMERCIAL_INDUSTRIAL_US_DUE_90_FFIEC">"c15418"</definedName>
    <definedName name="IQ_COMMERCIAL_INDUSTRIAL_US_NON_ACCRUAL_FFIEC">"c15463"</definedName>
    <definedName name="IQ_COMMERCIAL_MORT">"c179"</definedName>
    <definedName name="IQ_COMMERCIAL_RE_CONSTRUCTION_LAND_DEV_FDIC">"c6526"</definedName>
    <definedName name="IQ_COMMERCIAL_RE_LOANS_FDIC">"c6312"</definedName>
    <definedName name="IQ_COMMITMENTS_MATURITY_EXCEEDING_1YR_FDIC">"c6531"</definedName>
    <definedName name="IQ_COMMITMENTS_NOT_SECURED_RE_FDIC">"c6528"</definedName>
    <definedName name="IQ_COMMITMENTS_SECURED_RE_FDIC">"c6527"</definedName>
    <definedName name="IQ_COMMODITY_EXPOSURES_FDIC">"c6665"</definedName>
    <definedName name="IQ_COMMON_APIC_BR">"c185"</definedName>
    <definedName name="IQ_COMMON_FDIC">"c6350"</definedName>
    <definedName name="IQ_COMMON_ISSUED_BR">"c199"</definedName>
    <definedName name="IQ_COMMON_REP_BR">"c208"</definedName>
    <definedName name="IQ_COMPANY_TICKER_NO_EXCH">"c15490"</definedName>
    <definedName name="IQ_CONSOLIDATED_NI_FOREIGN_FFIEC">"c15396"</definedName>
    <definedName name="IQ_CONSTRUCTION_DEV_LOANS_FDIC">"c6313"</definedName>
    <definedName name="IQ_CONSTRUCTION_LAND_DEV_DOM_FFIEC">"c15267"</definedName>
    <definedName name="IQ_CONSTRUCTION_LAND_DEVELOPMENT_CHARGE_OFFS_FDIC">"c6594"</definedName>
    <definedName name="IQ_CONSTRUCTION_LAND_DEVELOPMENT_NET_CHARGE_OFFS_FDIC">"c6632"</definedName>
    <definedName name="IQ_CONSTRUCTION_LAND_DEVELOPMENT_RECOVERIES_FDIC">"c6613"</definedName>
    <definedName name="IQ_CONTRACTS_OTHER_COMMODITIES_EQUITIES._FDIC">"c6522"</definedName>
    <definedName name="IQ_CONTRACTS_OTHER_COMMODITIES_EQUITIES_FDIC">"c6522"</definedName>
    <definedName name="IQ_CONV_RATE">"c2192"</definedName>
    <definedName name="IQ_CONVERT_DEBT">"c224"</definedName>
    <definedName name="IQ_CONVEYED_TO_OTHERS_FDIC">"c6534"</definedName>
    <definedName name="IQ_COO_ID">"c15222"</definedName>
    <definedName name="IQ_COO_NAME">"c15221"</definedName>
    <definedName name="IQ_CORE_CAPITAL_RATIO_FDIC">"c6745"</definedName>
    <definedName name="IQ_CORE_TIER_ONE_CAPITAL">"c15244"</definedName>
    <definedName name="IQ_CORE_TIER_ONE_CAPITAL_RATIO">"c15240"</definedName>
    <definedName name="IQ_CORP_GOODS_PRICE_INDEX_APR_FC_UNUSED_UNUSED_UNUSED">"c8381"</definedName>
    <definedName name="IQ_CORP_GOODS_PRICE_INDEX_APR_UNUSED_UNUSED_UNUSED">"c7501"</definedName>
    <definedName name="IQ_CORP_GOODS_PRICE_INDEX_FC_UNUSED_UNUSED_UNUSED">"c7721"</definedName>
    <definedName name="IQ_CORP_GOODS_PRICE_INDEX_POP_FC_UNUSED_UNUSED_UNUSED">"c7941"</definedName>
    <definedName name="IQ_CORP_GOODS_PRICE_INDEX_POP_UNUSED_UNUSED_UNUSED">"c7061"</definedName>
    <definedName name="IQ_CORP_GOODS_PRICE_INDEX_UNUSED_UNUSED_UNUSED">"c6841"</definedName>
    <definedName name="IQ_CORP_GOODS_PRICE_INDEX_YOY_FC_UNUSED_UNUSED_UNUSED">"c8161"</definedName>
    <definedName name="IQ_CORP_GOODS_PRICE_INDEX_YOY_UNUSED_UNUSED_UNUSED">"c7281"</definedName>
    <definedName name="IQ_COST_OF_FUNDING_ASSETS_FDIC">"c6725"</definedName>
    <definedName name="IQ_COVERAGE_RATIO">"c15243"</definedName>
    <definedName name="IQ_CQ">5000</definedName>
    <definedName name="IQ_CREDIT_CARD_CHARGE_OFFS_FDIC">"c6652"</definedName>
    <definedName name="IQ_CREDIT_CARD_FEE">"c231"</definedName>
    <definedName name="IQ_CREDIT_CARD_LINES_FDIC">"c6525"</definedName>
    <definedName name="IQ_CREDIT_CARD_LOANS_DOM_QUARTERLY_AVG_FFIEC">"c15480"</definedName>
    <definedName name="IQ_CREDIT_CARD_LOANS_FDIC">"c6319"</definedName>
    <definedName name="IQ_CREDIT_CARD_NET_CHARGE_OFFS_FDIC">"c6654"</definedName>
    <definedName name="IQ_CREDIT_CARD_RECOVERIES_FDIC">"c6653"</definedName>
    <definedName name="IQ_CREDIT_LOSS_PROVISION_NET_CHARGE_OFFS_FDIC">"c6734"</definedName>
    <definedName name="IQ_CURR_ACCT_BALANCE_APR_FC_UNUSED_UNUSED_UNUSED">"c8387"</definedName>
    <definedName name="IQ_CURR_ACCT_BALANCE_APR_UNUSED_UNUSED_UNUSED">"c7507"</definedName>
    <definedName name="IQ_CURR_ACCT_BALANCE_FC_UNUSED_UNUSED_UNUSED">"c7727"</definedName>
    <definedName name="IQ_CURR_ACCT_BALANCE_POP_FC_UNUSED_UNUSED_UNUSED">"c7947"</definedName>
    <definedName name="IQ_CURR_ACCT_BALANCE_POP_UNUSED_UNUSED_UNUSED">"c7067"</definedName>
    <definedName name="IQ_CURR_ACCT_BALANCE_UNUSED_UNUSED_UNUSED">"c6847"</definedName>
    <definedName name="IQ_CURR_ACCT_BALANCE_YOY_FC_UNUSED_UNUSED_UNUSED">"c8167"</definedName>
    <definedName name="IQ_CURR_ACCT_BALANCE_YOY_UNUSED_UNUSED_UNUSED">"c7287"</definedName>
    <definedName name="IQ_CURRENCY_COIN_DOM_FFIEC">"c15287"</definedName>
    <definedName name="IQ_CURRENCY_COIN_DOMESTIC_FDIC">"c6388"</definedName>
    <definedName name="IQ_CURRENCY_GAIN_BR">"c236"</definedName>
    <definedName name="IQ_CURRENT_PORT_DEBT_BR">"c1567"</definedName>
    <definedName name="IQ_CY">10000</definedName>
    <definedName name="IQ_DA_BR">"c248"</definedName>
    <definedName name="IQ_DA_CF_BR">"c251"</definedName>
    <definedName name="IQ_DA_SUPPL_BR">"c260"</definedName>
    <definedName name="IQ_DA_SUPPL_CF_BR">"c263"</definedName>
    <definedName name="IQ_DAILY">500000</definedName>
    <definedName name="IQ_DEF_AMORT_BR">"c278"</definedName>
    <definedName name="IQ_DEF_CHARGES_BR">"c288"</definedName>
    <definedName name="IQ_DEF_CHARGES_LT_BR">"c294"</definedName>
    <definedName name="IQ_DEF_TAX_ASSET_LT_BR">"c304"</definedName>
    <definedName name="IQ_DEF_TAX_LIAB_LT_BR">"c315"</definedName>
    <definedName name="IQ_DEMAND_DEPOSITS_FDIC">"c6489"</definedName>
    <definedName name="IQ_DEPOSIT_ACCOUNTS_LESS_THAN_100K_FDIC">"c6494"</definedName>
    <definedName name="IQ_DEPOSIT_ACCOUNTS_MORE_THAN_100K_FDIC">"c6492"</definedName>
    <definedName name="IQ_DEPOSITORY_INSTITUTIONS_CHARGE_OFFS_FDIC">"c6596"</definedName>
    <definedName name="IQ_DEPOSITORY_INSTITUTIONS_NET_CHARGE_OFFS_FDIC">"c6634"</definedName>
    <definedName name="IQ_DEPOSITORY_INSTITUTIONS_RECOVERIES_FDIC">"c6615"</definedName>
    <definedName name="IQ_DEPOSITS_FOREIGN_BANKS_FOREIGN_AGENCIES_FFIEC">"c15344"</definedName>
    <definedName name="IQ_DEPOSITS_HELD_DOMESTIC_FDIC">"c6340"</definedName>
    <definedName name="IQ_DEPOSITS_HELD_FOREIGN_FDIC">"c6341"</definedName>
    <definedName name="IQ_DEPOSITS_LESS_THAN_100K_AFTER_THREE_YEARS_FDIC">"c6464"</definedName>
    <definedName name="IQ_DEPOSITS_LESS_THAN_100K_THREE_MONTHS_FDIC">"c6461"</definedName>
    <definedName name="IQ_DEPOSITS_LESS_THAN_100K_THREE_YEARS_FDIC">"c6463"</definedName>
    <definedName name="IQ_DEPOSITS_LESS_THAN_100K_TWELVE_MONTHS_FDIC">"c6462"</definedName>
    <definedName name="IQ_DEPOSITS_MORE_THAN_100K_AFTER_THREE_YEARS_FDIC">"c6469"</definedName>
    <definedName name="IQ_DEPOSITS_MORE_THAN_100K_THREE_MONTHS_FDIC">"c6466"</definedName>
    <definedName name="IQ_DEPOSITS_MORE_THAN_100K_THREE_YEARS_FDIC">"c6468"</definedName>
    <definedName name="IQ_DEPOSITS_MORE_THAN_100K_TWELVE_MONTHS_FDIC">"c6467"</definedName>
    <definedName name="IQ_DERIVATIVE_ASSETS_FAIR_VALUE_TOT_FFIEC">"c15403"</definedName>
    <definedName name="IQ_DERIVATIVE_ASSETS_LEVEL_1_FFIEC">"c15425"</definedName>
    <definedName name="IQ_DERIVATIVE_ASSETS_LEVEL_2_FFIEC">"c15438"</definedName>
    <definedName name="IQ_DERIVATIVE_ASSETS_LEVEL_3_FFIEC">"c15451"</definedName>
    <definedName name="IQ_DERIVATIVE_LIABILITIES_FAIR_VALUE_TOT_FFIEC">"c15407"</definedName>
    <definedName name="IQ_DERIVATIVE_LIABILITIES_LEVEL_1_FFIEC">"c15429"</definedName>
    <definedName name="IQ_DERIVATIVE_LIABILITIES_LEVEL_2_FFIEC">"c15442"</definedName>
    <definedName name="IQ_DERIVATIVE_LIABILITIES_LEVEL_3_FFIEC">"c15455"</definedName>
    <definedName name="IQ_DERIVATIVES_FDIC">"c6523"</definedName>
    <definedName name="IQ_DIRECT_INDIRECT_RE_VENTURES_FFIEC">"c15266"</definedName>
    <definedName name="IQ_DIRECT_INDIRECT_RE_VENTURES_UNCONSOL_FFIEC">"c15274"</definedName>
    <definedName name="IQ_DIVIDENDS_DECLARED_COMMON_FDIC">"c6659"</definedName>
    <definedName name="IQ_DIVIDENDS_DECLARED_PREFERRED_FDIC">"c6658"</definedName>
    <definedName name="IQ_DIVIDENDS_FDIC">"c6660"</definedName>
    <definedName name="IQ_DNTM">700000</definedName>
    <definedName name="IQ_EARNING_ASSETS_FDIC">"c6360"</definedName>
    <definedName name="IQ_EARNING_ASSETS_YIELD_FDIC">"c6724"</definedName>
    <definedName name="IQ_EARNINGS_COVERAGE_NET_CHARGE_OFFS_FDIC">"c6735"</definedName>
    <definedName name="IQ_EBIT_10K">"IQ_EBIT_10K"</definedName>
    <definedName name="IQ_EBIT_10Q">"IQ_EBIT_10Q"</definedName>
    <definedName name="IQ_EBIT_10Q1">"IQ_EBIT_10Q1"</definedName>
    <definedName name="IQ_EBIT_GROWTH_1">"IQ_EBIT_GROWTH_1"</definedName>
    <definedName name="IQ_EBIT_GROWTH_2">"IQ_EBIT_GROWTH_2"</definedName>
    <definedName name="IQ_EBIT_NET_INT">"c360"</definedName>
    <definedName name="IQ_EBITDA_10K">"IQ_EBITDA_10K"</definedName>
    <definedName name="IQ_EBITDA_10Q">"IQ_EBITDA_10Q"</definedName>
    <definedName name="IQ_EBITDA_10Q1">"IQ_EBITDA_10Q1"</definedName>
    <definedName name="IQ_EBITDA_CAPEX_NET_INT">"c368"</definedName>
    <definedName name="IQ_EBITDA_GROWTH_1">"IQ_EBITDA_GROWTH_1"</definedName>
    <definedName name="IQ_EBITDA_GROWTH_2">"IQ_EBITDA_GROWTH_2"</definedName>
    <definedName name="IQ_EBITDA_NET_INT">"c373"</definedName>
    <definedName name="IQ_EBT_BR">"c378"</definedName>
    <definedName name="IQ_EBT_EXCL_BR">"c381"</definedName>
    <definedName name="IQ_ECO_METRIC_6825_UNUSED_UNUSED_UNUSED">"c6825"</definedName>
    <definedName name="IQ_ECO_METRIC_6839_UNUSED_UNUSED_UNUSED">"c6839"</definedName>
    <definedName name="IQ_ECO_METRIC_6896_UNUSED_UNUSED_UNUSED">"c6896"</definedName>
    <definedName name="IQ_ECO_METRIC_6897_UNUSED_UNUSED_UNUSED">"c6897"</definedName>
    <definedName name="IQ_ECO_METRIC_6988_UNUSED_UNUSED_UNUSED">"c6988"</definedName>
    <definedName name="IQ_ECO_METRIC_7045_UNUSED_UNUSED_UNUSED">"c7045"</definedName>
    <definedName name="IQ_ECO_METRIC_7059_UNUSED_UNUSED_UNUSED">"c7059"</definedName>
    <definedName name="IQ_ECO_METRIC_7116_UNUSED_UNUSED_UNUSED">"c7116"</definedName>
    <definedName name="IQ_ECO_METRIC_7117_UNUSED_UNUSED_UNUSED">"c7117"</definedName>
    <definedName name="IQ_ECO_METRIC_7208_UNUSED_UNUSED_UNUSED">"c7208"</definedName>
    <definedName name="IQ_ECO_METRIC_7265_UNUSED_UNUSED_UNUSED">"c7265"</definedName>
    <definedName name="IQ_ECO_METRIC_7279_UNUSED_UNUSED_UNUSED">"c7279"</definedName>
    <definedName name="IQ_ECO_METRIC_7336_UNUSED_UNUSED_UNUSED">"c7336"</definedName>
    <definedName name="IQ_ECO_METRIC_7337_UNUSED_UNUSED_UNUSED">"c7337"</definedName>
    <definedName name="IQ_ECO_METRIC_7428_UNUSED_UNUSED_UNUSED">"c7428"</definedName>
    <definedName name="IQ_ECO_METRIC_7556_UNUSED_UNUSED_UNUSED">"c7556"</definedName>
    <definedName name="IQ_ECO_METRIC_7557_UNUSED_UNUSED_UNUSED">"c7557"</definedName>
    <definedName name="IQ_ECO_METRIC_7648_UNUSED_UNUSED_UNUSED">"c7648"</definedName>
    <definedName name="IQ_ECO_METRIC_7705_UNUSED_UNUSED_UNUSED">"c7705"</definedName>
    <definedName name="IQ_ECO_METRIC_7719_UNUSED_UNUSED_UNUSED">"c7719"</definedName>
    <definedName name="IQ_ECO_METRIC_7776_UNUSED_UNUSED_UNUSED">"c7776"</definedName>
    <definedName name="IQ_ECO_METRIC_7777_UNUSED_UNUSED_UNUSED">"c7777"</definedName>
    <definedName name="IQ_ECO_METRIC_7868_UNUSED_UNUSED_UNUSED">"c7868"</definedName>
    <definedName name="IQ_ECO_METRIC_7925_UNUSED_UNUSED_UNUSED">"c7925"</definedName>
    <definedName name="IQ_ECO_METRIC_7939_UNUSED_UNUSED_UNUSED">"c7939"</definedName>
    <definedName name="IQ_ECO_METRIC_7996_UNUSED_UNUSED_UNUSED">"c7996"</definedName>
    <definedName name="IQ_ECO_METRIC_7997_UNUSED_UNUSED_UNUSED">"c7997"</definedName>
    <definedName name="IQ_ECO_METRIC_8088_UNUSED_UNUSED_UNUSED">"c8088"</definedName>
    <definedName name="IQ_ECO_METRIC_8145_UNUSED_UNUSED_UNUSED">"c8145"</definedName>
    <definedName name="IQ_ECO_METRIC_8159_UNUSED_UNUSED_UNUSED">"c8159"</definedName>
    <definedName name="IQ_ECO_METRIC_8216_UNUSED_UNUSED_UNUSED">"c8216"</definedName>
    <definedName name="IQ_ECO_METRIC_8217_UNUSED_UNUSED_UNUSED">"c8217"</definedName>
    <definedName name="IQ_ECO_METRIC_8308_UNUSED_UNUSED_UNUSED">"c8308"</definedName>
    <definedName name="IQ_ECO_METRIC_8436_UNUSED_UNUSED_UNUSED">"c8436"</definedName>
    <definedName name="IQ_ECO_METRIC_8437_UNUSED_UNUSED_UNUSED">"c8437"</definedName>
    <definedName name="IQ_ECO_METRIC_8528_UNUSED_UNUSED_UNUSED">"c8528"</definedName>
    <definedName name="IQ_EFFICIENCY_RATIO_FDIC">"c6736"</definedName>
    <definedName name="IQ_ELIMINATIONS_CONSOL_OFFICES_FOREIGN_FFIEC">"c15395"</definedName>
    <definedName name="IQ_EPS">"IQ_EPS"</definedName>
    <definedName name="IQ_EPS_10K">"IQ_EPS_10K"</definedName>
    <definedName name="IQ_EPS_10Q">"IQ_EPS_10Q"</definedName>
    <definedName name="IQ_EPS_10Q1">"IQ_EPS_10Q1"</definedName>
    <definedName name="IQ_EPS_EST_1">"IQ_EPS_EST_1"</definedName>
    <definedName name="IQ_EQUITY_CAPITAL_ASSETS_FDIC">"c6744"</definedName>
    <definedName name="IQ_EQUITY_FDIC">"c6353"</definedName>
    <definedName name="IQ_EQUITY_LIST">"c15158"</definedName>
    <definedName name="IQ_EQUITY_SECURITIES_FDIC">"c6304"</definedName>
    <definedName name="IQ_EQUITY_SECURITIES_QUARTERLY_AVG_FFIEC">"c15474"</definedName>
    <definedName name="IQ_EQUITY_SECURITY_EXPOSURES_FDIC">"c6664"</definedName>
    <definedName name="IQ_EQUITY_TIER_ONE_CAPITAL">"c15246"</definedName>
    <definedName name="IQ_EQUITY_TIER_ONE_CAPITAL_RATIO">"c15242"</definedName>
    <definedName name="IQ_EST_ACT_BV_REUT">"c5409"</definedName>
    <definedName name="IQ_EST_ACT_FFO_REUT">"c3843"</definedName>
    <definedName name="IQ_EST_BV_DIFF_REUT">"c5433"</definedName>
    <definedName name="IQ_EST_BV_SURPRISE_PERCENT_REUT">"c5434"</definedName>
    <definedName name="IQ_EST_EPS_SURPRISE">"c1635"</definedName>
    <definedName name="IQ_EST_FFO_DIFF_REUT">"c3890"</definedName>
    <definedName name="IQ_EST_FFO_SURPRISE_PERCENT_REUT">"c3891"</definedName>
    <definedName name="IQ_EST_NUM_BUY_REUT">"c3869"</definedName>
    <definedName name="IQ_EST_NUM_HOLD_REUT">"c3871"</definedName>
    <definedName name="IQ_EST_NUM_OUTPERFORM_REUT">"c3870"</definedName>
    <definedName name="IQ_EST_NUM_SELL_REUT">"c3873"</definedName>
    <definedName name="IQ_EST_NUM_UNDERPERFORM_REUT">"c3872"</definedName>
    <definedName name="IQ_ESTIMATED_ASSESSABLE_DEPOSITS_FDIC">"c6490"</definedName>
    <definedName name="IQ_ESTIMATED_INSURED_DEPOSITS_FDIC">"c6491"</definedName>
    <definedName name="IQ_EV_OVER_REVENUE_EST">"IQ_EV_OVER_REVENUE_EST"</definedName>
    <definedName name="IQ_EV_OVER_REVENUE_EST_1">"IQ_EV_OVER_REVENUE_EST_1"</definedName>
    <definedName name="IQ_EXPORTS_APR_FC_UNUSED_UNUSED_UNUSED">"c8401"</definedName>
    <definedName name="IQ_EXPORTS_APR_UNUSED_UNUSED_UNUSED">"c7521"</definedName>
    <definedName name="IQ_EXPORTS_FC_UNUSED_UNUSED_UNUSED">"c7741"</definedName>
    <definedName name="IQ_EXPORTS_GOODS_REAL_SAAR_APR_FC_UNUSED_UNUSED_UNUSED">"c8512"</definedName>
    <definedName name="IQ_EXPORTS_GOODS_REAL_SAAR_APR_UNUSED_UNUSED_UNUSED">"c7632"</definedName>
    <definedName name="IQ_EXPORTS_GOODS_REAL_SAAR_FC_UNUSED_UNUSED_UNUSED">"c7852"</definedName>
    <definedName name="IQ_EXPORTS_GOODS_REAL_SAAR_POP_FC_UNUSED_UNUSED_UNUSED">"c8072"</definedName>
    <definedName name="IQ_EXPORTS_GOODS_REAL_SAAR_POP_UNUSED_UNUSED_UNUSED">"c7192"</definedName>
    <definedName name="IQ_EXPORTS_GOODS_REAL_SAAR_UNUSED_UNUSED_UNUSED">"c6972"</definedName>
    <definedName name="IQ_EXPORTS_GOODS_REAL_SAAR_YOY_FC_UNUSED_UNUSED_UNUSED">"c8292"</definedName>
    <definedName name="IQ_EXPORTS_GOODS_REAL_SAAR_YOY_UNUSED_UNUSED_UNUSED">"c7412"</definedName>
    <definedName name="IQ_EXPORTS_POP_FC_UNUSED_UNUSED_UNUSED">"c7961"</definedName>
    <definedName name="IQ_EXPORTS_POP_UNUSED_UNUSED_UNUSED">"c7081"</definedName>
    <definedName name="IQ_EXPORTS_SERVICES_REAL_SAAR_APR_FC_UNUSED_UNUSED_UNUSED">"c8516"</definedName>
    <definedName name="IQ_EXPORTS_SERVICES_REAL_SAAR_APR_UNUSED_UNUSED_UNUSED">"c7636"</definedName>
    <definedName name="IQ_EXPORTS_SERVICES_REAL_SAAR_FC_UNUSED_UNUSED_UNUSED">"c7856"</definedName>
    <definedName name="IQ_EXPORTS_SERVICES_REAL_SAAR_POP_FC_UNUSED_UNUSED_UNUSED">"c8076"</definedName>
    <definedName name="IQ_EXPORTS_SERVICES_REAL_SAAR_POP_UNUSED_UNUSED_UNUSED">"c7196"</definedName>
    <definedName name="IQ_EXPORTS_SERVICES_REAL_SAAR_UNUSED_UNUSED_UNUSED">"c6976"</definedName>
    <definedName name="IQ_EXPORTS_SERVICES_REAL_SAAR_YOY_FC_UNUSED_UNUSED_UNUSED">"c8296"</definedName>
    <definedName name="IQ_EXPORTS_SERVICES_REAL_SAAR_YOY_UNUSED_UNUSED_UNUSED">"c7416"</definedName>
    <definedName name="IQ_EXPORTS_UNUSED_UNUSED_UNUSED">"c6861"</definedName>
    <definedName name="IQ_EXPORTS_YOY_FC_UNUSED_UNUSED_UNUSED">"c8181"</definedName>
    <definedName name="IQ_EXPORTS_YOY_UNUSED_UNUSED_UNUSED">"c7301"</definedName>
    <definedName name="IQ_EXTRA_ACC_ITEMS_BR">"c412"</definedName>
    <definedName name="IQ_EXTRA_ITEMS_OTHER_ADJUSTMENTS_FOREIGN_FFIEC">"c15392"</definedName>
    <definedName name="IQ_EXTRAORDINARY_GAINS_FDIC">"c6586"</definedName>
    <definedName name="IQ_FAIR_VALUE_FDIC">"c6427"</definedName>
    <definedName name="IQ_FARM_LOANS_NET_FDIC">"c6316"</definedName>
    <definedName name="IQ_FARM_LOANS_TOTAL_LOANS_FOREIGN_FDIC">"c6450"</definedName>
    <definedName name="IQ_FARMLAND_DOM_FFIEC">"c15268"</definedName>
    <definedName name="IQ_FARMLAND_LOANS_FDIC">"c6314"</definedName>
    <definedName name="IQ_FED_FUND_PURCHASED_SEC_SOLD_REPURCHASE_FFIEC">"c15489"</definedName>
    <definedName name="IQ_FED_FUND_SOLD_SEC_PURCHASED_RESELL_FFIEC">"c15488"</definedName>
    <definedName name="IQ_FED_FUNDS_PURCH_SEC_SOLD_FAIR_VALUE_TOT_FFIEC">"c15406"</definedName>
    <definedName name="IQ_FED_FUNDS_PURCH_SEC_SOLD_LEVEL_1_FFIEC">"c15428"</definedName>
    <definedName name="IQ_FED_FUNDS_PURCH_SEC_SOLD_LEVEL_2_FFIEC">"c15441"</definedName>
    <definedName name="IQ_FED_FUNDS_PURCH_SEC_SOLD_LEVEL_3_FFIEC">"c15454"</definedName>
    <definedName name="IQ_FED_FUNDS_PURCHASED_FDIC">"c6343"</definedName>
    <definedName name="IQ_FED_FUNDS_SOLD_FDIC">"c6307"</definedName>
    <definedName name="IQ_FED_FUNDS_SOLD_SEC_PURCH_FAIR_VALUE_TOT_FFIEC">"c15402"</definedName>
    <definedName name="IQ_FED_FUNDS_SOLD_SEC_PURCH_LEVEL_1_FFIEC">"c15424"</definedName>
    <definedName name="IQ_FED_FUNDS_SOLD_SEC_PURCH_LEVEL_2_FFIEC">"c15437"</definedName>
    <definedName name="IQ_FED_FUNDS_SOLD_SEC_PURCH_LEVEL_3_FFIEC">"c15450"</definedName>
    <definedName name="IQ_FEES_OTHER_INCOME">"c15257"</definedName>
    <definedName name="IQ_FFO_EST_REUT">"c3837"</definedName>
    <definedName name="IQ_FFO_HIGH_EST_REUT">"c3839"</definedName>
    <definedName name="IQ_FFO_LOW_EST_REUT">"c3840"</definedName>
    <definedName name="IQ_FFO_MEDIAN_EST_REUT">"c3838"</definedName>
    <definedName name="IQ_FFO_NUM_EST_REUT">"c3841"</definedName>
    <definedName name="IQ_FFO_STDDEV_EST_REUT">"c3842"</definedName>
    <definedName name="IQ_FH">100000</definedName>
    <definedName name="IQ_FHLB_ADVANCES_FDIC">"c6366"</definedName>
    <definedName name="IQ_FIDUCIARY_ACTIVITIES_FDIC">"c6571"</definedName>
    <definedName name="IQ_FIFETEEN_YEAR_FIXED_AND_FLOATING_RATE_FDIC">"c6423"</definedName>
    <definedName name="IQ_FIFETEEN_YEAR_MORTGAGE_PASS_THROUGHS_FDIC">"c6415"</definedName>
    <definedName name="IQ_FIN_DIV_CURRENT_PORT_DEBT_TOTAL">"c5524"</definedName>
    <definedName name="IQ_FIN_DIV_CURRENT_PORT_LEASES_TOTAL">"c5523"</definedName>
    <definedName name="IQ_FIN_DIV_DEBT_LT_TOTAL">"c5526"</definedName>
    <definedName name="IQ_FIN_DIV_LEASES_LT_TOTAL">"c5525"</definedName>
    <definedName name="IQ_FIN_DIV_NOTES_PAY_TOTAL">"c5522"</definedName>
    <definedName name="IQ_FIVE_PERCENT_AMOUNT">"c240"</definedName>
    <definedName name="IQ_FIVE_YEAR_FIXED_AND_FLOATING_RATE_FDIC">"c6422"</definedName>
    <definedName name="IQ_FIVE_YEAR_MORTGAGE_PASS_THROUGHS_FDIC">"c6414"</definedName>
    <definedName name="IQ_FIVEPERCENT_OWNER">"c239"</definedName>
    <definedName name="IQ_FIXED_INVEST_APR_FC_UNUSED_UNUSED_UNUSED">"c8410"</definedName>
    <definedName name="IQ_FIXED_INVEST_APR_UNUSED_UNUSED_UNUSED">"c7530"</definedName>
    <definedName name="IQ_FIXED_INVEST_FC_UNUSED_UNUSED_UNUSED">"c7750"</definedName>
    <definedName name="IQ_FIXED_INVEST_POP_FC_UNUSED_UNUSED_UNUSED">"c7970"</definedName>
    <definedName name="IQ_FIXED_INVEST_POP_UNUSED_UNUSED_UNUSED">"c7090"</definedName>
    <definedName name="IQ_FIXED_INVEST_REAL_APR_FC_UNUSED_UNUSED_UNUSED">"c8518"</definedName>
    <definedName name="IQ_FIXED_INVEST_REAL_APR_UNUSED_UNUSED_UNUSED">"c7638"</definedName>
    <definedName name="IQ_FIXED_INVEST_REAL_FC_UNUSED_UNUSED_UNUSED">"c7858"</definedName>
    <definedName name="IQ_FIXED_INVEST_REAL_POP_FC_UNUSED_UNUSED_UNUSED">"c8078"</definedName>
    <definedName name="IQ_FIXED_INVEST_REAL_POP_UNUSED_UNUSED_UNUSED">"c7198"</definedName>
    <definedName name="IQ_FIXED_INVEST_REAL_UNUSED_UNUSED_UNUSED">"c6978"</definedName>
    <definedName name="IQ_FIXED_INVEST_REAL_YOY_FC_UNUSED_UNUSED_UNUSED">"c8298"</definedName>
    <definedName name="IQ_FIXED_INVEST_REAL_YOY_UNUSED_UNUSED_UNUSED">"c7418"</definedName>
    <definedName name="IQ_FIXED_INVEST_UNUSED_UNUSED_UNUSED">"c6870"</definedName>
    <definedName name="IQ_FIXED_INVEST_YOY_FC_UNUSED_UNUSED_UNUSED">"c8190"</definedName>
    <definedName name="IQ_FIXED_INVEST_YOY_UNUSED_UNUSED_UNUSED">"c7310"</definedName>
    <definedName name="IQ_FLOAT">"c225"</definedName>
    <definedName name="IQ_FNMA_FHLMC_FDIC">"c6397"</definedName>
    <definedName name="IQ_FNMA_FHLMC_GNMA_FDIC">"c6399"</definedName>
    <definedName name="IQ_FORECLOSED_PROP_GNMA_LOANS_FFIEC">"c15272"</definedName>
    <definedName name="IQ_FORECLOSED_PROPERTIES_FDIC">"c6459"</definedName>
    <definedName name="IQ_FOREIGN_BANK_LOANS_FDIC">"c6437"</definedName>
    <definedName name="IQ_FOREIGN_BANKS_DEPOSITS_FOREIGN_FDIC">"c6481"</definedName>
    <definedName name="IQ_FOREIGN_BANKS_LOAN_CHARG_OFFS_FDIC">"c6645"</definedName>
    <definedName name="IQ_FOREIGN_BANKS_NET_CHARGE_OFFS_FDIC">"c6647"</definedName>
    <definedName name="IQ_FOREIGN_BANKS_NONTRANSACTION_ACCOUNTS_FDIC">"c6550"</definedName>
    <definedName name="IQ_FOREIGN_BANKS_RECOVERIES_FDIC">"c6646"</definedName>
    <definedName name="IQ_FOREIGN_BANKS_TRANSACTION_ACCOUNTS_FDIC">"c6542"</definedName>
    <definedName name="IQ_FOREIGN_BRANCHES_U.S._BANKS_LOANS_FDIC">"c6438"</definedName>
    <definedName name="IQ_FOREIGN_BRANCHES_US_BANKS_FDIC">"c6392"</definedName>
    <definedName name="IQ_FOREIGN_BRANCHES_US_BANKS_LOANS_FDIC">"c6438"</definedName>
    <definedName name="IQ_FOREIGN_COUNTRIES_BANKS_TOTAL_LOANS_FOREIGN_FDIC">"c6445"</definedName>
    <definedName name="IQ_FOREIGN_DEBT_SECURITIES_FDIC">"c6303"</definedName>
    <definedName name="IQ_FOREIGN_DEPOSITS_NONTRANSACTION_ACCOUNTS_FDIC">"c6549"</definedName>
    <definedName name="IQ_FOREIGN_DEPOSITS_TRANSACTION_ACCOUNTS_FDIC">"c6541"</definedName>
    <definedName name="IQ_FOREIGN_EXCHANGE_EXPOSURES_FDIC">"c6663"</definedName>
    <definedName name="IQ_FOREIGN_GOVERNMENT_LOANS_FDIC">"c6430"</definedName>
    <definedName name="IQ_FOREIGN_GOVERNMENTS_CHARGE_OFFS_FDIC">"c6600"</definedName>
    <definedName name="IQ_FOREIGN_GOVERNMENTS_DEPOSITS_FOREIGN_FDIC">"c6482"</definedName>
    <definedName name="IQ_FOREIGN_GOVERNMENTS_NET_CHARGE_OFFS_FDIC">"c6638"</definedName>
    <definedName name="IQ_FOREIGN_GOVERNMENTS_NONTRANSACTION_ACCOUNTS_FDIC">"c6551"</definedName>
    <definedName name="IQ_FOREIGN_GOVERNMENTS_RECOVERIES_FDIC">"c6619"</definedName>
    <definedName name="IQ_FOREIGN_GOVERNMENTS_TOTAL_DEPOSITS_FDIC">"c6476"</definedName>
    <definedName name="IQ_FOREIGN_GOVERNMENTS_TRANSACTION_ACCOUNTS_FDIC">"c6543"</definedName>
    <definedName name="IQ_FOREIGN_GOVT_OFFICIAL_INST_FOREIGN_DEP_FFIEC">"c15345"</definedName>
    <definedName name="IQ_FOREIGN_GOVT_OFFICIAL_INST_NON_TRANS_ACCTS_FFIEC">"c15327"</definedName>
    <definedName name="IQ_FOREIGN_GOVT_OFFICIAL_INST_TRANS_ACCTS_FFIEC">"c15319"</definedName>
    <definedName name="IQ_FQ">500</definedName>
    <definedName name="IQ_FULLY_INSURED_BROKERED_DEPOSITS_FFIEC">"c15305"</definedName>
    <definedName name="IQ_FULLY_INSURED_DEPOSITS_FDIC">"c6487"</definedName>
    <definedName name="IQ_FUND_NAV">"c15225"</definedName>
    <definedName name="IQ_FUTURES_FORWARD_CONTRACTS_NOTIONAL_AMOUNT_FDIC">"c6518"</definedName>
    <definedName name="IQ_FUTURES_FORWARD_CONTRACTS_RATE_RISK_FDIC">"c6508"</definedName>
    <definedName name="IQ_FWD">"LTM"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WD_Q3">"504"</definedName>
    <definedName name="IQ_FWD_Q4">"505"</definedName>
    <definedName name="IQ_FWD_Q5">"506"</definedName>
    <definedName name="IQ_FWD_Q6">"507"</definedName>
    <definedName name="IQ_FWD_Q7">"508"</definedName>
    <definedName name="IQ_FWD1">"LTM"</definedName>
    <definedName name="IQ_FX_CONTRACTS_FDIC">"c6517"</definedName>
    <definedName name="IQ_FX_CONTRACTS_SPOT_FDIC">"c6356"</definedName>
    <definedName name="IQ_FY">1000</definedName>
    <definedName name="IQ_FY_DATE">"IQ_FY_DATE"</definedName>
    <definedName name="IQ_GAAP_EST_CIQ">"c13924"</definedName>
    <definedName name="IQ_GAIN_ASSETS_BR">"c454"</definedName>
    <definedName name="IQ_GAIN_ASSETS_CF_BR">"c457"</definedName>
    <definedName name="IQ_GAIN_ASSETS_REC">"c464"</definedName>
    <definedName name="IQ_GAIN_ASSETS_REC_BNK">"c465"</definedName>
    <definedName name="IQ_GAIN_ASSETS_REC_BR">"c466"</definedName>
    <definedName name="IQ_GAIN_ASSETS_REC_FIN">"c467"</definedName>
    <definedName name="IQ_GAIN_ASSETS_REC_INS">"c468"</definedName>
    <definedName name="IQ_GAIN_ASSETS_REC_REIT">"c469"</definedName>
    <definedName name="IQ_GAIN_ASSETS_REC_UTI">"c470"</definedName>
    <definedName name="IQ_GAIN_ASSETS_REV_BR">"c474"</definedName>
    <definedName name="IQ_GAIN_INVEST_BR">"c1464"</definedName>
    <definedName name="IQ_GAIN_INVEST_CF_BR">"c482"</definedName>
    <definedName name="IQ_GAIN_INVEST_REC">"c487"</definedName>
    <definedName name="IQ_GAIN_INVEST_REC_BNK">"c488"</definedName>
    <definedName name="IQ_GAIN_INVEST_REC_BR">"c489"</definedName>
    <definedName name="IQ_GAIN_INVEST_REC_FIN">"c490"</definedName>
    <definedName name="IQ_GAIN_INVEST_REC_INS">"c491"</definedName>
    <definedName name="IQ_GAIN_INVEST_REC_REIT">"c492"</definedName>
    <definedName name="IQ_GAIN_INVEST_REC_UTI">"c493"</definedName>
    <definedName name="IQ_GAIN_INVEST_REV_BR">"c496"</definedName>
    <definedName name="IQ_GAIN_LOSS_HTM_AFS_SECURITIES_FOREIGN_FFIEC">"c15384"</definedName>
    <definedName name="IQ_GAIN_SALE_LOANS_FDIC">"c6673"</definedName>
    <definedName name="IQ_GAIN_SALE_RE_FDIC">"c6674"</definedName>
    <definedName name="IQ_GAINS_SALE_ASSETS_FDIC">"c6675"</definedName>
    <definedName name="IQ_GENERAL_ALLOWANCE">"c15248"</definedName>
    <definedName name="IQ_GNMA_FDIC">"c6398"</definedName>
    <definedName name="IQ_GOODWILL_FDIC">"c6334"</definedName>
    <definedName name="IQ_GOODWILL_IMPAIRMENT_FDIC">"c6678"</definedName>
    <definedName name="IQ_GOODWILL_INTAN_FDIC">"c6333"</definedName>
    <definedName name="IQ_GROSS_GW">"c519"</definedName>
    <definedName name="IQ_GROSS_INTAN">"c520"</definedName>
    <definedName name="IQ_GW_AMORT">"c531"</definedName>
    <definedName name="IQ_GW_AMORT_BR">"c532"</definedName>
    <definedName name="IQ_GW_AMORT_CF">"c533"</definedName>
    <definedName name="IQ_GW_AMORT_CF_BNK">"c534"</definedName>
    <definedName name="IQ_GW_AMORT_CF_BR">"c535"</definedName>
    <definedName name="IQ_GW_AMORT_CF_FIN">"c536"</definedName>
    <definedName name="IQ_GW_AMORT_CF_INS">"c537"</definedName>
    <definedName name="IQ_GW_AMORT_CF_REIT">"c538"</definedName>
    <definedName name="IQ_GW_AMORT_CF_UTI">"c539"</definedName>
    <definedName name="IQ_GW_INTAN_AMORT_BR">"c1470"</definedName>
    <definedName name="IQ_GW_INTAN_AMORT_CF_BR">"c1473"</definedName>
    <definedName name="IQ_HELD_MATURITY_FDIC">"c6408"</definedName>
    <definedName name="IQ_HOME_EQUITY_LOC_NET_CHARGE_OFFS_FDIC">"c6644"</definedName>
    <definedName name="IQ_HOME_EQUITY_LOC_TOTAL_CHARGE_OFFS_FDIC">"c6606"</definedName>
    <definedName name="IQ_HOME_EQUITY_LOC_TOTAL_RECOVERIES_FDIC">"c6625"</definedName>
    <definedName name="IQ_HOUSING_COMPLETIONS_SINGLE_FAM_APR_FC_UNUSED_UNUSED_UNUSED">"c8422"</definedName>
    <definedName name="IQ_HOUSING_COMPLETIONS_SINGLE_FAM_APR_UNUSED_UNUSED_UNUSED">"c7542"</definedName>
    <definedName name="IQ_HOUSING_COMPLETIONS_SINGLE_FAM_FC_UNUSED_UNUSED_UNUSED">"c7762"</definedName>
    <definedName name="IQ_HOUSING_COMPLETIONS_SINGLE_FAM_POP_FC_UNUSED_UNUSED_UNUSED">"c7982"</definedName>
    <definedName name="IQ_HOUSING_COMPLETIONS_SINGLE_FAM_POP_UNUSED_UNUSED_UNUSED">"c7102"</definedName>
    <definedName name="IQ_HOUSING_COMPLETIONS_SINGLE_FAM_UNUSED_UNUSED_UNUSED">"c6882"</definedName>
    <definedName name="IQ_HOUSING_COMPLETIONS_SINGLE_FAM_YOY_FC_UNUSED_UNUSED_UNUSED">"c8202"</definedName>
    <definedName name="IQ_HOUSING_COMPLETIONS_SINGLE_FAM_YOY_UNUSED_UNUSED_UNUSED">"c7322"</definedName>
    <definedName name="IQ_HYBRID_CAPITAL">"c15245"</definedName>
    <definedName name="IQ_HYBRID_STRUCTURED_PRODUCTS_AVAIL_SALE_FFIEC">"c15265"</definedName>
    <definedName name="IQ_HYBRID_STRUCTURED_PRODUCTS_FFIEC">"c15262"</definedName>
    <definedName name="IQ_IB_ADVISORY_UNDERWRITING_FEES_FOREIGN_FFIEC">"c15378"</definedName>
    <definedName name="IQ_IBF_COMM_INDUST_LOANS_FFIEC">"c15298"</definedName>
    <definedName name="IQ_IBF_DEPOSIT_LIABILITIES_DUE_TO_BANKS_FFIEC">"c15300"</definedName>
    <definedName name="IQ_IMPAIRED_LOANS">"c15250"</definedName>
    <definedName name="IQ_IMPORTS_GOODS_REAL_SAAR_APR_FC_UNUSED_UNUSED_UNUSED">"c8523"</definedName>
    <definedName name="IQ_IMPORTS_GOODS_REAL_SAAR_APR_UNUSED_UNUSED_UNUSED">"c7643"</definedName>
    <definedName name="IQ_IMPORTS_GOODS_REAL_SAAR_FC_UNUSED_UNUSED_UNUSED">"c7863"</definedName>
    <definedName name="IQ_IMPORTS_GOODS_REAL_SAAR_POP_FC_UNUSED_UNUSED_UNUSED">"c8083"</definedName>
    <definedName name="IQ_IMPORTS_GOODS_REAL_SAAR_POP_UNUSED_UNUSED_UNUSED">"c7203"</definedName>
    <definedName name="IQ_IMPORTS_GOODS_REAL_SAAR_UNUSED_UNUSED_UNUSED">"c6983"</definedName>
    <definedName name="IQ_IMPORTS_GOODS_REAL_SAAR_YOY_FC_UNUSED_UNUSED_UNUSED">"c8303"</definedName>
    <definedName name="IQ_IMPORTS_GOODS_REAL_SAAR_YOY_UNUSED_UNUSED_UNUSED">"c7423"</definedName>
    <definedName name="IQ_IMPORTS_GOODS_SERVICES_APR_FC_UNUSED_UNUSED_UNUSED">"c8429"</definedName>
    <definedName name="IQ_IMPORTS_GOODS_SERVICES_APR_UNUSED_UNUSED_UNUSED">"c7549"</definedName>
    <definedName name="IQ_IMPORTS_GOODS_SERVICES_FC_UNUSED_UNUSED_UNUSED">"c7769"</definedName>
    <definedName name="IQ_IMPORTS_GOODS_SERVICES_POP_FC_UNUSED_UNUSED_UNUSED">"c7989"</definedName>
    <definedName name="IQ_IMPORTS_GOODS_SERVICES_POP_UNUSED_UNUSED_UNUSED">"c7109"</definedName>
    <definedName name="IQ_IMPORTS_GOODS_SERVICES_REAL_SAAR_APR_FC_UNUSED_UNUSED_UNUSED">"c8524"</definedName>
    <definedName name="IQ_IMPORTS_GOODS_SERVICES_REAL_SAAR_APR_UNUSED_UNUSED_UNUSED">"c7644"</definedName>
    <definedName name="IQ_IMPORTS_GOODS_SERVICES_REAL_SAAR_FC_UNUSED_UNUSED_UNUSED">"c7864"</definedName>
    <definedName name="IQ_IMPORTS_GOODS_SERVICES_REAL_SAAR_POP_FC_UNUSED_UNUSED_UNUSED">"c8084"</definedName>
    <definedName name="IQ_IMPORTS_GOODS_SERVICES_REAL_SAAR_POP_UNUSED_UNUSED_UNUSED">"c7204"</definedName>
    <definedName name="IQ_IMPORTS_GOODS_SERVICES_REAL_SAAR_UNUSED_UNUSED_UNUSED">"c6984"</definedName>
    <definedName name="IQ_IMPORTS_GOODS_SERVICES_REAL_SAAR_YOY_FC_UNUSED_UNUSED_UNUSED">"c8304"</definedName>
    <definedName name="IQ_IMPORTS_GOODS_SERVICES_REAL_SAAR_YOY_UNUSED_UNUSED_UNUSED">"c7424"</definedName>
    <definedName name="IQ_IMPORTS_GOODS_SERVICES_UNUSED_UNUSED_UNUSED">"c6889"</definedName>
    <definedName name="IQ_IMPORTS_GOODS_SERVICES_YOY_FC_UNUSED_UNUSED_UNUSED">"c8209"</definedName>
    <definedName name="IQ_IMPORTS_GOODS_SERVICES_YOY_UNUSED_UNUSED_UNUSED">"c7329"</definedName>
    <definedName name="IQ_INC_EQUITY_BR">"c550"</definedName>
    <definedName name="IQ_INCIDENTAL_CHANGES_BUSINESS_COMBINATIONS_FDIC">"c6502"</definedName>
    <definedName name="IQ_INCOME_BEFORE_EXTRA_FDIC">"c6585"</definedName>
    <definedName name="IQ_INCOME_EARNED_FDIC">"c6359"</definedName>
    <definedName name="IQ_INCOME_TAX_FOREIGN_FFIEC">"c15391"</definedName>
    <definedName name="IQ_INCOME_TAXES_FDIC">"c6582"</definedName>
    <definedName name="IQ_INDEX_CURRENCY">"c15224"</definedName>
    <definedName name="IQ_INDEX_TYPE">"c15223"</definedName>
    <definedName name="IQ_INDIVIDUAL">"c15182"</definedName>
    <definedName name="IQ_INDIVIDUAL_ACTIVE_BOARD_MEMBERSHIPS">"c15201"</definedName>
    <definedName name="IQ_INDIVIDUAL_ACTIVE_PRO_AFFILIATIONS">"c15199"</definedName>
    <definedName name="IQ_INDIVIDUAL_AGE">"c15191"</definedName>
    <definedName name="IQ_INDIVIDUAL_ASSISTANT_EMAIL">"c15206"</definedName>
    <definedName name="IQ_INDIVIDUAL_ASSISTANT_FAX">"c15208"</definedName>
    <definedName name="IQ_INDIVIDUAL_ASSISTANT_NAME">"c15205"</definedName>
    <definedName name="IQ_INDIVIDUAL_ASSISTANT_PHONE">"c15207"</definedName>
    <definedName name="IQ_INDIVIDUAL_BACKGROUND">"c15184"</definedName>
    <definedName name="IQ_INDIVIDUAL_DIRECT_FAX">"c15189"</definedName>
    <definedName name="IQ_INDIVIDUAL_DIRECT_PHONE">"c15188"</definedName>
    <definedName name="IQ_INDIVIDUAL_EDUCATION">"c15203"</definedName>
    <definedName name="IQ_INDIVIDUAL_EMAIL">"c15193"</definedName>
    <definedName name="IQ_INDIVIDUAL_FAMILY_LOAN_DOM_QUARTERLY_AVG_FFIEC">"c15479"</definedName>
    <definedName name="IQ_INDIVIDUAL_HOME_ADDRESS">"c15194"</definedName>
    <definedName name="IQ_INDIVIDUAL_HOME_FAX">"c15196"</definedName>
    <definedName name="IQ_INDIVIDUAL_HOME_PHONE">"c15195"</definedName>
    <definedName name="IQ_INDIVIDUAL_MAIN_FAX">"c15187"</definedName>
    <definedName name="IQ_INDIVIDUAL_MAIN_PHONE">"c15186"</definedName>
    <definedName name="IQ_INDIVIDUAL_MOBILE">"c15198"</definedName>
    <definedName name="IQ_INDIVIDUAL_NICKNAME">"c15192"</definedName>
    <definedName name="IQ_INDIVIDUAL_NOTES">"c15204"</definedName>
    <definedName name="IQ_INDIVIDUAL_OFFICE_ADDRESS">"c15185"</definedName>
    <definedName name="IQ_INDIVIDUAL_OTHER_PHONE">"c15197"</definedName>
    <definedName name="IQ_INDIVIDUAL_PARTNER_CORP_NON_TRANS_ACCTS_FFIEC">"c15322"</definedName>
    <definedName name="IQ_INDIVIDUAL_PARTNER_CORP_TRANS_ACCTS_FFIEC">"c15314"</definedName>
    <definedName name="IQ_INDIVIDUAL_PARTNER_CORPS_FOREIGN_DEP_FFIEC">"c15342"</definedName>
    <definedName name="IQ_INDIVIDUAL_PRIOR_BOARD_MEMBERSHIPS">"c15202"</definedName>
    <definedName name="IQ_INDIVIDUAL_PRIOR_PRO_AFFILIATIONS">"c15200"</definedName>
    <definedName name="IQ_INDIVIDUAL_SPECIALTY">"c15190"</definedName>
    <definedName name="IQ_INDIVIDUAL_TITLE">"c15183"</definedName>
    <definedName name="IQ_INDIVIDUALS_CHARGE_OFFS_FDIC">"c6599"</definedName>
    <definedName name="IQ_INDIVIDUALS_LOANS_FDIC">"c6318"</definedName>
    <definedName name="IQ_INDIVIDUALS_NET_CHARGE_OFFS_FDIC">"c6637"</definedName>
    <definedName name="IQ_INDIVIDUALS_OTHER_LOANS_FDIC">"c6321"</definedName>
    <definedName name="IQ_INDIVIDUALS_PARTNERSHIPS_CORP_DEPOSITS_FOREIGN_FDIC">"c6479"</definedName>
    <definedName name="IQ_INDIVIDUALS_PARTNERSHIPS_CORP_NONTRANSACTION_ACCOUNTS_FDIC">"c6545"</definedName>
    <definedName name="IQ_INDIVIDUALS_PARTNERSHIPS_CORP_TOTAL_DEPOSITS_FDIC">"c6471"</definedName>
    <definedName name="IQ_INDIVIDUALS_PARTNERSHIPS_CORP_TRANSACTION_ACCOUNTS_FDIC">"c6537"</definedName>
    <definedName name="IQ_INDIVIDUALS_RECOVERIES_FDIC">"c6618"</definedName>
    <definedName name="IQ_INS_SETTLE_BR">"c572"</definedName>
    <definedName name="IQ_INSIDER_3MTH_BOUGHT">"c1534"</definedName>
    <definedName name="IQ_INSIDER_3MTH_NET">"c1535"</definedName>
    <definedName name="IQ_INSIDER_3MTH_SOLD">"c1533"</definedName>
    <definedName name="IQ_INSIDER_6MTH_BOUGHT">"c1537"</definedName>
    <definedName name="IQ_INSIDER_6MTH_NET">"c1538"</definedName>
    <definedName name="IQ_INSIDER_6MTH_SOLD">"c1536"</definedName>
    <definedName name="IQ_INSIDER_AMOUNT">"c238"</definedName>
    <definedName name="IQ_INSIDER_LOANS_FDIC">"c6365"</definedName>
    <definedName name="IQ_INSTITUTIONAL_AMOUNT">"c236"</definedName>
    <definedName name="IQ_INSTITUTIONS_EARNINGS_GAINS_FDIC">"c6723"</definedName>
    <definedName name="IQ_INSURANCE_COMMISSION_FEES_FDIC">"c6670"</definedName>
    <definedName name="IQ_INSURANCE_UNDERWRITING_INCOME_FDIC">"c6671"</definedName>
    <definedName name="IQ_INT_DEMAND_NOTES_FDIC">"c6567"</definedName>
    <definedName name="IQ_INT_DOMESTIC_DEPOSITS_FDIC">"c6564"</definedName>
    <definedName name="IQ_INT_EXP_BR">"c586"</definedName>
    <definedName name="IQ_INT_EXP_TOTAL_FDIC">"c6569"</definedName>
    <definedName name="IQ_INT_FED_FUNDS_FDIC">"c6566"</definedName>
    <definedName name="IQ_INT_FEE_INC_ACCEPTANCE_OTHER_BANKS_DOM_FFIEC">"c15357"</definedName>
    <definedName name="IQ_INT_FEE_INC_AGRICULTURE_LOANS_FARMERS_DOM_FFIEC">"c15355"</definedName>
    <definedName name="IQ_INT_FEE_INC_COMM_IND_LOANS_DOM_FFIEC">"c15356"</definedName>
    <definedName name="IQ_INT_FEE_INC_CREDIT_CARDS_DOM_FFIEC">"c15358"</definedName>
    <definedName name="IQ_INT_FEE_INC_DEPOSITORY_LOANS_DOM_FFIEC">"c15354"</definedName>
    <definedName name="IQ_INT_FEE_INC_FOREIGN_GOVT_LOANS_DOM_FFIEC">"c15360"</definedName>
    <definedName name="IQ_INT_FEE_INC_INDIVIDUAL_LOANS_DOM_FFIEC">"c15359"</definedName>
    <definedName name="IQ_INT_FEE_INC_RE_LOANS_DOM_FFIEC">"c15353"</definedName>
    <definedName name="IQ_INT_FEE_INC_TAX_EXEMPT_OBLIGATIONS_DOM_FFIEC">"c15362"</definedName>
    <definedName name="IQ_INT_FEE_INC_TAXABLE_OBLIGATIONS_DOM_FFIEC">"c15361"</definedName>
    <definedName name="IQ_INT_FOREIGN_DEPOSITS_FDIC">"c6565"</definedName>
    <definedName name="IQ_INT_INC_BR">"c593"</definedName>
    <definedName name="IQ_INT_INC_DEPOSITORY_INST_FDIC">"c6558"</definedName>
    <definedName name="IQ_INT_INC_DOM_LOANS_FDIC">"c6555"</definedName>
    <definedName name="IQ_INT_INC_FED_FUNDS_FDIC">"c6561"</definedName>
    <definedName name="IQ_INT_INC_FOREIGN_LOANS_FDIC">"c6556"</definedName>
    <definedName name="IQ_INT_INC_LEASE_RECEIVABLES_FDIC">"c6557"</definedName>
    <definedName name="IQ_INT_INC_OTHER_FDIC">"c6562"</definedName>
    <definedName name="IQ_INT_INC_SECURITIES_FDIC">"c6559"</definedName>
    <definedName name="IQ_INT_INC_TOTAL_FDIC">"c6563"</definedName>
    <definedName name="IQ_INT_INC_TRADING_ACCOUNTS_FDIC">"c6560"</definedName>
    <definedName name="IQ_INT_SAVINGS_DEPOSITS_MMDA_DOM_FFIEC">"c15364"</definedName>
    <definedName name="IQ_INT_SUB_NOTES_FDIC">"c6568"</definedName>
    <definedName name="IQ_INT_TRANSACTION_ACCOUNTS_DOM_FFIEC">"c15363"</definedName>
    <definedName name="IQ_INTAN_AMORT">"c605"</definedName>
    <definedName name="IQ_INTAN_AMORT_BR">"c606"</definedName>
    <definedName name="IQ_INTAN_AMORT_CF">"c607"</definedName>
    <definedName name="IQ_INTAN_AMORT_CF_BNK">"c608"</definedName>
    <definedName name="IQ_INTAN_AMORT_CF_BR">"c609"</definedName>
    <definedName name="IQ_INTAN_AMORT_CF_FIN">"c610"</definedName>
    <definedName name="IQ_INTAN_AMORT_CF_INS">"c611"</definedName>
    <definedName name="IQ_INTAN_AMORT_CF_REIT">"c612"</definedName>
    <definedName name="IQ_INTAN_AMORT_CF_UTI">"c613"</definedName>
    <definedName name="IQ_INTAN_AMORT_FIN">"c614"</definedName>
    <definedName name="IQ_INTAN_AMORT_INS">"c615"</definedName>
    <definedName name="IQ_INTAN_AMORT_REIT">"c616"</definedName>
    <definedName name="IQ_INTAN_AMORT_UTI">"c617"</definedName>
    <definedName name="IQ_INTEREST_ACCRUED_ON_DEPOSITS_DOM_FFIEC">"c15277"</definedName>
    <definedName name="IQ_INTEREST_BEARING_BALANCES_FDIC">"c6371"</definedName>
    <definedName name="IQ_INTEREST_BEARING_BALANCES_QUARTERLY_AVG_FFIEC">"c15467"</definedName>
    <definedName name="IQ_INTEREST_BEARING_CASH_FFIEC">"c15259"</definedName>
    <definedName name="IQ_INTEREST_BEARING_DEPOSITS_DOMESTIC_FDIC">"c6478"</definedName>
    <definedName name="IQ_INTEREST_BEARING_DEPOSITS_FDIC">"c6373"</definedName>
    <definedName name="IQ_INTEREST_BEARING_DEPOSITS_FOREIGN_FDIC">"c6485"</definedName>
    <definedName name="IQ_INTEREST_BEARING_TRANS_DOM_QUARTERLY_AVG_FFIEC">"c15484"</definedName>
    <definedName name="IQ_INTEREST_INC_10K">"IQ_INTEREST_INC_10K"</definedName>
    <definedName name="IQ_INTEREST_INC_10Q">"IQ_INTEREST_INC_10Q"</definedName>
    <definedName name="IQ_INTEREST_INC_10Q1">"IQ_INTEREST_INC_10Q1"</definedName>
    <definedName name="IQ_INTEREST_RATE_CONTRACTS_FDIC">"c6512"</definedName>
    <definedName name="IQ_INTEREST_RATE_EXPOSURES_FDIC">"c6662"</definedName>
    <definedName name="IQ_INTERNAL_ALLOCATIONS_INC_EXP_FOREIGN_FFIEC">"c15394"</definedName>
    <definedName name="IQ_INV_REL_ID">"c15220"</definedName>
    <definedName name="IQ_INV_REL_NAME">"c15219"</definedName>
    <definedName name="IQ_INVEST_LOANS_CF_BR">"c630"</definedName>
    <definedName name="IQ_INVEST_SECURITY_CF_BR">"c639"</definedName>
    <definedName name="IQ_INVESTMENT_BANKING_OTHER_FEES_FDIC">"c6666"</definedName>
    <definedName name="IQ_IRA_KEOGH_ACCOUNTS_FDIC">"c6496"</definedName>
    <definedName name="IQ_ISM_SERVICES_APR_FC_UNUSED_UNUSED_UNUSED">"c8443"</definedName>
    <definedName name="IQ_ISM_SERVICES_APR_UNUSED_UNUSED_UNUSED">"c7563"</definedName>
    <definedName name="IQ_ISM_SERVICES_FC_UNUSED_UNUSED_UNUSED">"c7783"</definedName>
    <definedName name="IQ_ISM_SERVICES_POP_FC_UNUSED_UNUSED_UNUSED">"c8003"</definedName>
    <definedName name="IQ_ISM_SERVICES_POP_UNUSED_UNUSED_UNUSED">"c7123"</definedName>
    <definedName name="IQ_ISM_SERVICES_UNUSED_UNUSED_UNUSED">"c6903"</definedName>
    <definedName name="IQ_ISM_SERVICES_YOY_FC_UNUSED_UNUSED_UNUSED">"c8223"</definedName>
    <definedName name="IQ_ISM_SERVICES_YOY_UNUSED_UNUSED_UNUSED">"c7343"</definedName>
    <definedName name="IQ_ISSUED_GUARANTEED_US_FDIC">"c6404"</definedName>
    <definedName name="IQ_LAST_EBIT_MARGIN">"IQ_LAST_EBIT_MARGIN"</definedName>
    <definedName name="IQ_LAST_EBITDA_MARGIN">"IQ_LAST_EBITDA_MARGIN"</definedName>
    <definedName name="IQ_LAST_GROSS_MARGIN">"IQ_LAST_GROSS_MARGIN"</definedName>
    <definedName name="IQ_LAST_NET_INC_MARGIN">"IQ_LAST_NET_INC_MARGIN"</definedName>
    <definedName name="IQ_LATEST">"1"</definedName>
    <definedName name="IQ_LATESTK">1000</definedName>
    <definedName name="IQ_LATESTKFR">"100"</definedName>
    <definedName name="IQ_LATESTQ">500</definedName>
    <definedName name="IQ_LATESTQFR">"50"</definedName>
    <definedName name="IQ_LEASE_FINANCING_RECEIVABLES_CHARGE_OFFS_FDIC">"c6602"</definedName>
    <definedName name="IQ_LEASE_FINANCING_RECEIVABLES_FDIC">"c6433"</definedName>
    <definedName name="IQ_LEASE_FINANCING_RECEIVABLES_NET_CHARGE_OFFS_FDIC">"c6640"</definedName>
    <definedName name="IQ_LEASE_FINANCING_RECEIVABLES_QUARTERLY_AVG_FFIEC">"c15483"</definedName>
    <definedName name="IQ_LEASE_FINANCING_RECEIVABLES_RECOVERIES_FDIC">"c6621"</definedName>
    <definedName name="IQ_LEASE_FINANCING_RECEIVABLES_TOTAL_LOANS_FOREIGN_FDIC">"c6449"</definedName>
    <definedName name="IQ_LEGAL_SETTLE_BR">"c649"</definedName>
    <definedName name="IQ_LIFE_INSURANCE_ASSETS_FDIC">"c6372"</definedName>
    <definedName name="IQ_LOAN_COMMITMENTS_REVOLVING_FDIC">"c6524"</definedName>
    <definedName name="IQ_LOAN_LOSS_ALLOW_FDIC">"c6326"</definedName>
    <definedName name="IQ_LOAN_LOSS_ALLOWANCE_NONCURRENT_LOANS_FDIC">"c6740"</definedName>
    <definedName name="IQ_LOAN_LOSS_PROVISION_FOREIGN_FFIEC">"c15382"</definedName>
    <definedName name="IQ_LOAN_LOSSES_FDIC">"c6580"</definedName>
    <definedName name="IQ_LOANS_AND_LEASES_HELD_FDIC">"c6367"</definedName>
    <definedName name="IQ_LOANS_CF_BR">"c661"</definedName>
    <definedName name="IQ_LOANS_DEPOSITORY_INSTITUTIONS_FDIC">"c6382"</definedName>
    <definedName name="IQ_LOANS_HELD_FOREIGN_FDIC">"c6315"</definedName>
    <definedName name="IQ_LOANS_LEASES_FOREIGN_FDIC">"c6383"</definedName>
    <definedName name="IQ_LOANS_LEASES_GROSS_FDIC">"c6323"</definedName>
    <definedName name="IQ_LOANS_LEASES_GROSS_FOREIGN_FDIC">"c6384"</definedName>
    <definedName name="IQ_LOANS_LEASES_HFI_FAIR_VALUE_TOT_FFIEC">"c15401"</definedName>
    <definedName name="IQ_LOANS_LEASES_HFI_LEVEL_1_FFIEC">"c15423"</definedName>
    <definedName name="IQ_LOANS_LEASES_HFI_LEVEL_2_FFIEC">"c15436"</definedName>
    <definedName name="IQ_LOANS_LEASES_HFI_LEVEL_3_FFIEC">"c15449"</definedName>
    <definedName name="IQ_LOANS_LEASES_HFS_FAIR_VALUE_TOT_FFIEC">"c15400"</definedName>
    <definedName name="IQ_LOANS_LEASES_HFS_LEVEL_1_FFIEC">"c15422"</definedName>
    <definedName name="IQ_LOANS_LEASES_HFS_LEVEL_2_FFIEC">"c15435"</definedName>
    <definedName name="IQ_LOANS_LEASES_HFS_LEVEL_3_FFIEC">"c15448"</definedName>
    <definedName name="IQ_LOANS_LEASES_NET_FDIC">"c6327"</definedName>
    <definedName name="IQ_LOANS_LEASES_NET_UNEARNED_FDIC">"c6325"</definedName>
    <definedName name="IQ_LOANS_NOT_SECURED_RE_FDIC">"c6381"</definedName>
    <definedName name="IQ_LOANS_SECURED_BY_RE_CHARGE_OFFS_FDIC">"c6588"</definedName>
    <definedName name="IQ_LOANS_SECURED_BY_RE_RECOVERIES_FDIC">"c6607"</definedName>
    <definedName name="IQ_LOANS_SECURED_NON_US_FDIC">"c6380"</definedName>
    <definedName name="IQ_LOANS_SECURED_RE_NET_CHARGE_OFFS_FDIC">"c6626"</definedName>
    <definedName name="IQ_LOANS_TO_DEPOSITORY_INSTITUTIONS_FOREIGN_FDIC">"c6453"</definedName>
    <definedName name="IQ_LOANS_TO_FOREIGN_GOVERNMENTS_FDIC">"c6448"</definedName>
    <definedName name="IQ_LOANS_TO_INDIVIDUALS_FOREIGN_FDIC">"c6452"</definedName>
    <definedName name="IQ_LONG_TERM_ASSETS_FDIC">"c6361"</definedName>
    <definedName name="IQ_LOSS_ALLOWANCE_LOANS_FDIC">"c6739"</definedName>
    <definedName name="IQ_LT_DEBT_BR">"c676"</definedName>
    <definedName name="IQ_LT_DEBT_ISSUED_BR">"c683"</definedName>
    <definedName name="IQ_LT_DEBT_REPAID_BR">"c691"</definedName>
    <definedName name="IQ_LT_INVEST_BR">"c698"</definedName>
    <definedName name="IQ_LT_SENIOR_DEBT">"c702"</definedName>
    <definedName name="IQ_LT_SUB_DEBT">"c703"</definedName>
    <definedName name="IQ_LTM">2000</definedName>
    <definedName name="IQ_LTM_DATE">"IQ_LTM_DATE"</definedName>
    <definedName name="IQ_LTMMONTH">120000</definedName>
    <definedName name="IQ_MATURITY_ONE_YEAR_LESS_FDIC">"c6425"</definedName>
    <definedName name="IQ_MBS_QUARTERLY_AVG_FFIEC">"c15471"</definedName>
    <definedName name="IQ_MEDIAN_NEW_HOME_SALES_APR_FC_UNUSED_UNUSED_UNUSED">"c8460"</definedName>
    <definedName name="IQ_MEDIAN_NEW_HOME_SALES_APR_UNUSED_UNUSED_UNUSED">"c7580"</definedName>
    <definedName name="IQ_MEDIAN_NEW_HOME_SALES_FC_UNUSED_UNUSED_UNUSED">"c7800"</definedName>
    <definedName name="IQ_MEDIAN_NEW_HOME_SALES_POP_FC_UNUSED_UNUSED_UNUSED">"c8020"</definedName>
    <definedName name="IQ_MEDIAN_NEW_HOME_SALES_POP_UNUSED_UNUSED_UNUSED">"c7140"</definedName>
    <definedName name="IQ_MEDIAN_NEW_HOME_SALES_UNUSED_UNUSED_UNUSED">"c6920"</definedName>
    <definedName name="IQ_MEDIAN_NEW_HOME_SALES_YOY_FC_UNUSED_UNUSED_UNUSED">"c8240"</definedName>
    <definedName name="IQ_MEDIAN_NEW_HOME_SALES_YOY_UNUSED_UNUSED_UNUSED">"c7360"</definedName>
    <definedName name="IQ_MERGER_BR">"c715"</definedName>
    <definedName name="IQ_MERGER_RESTRUCTURE_BR">"c721"</definedName>
    <definedName name="IQ_MINORITY_INTEREST_BR">"c729"</definedName>
    <definedName name="IQ_MMDA_NON_TRANS_ACCTS_FFIEC">"c15330"</definedName>
    <definedName name="IQ_MONEY_MARKET_DEPOSIT_ACCOUNTS_FDIC">"c6553"</definedName>
    <definedName name="IQ_MONTH">15000</definedName>
    <definedName name="IQ_MORTGAGE_BACKED_SECURITIES_FDIC">"c6402"</definedName>
    <definedName name="IQ_MORTGAGE_DEBT_UNDER_CAPITAL_LEASES_FFIEC">"c15276"</definedName>
    <definedName name="IQ_MORTGAGE_SERVICING_FDIC">"c6335"</definedName>
    <definedName name="IQ_MTD">800000</definedName>
    <definedName name="IQ_MULTIFAMILY_RES_DOM_FFIEC">"c15270"</definedName>
    <definedName name="IQ_MULTIFAMILY_RESIDENTIAL_LOANS_FDIC">"c6311"</definedName>
    <definedName name="IQ_MUNI_ADVALOREM_TAX">"c15144"</definedName>
    <definedName name="IQ_MUNI_AMT_TAX">"c15146"</definedName>
    <definedName name="IQ_MUNI_BANK_QUALIFIED">"c15148"</definedName>
    <definedName name="IQ_MUNI_DEP_TRUST_ELIGIBLE">"c15149"</definedName>
    <definedName name="IQ_MUNI_ECONOMIC_DEFEASANCE">"c15151"</definedName>
    <definedName name="IQ_MUNI_ESCROW">"c15228"</definedName>
    <definedName name="IQ_MUNI_FED_TAX">"c15147"</definedName>
    <definedName name="IQ_MUNI_LEGAL_DEFEASANCE">"c15150"</definedName>
    <definedName name="IQ_MUNI_OFFERING_TYPE">"c15143"</definedName>
    <definedName name="IQ_MUNI_OPTIONAL_REDEMPTION_DEFEASANCE">"c15152"</definedName>
    <definedName name="IQ_MUNI_PRE_REFUNDED_DATE">"c15154"</definedName>
    <definedName name="IQ_MUNI_PRE_REFUNDED_DATED_DATE">"c15156"</definedName>
    <definedName name="IQ_MUNI_PRE_REFUNDED_PRICE">"c15155"</definedName>
    <definedName name="IQ_MUNI_PRE_REFUNDED_TYPE">"c15153"</definedName>
    <definedName name="IQ_MUNI_PURPOSE">"c15226"</definedName>
    <definedName name="IQ_MUNI_STATE_TAX">"c15145"</definedName>
    <definedName name="IQ_MUNI_TERRITORY">"c15142"</definedName>
    <definedName name="IQ_MUNI_TYPE">"c15227"</definedName>
    <definedName name="IQ_NAMES">41085.2537615741</definedName>
    <definedName name="IQ_NAMES_REVISION_DATE_">41078.6479282407</definedName>
    <definedName name="IQ_NAV_ACT_OR_EST">"c2225"</definedName>
    <definedName name="IQ_NET_BOOKING_LOCATION_ADJUSTMENT_FOREIGN_FFIEC">"c15385"</definedName>
    <definedName name="IQ_NET_CHARGE_OFFS_FDIC">"c6641"</definedName>
    <definedName name="IQ_NET_CHARGE_OFFS_LOANS_FDIC">"c6751"</definedName>
    <definedName name="IQ_NET_DEBT_ISSUED_BR">"c753"</definedName>
    <definedName name="IQ_NET_GAIN_LOSS_OREO_EXP_FFIEC">"c15370"</definedName>
    <definedName name="IQ_NET_GAIN_LOSS_OREO_INC_FFIEC">"c15367"</definedName>
    <definedName name="IQ_NET_GAIN_LOSS_SALES_LOANS_EXP_FFIEC">"c15371"</definedName>
    <definedName name="IQ_NET_GAIN_LOSS_SALES_LOANS_INC_FFIEC">"c15368"</definedName>
    <definedName name="IQ_NET_GAIN_SALE_PREMISES_FIXED_ASSETS_EXP_FFIEC">"c15372"</definedName>
    <definedName name="IQ_NET_GAIN_SALE_PREMISES_FIXED_ASSETS_INC_FFIEC">"c15369"</definedName>
    <definedName name="IQ_NET_INC_10K">"IQ_NET_INC_10K"</definedName>
    <definedName name="IQ_NET_INC_10Q">"IQ_NET_INC_10Q"</definedName>
    <definedName name="IQ_NET_INC_10Q1">"IQ_NET_INC_10Q1"</definedName>
    <definedName name="IQ_NET_INC_GROWTH_1">"IQ_NET_INC_GROWTH_1"</definedName>
    <definedName name="IQ_NET_INC_GROWTH_2">"IQ_NET_INC_GROWTH_2"</definedName>
    <definedName name="IQ_NET_INCOME_FDIC">"c6587"</definedName>
    <definedName name="IQ_NET_INT_INC_BNK_FDIC">"c6570"</definedName>
    <definedName name="IQ_NET_INT_INC_BR">"c765"</definedName>
    <definedName name="IQ_NET_INTEREST_INC_INTERNATIONAL_OPS_FFIEC">"c15375"</definedName>
    <definedName name="IQ_NET_INTEREST_MARGIN_FDIC">"c6726"</definedName>
    <definedName name="IQ_NET_LOANS_LEASES_CORE_DEPOSITS_FDIC">"c6743"</definedName>
    <definedName name="IQ_NET_LOANS_LEASES_DEPOSITS_FDIC">"c6742"</definedName>
    <definedName name="IQ_NET_NONINTEREST_INC_EXP_INTERNATIONAL_OPS_FFIEC">"c15387"</definedName>
    <definedName name="IQ_NET_OPERATING_INCOME_ASSETS_FDIC">"c6729"</definedName>
    <definedName name="IQ_NET_SECURITIZATION_INC_FOREIGN_FFIEC">"c15379"</definedName>
    <definedName name="IQ_NET_SECURITIZATION_INCOME_FDIC">"c6669"</definedName>
    <definedName name="IQ_NET_SERVICING_FEES_FDIC">"c6668"</definedName>
    <definedName name="IQ_NI_BANK_AND_NONCONTROLLING_INTEREST_FFIEC">"c15365"</definedName>
    <definedName name="IQ_NI_BEFORE_INTERNAL_ALLOCATIONS_FOREIGN_FFIEC">"c15393"</definedName>
    <definedName name="IQ_NI_NON_CONTROLLING_INTERESTS_FFIEC">"c15366"</definedName>
    <definedName name="IQ_NON_ACCRUAL_ASSET_SOLD_DURING_QTR_FFIEC">"c15350"</definedName>
    <definedName name="IQ_NON_INT_EXP_FDIC">"c6579"</definedName>
    <definedName name="IQ_NON_INT_INC_FDIC">"c6575"</definedName>
    <definedName name="IQ_NON_US_ADDRESSEES_TOTAL_LOANS_FOREIGN_FDIC">"c6443"</definedName>
    <definedName name="IQ_NON_US_CHARGE_OFFS_AND_RECOVERIES_FDIC">"c6650"</definedName>
    <definedName name="IQ_NON_US_CHARGE_OFFS_FDIC">"c6648"</definedName>
    <definedName name="IQ_NON_US_COMMERCIAL_INDUSTRIAL_CHARGE_OFFS_FDIC">"c6651"</definedName>
    <definedName name="IQ_NON_US_NET_LOANS_FDIC">"c6376"</definedName>
    <definedName name="IQ_NON_US_RECOVERIES_FDIC">"c6649"</definedName>
    <definedName name="IQ_NONCURRENT_LOANS_1_4_FAMILY_FDIC">"c6770"</definedName>
    <definedName name="IQ_NONCURRENT_LOANS_COMMERCIAL_INDUSTRIAL_FDIC">"c6773"</definedName>
    <definedName name="IQ_NONCURRENT_LOANS_COMMERCIAL_RE_FDIC">"c6768"</definedName>
    <definedName name="IQ_NONCURRENT_LOANS_COMMERCIAL_RE_NOT_SECURED_FDIC">"c6778"</definedName>
    <definedName name="IQ_NONCURRENT_LOANS_CONSTRUCTION_LAND_DEV_FDIC">"c6767"</definedName>
    <definedName name="IQ_NONCURRENT_LOANS_CREDIT_CARD_FDIC">"c6775"</definedName>
    <definedName name="IQ_NONCURRENT_LOANS_GUARANTEED_FDIC">"c6358"</definedName>
    <definedName name="IQ_NONCURRENT_LOANS_HOME_EQUITY_FDIC">"c6771"</definedName>
    <definedName name="IQ_NONCURRENT_LOANS_INDIVIDUALS_FDIC">"c6774"</definedName>
    <definedName name="IQ_NONCURRENT_LOANS_LEASES_FDIC">"c6357"</definedName>
    <definedName name="IQ_NONCURRENT_LOANS_MULTIFAMILY_FDIC">"c6769"</definedName>
    <definedName name="IQ_NONCURRENT_LOANS_OTHER_FAMILY_FDIC">"c6772"</definedName>
    <definedName name="IQ_NONCURRENT_LOANS_OTHER_INDIVIDUAL_FDIC">"c6776"</definedName>
    <definedName name="IQ_NONCURRENT_LOANS_OTHER_LOANS_FDIC">"c6777"</definedName>
    <definedName name="IQ_NONCURRENT_LOANS_RE_FDIC">"c6766"</definedName>
    <definedName name="IQ_NONCURRENT_LOANS_TOTAL_LOANS_FDIC">"c6765"</definedName>
    <definedName name="IQ_NONCURRENT_OREO_ASSETS_FDIC">"c6741"</definedName>
    <definedName name="IQ_NONFARM_NONRES_DOM_FFIEC">"c15271"</definedName>
    <definedName name="IQ_NONINTEREST_BEARING_BALANCES_FDIC">"c6394"</definedName>
    <definedName name="IQ_NONINTEREST_BEARING_DEPOSITS_DOMESTIC_FDIC">"c6477"</definedName>
    <definedName name="IQ_NONINTEREST_BEARING_DEPOSITS_FOREIGN_FDIC">"c6484"</definedName>
    <definedName name="IQ_NONINTEREST_EXPENSE_EARNING_ASSETS_FDIC">"c6728"</definedName>
    <definedName name="IQ_NONINTEREST_INC_FOREIGN_FFIEC">"c15376"</definedName>
    <definedName name="IQ_NONINTEREST_INCOME_EARNING_ASSETS_FDIC">"c6727"</definedName>
    <definedName name="IQ_NONMORTGAGE_SERVICING_FDIC">"c6336"</definedName>
    <definedName name="IQ_NONRES_FIXED_INVEST_PRIV_APR_FC_UNUSED_UNUSED_UNUSED">"c8468"</definedName>
    <definedName name="IQ_NONRES_FIXED_INVEST_PRIV_APR_UNUSED_UNUSED_UNUSED">"c7588"</definedName>
    <definedName name="IQ_NONRES_FIXED_INVEST_PRIV_FC_UNUSED_UNUSED_UNUSED">"c7808"</definedName>
    <definedName name="IQ_NONRES_FIXED_INVEST_PRIV_POP_FC_UNUSED_UNUSED_UNUSED">"c8028"</definedName>
    <definedName name="IQ_NONRES_FIXED_INVEST_PRIV_POP_UNUSED_UNUSED_UNUSED">"c7148"</definedName>
    <definedName name="IQ_NONRES_FIXED_INVEST_PRIV_UNUSED_UNUSED_UNUSED">"c6928"</definedName>
    <definedName name="IQ_NONRES_FIXED_INVEST_PRIV_YOY_FC_UNUSED_UNUSED_UNUSED">"c8248"</definedName>
    <definedName name="IQ_NONRES_FIXED_INVEST_PRIV_YOY_UNUSED_UNUSED_UNUSED">"c7368"</definedName>
    <definedName name="IQ_NONTRANSACTION_ACCOUNTS_FDIC">"c6552"</definedName>
    <definedName name="IQ_NOTIONAL_AMOUNT_CREDIT_DERIVATIVES_FDIC">"c6507"</definedName>
    <definedName name="IQ_NOTIONAL_VALUE_EXCHANGE_SWAPS_FDIC">"c6516"</definedName>
    <definedName name="IQ_NOTIONAL_VALUE_OTHER_SWAPS_FDIC">"c6521"</definedName>
    <definedName name="IQ_NOTIONAL_VALUE_RATE_SWAPS_FDIC">"c6511"</definedName>
    <definedName name="IQ_NTM">6000</definedName>
    <definedName name="IQ_NUMBER_DEPOSITS_LESS_THAN_100K_FDIC">"c6495"</definedName>
    <definedName name="IQ_NUMBER_DEPOSITS_MORE_THAN_100K_FDIC">"c6493"</definedName>
    <definedName name="IQ_OBLIGATION_STATES_POLI_SUBD_US_LL_REC_DOM_FFIEC">"c15295"</definedName>
    <definedName name="IQ_OBLIGATION_STATES_POLI_SUBD_US_LL_REC_FFIEC">"c15294"</definedName>
    <definedName name="IQ_OBLIGATIONS_OF_STATES_TOTAL_LOANS_FOREIGN_FDIC">"c6447"</definedName>
    <definedName name="IQ_OBLIGATIONS_STATES_FDIC">"c6431"</definedName>
    <definedName name="IQ_OG_TOTAL_OIL_PRODUCTON">"c2059"</definedName>
    <definedName name="IQ_OPENED55">1</definedName>
    <definedName name="IQ_OPER_INC_BR">"c850"</definedName>
    <definedName name="IQ_OPTIONS_OS">"c858"</definedName>
    <definedName name="IQ_OREO_1_4_RESIDENTIAL_FDIC">"c6454"</definedName>
    <definedName name="IQ_OREO_COMMERCIAL_RE_FDIC">"c6456"</definedName>
    <definedName name="IQ_OREO_CONSTRUCTION_DEVELOPMENT_FDIC">"c6457"</definedName>
    <definedName name="IQ_OREO_FARMLAND_FDIC">"c6458"</definedName>
    <definedName name="IQ_OREO_FOREIGN_FDIC">"c6460"</definedName>
    <definedName name="IQ_OREO_FOREIGN_FFIEC">"c15273"</definedName>
    <definedName name="IQ_OREO_MULTI_FAMILY_RESIDENTIAL_FDIC">"c6455"</definedName>
    <definedName name="IQ_OTHER_AMORT_BR">"c5566"</definedName>
    <definedName name="IQ_OTHER_ASSETS_BR">"c862"</definedName>
    <definedName name="IQ_OTHER_ASSETS_FDIC">"c6338"</definedName>
    <definedName name="IQ_OTHER_BORROWED_FUNDS_FDIC">"c6345"</definedName>
    <definedName name="IQ_OTHER_BORROWED_MONEY_FAIR_VALUE_TOT_FFIEC">"c15409"</definedName>
    <definedName name="IQ_OTHER_BORROWED_MONEY_LEVEL_1_FFIEC">"c15431"</definedName>
    <definedName name="IQ_OTHER_BORROWED_MONEY_LEVEL_2_FFIEC">"c15444"</definedName>
    <definedName name="IQ_OTHER_BORROWED_MONEY_LEVEL_3_FFIEC">"c15457"</definedName>
    <definedName name="IQ_OTHER_CA_SUPPL_BR">"c871"</definedName>
    <definedName name="IQ_OTHER_CL_SUPPL_BR">"c880"</definedName>
    <definedName name="IQ_OTHER_COMPREHENSIVE_INCOME_FDIC">"c6503"</definedName>
    <definedName name="IQ_OTHER_DEBT_SECURITIES_QUARTERLY_AVG_FFIEC">"c15473"</definedName>
    <definedName name="IQ_OTHER_DEPOSITORY_INSTITUTIONS_LOANS_FDIC">"c6436"</definedName>
    <definedName name="IQ_OTHER_DEPOSITORY_INSTITUTIONS_TOTAL_LOANS_FOREIGN_FDIC">"c6442"</definedName>
    <definedName name="IQ_OTHER_DOMESTIC_DEBT_SECURITIES_FDIC">"c6302"</definedName>
    <definedName name="IQ_OTHER_EQUITY_BR">"c888"</definedName>
    <definedName name="IQ_OTHER_FINANCE_ACT_BR">"c895"</definedName>
    <definedName name="IQ_OTHER_FINANCE_ACT_SUPPL_BR">"c901"</definedName>
    <definedName name="IQ_OTHER_IBF_DEPOSIT_LIABILITIES_FFIEC">"c15301"</definedName>
    <definedName name="IQ_OTHER_INDIVIDUAL_FAMILY_DOM_QUARTERLY_AVG_FFIEC">"c15481"</definedName>
    <definedName name="IQ_OTHER_INSURANCE_FEES_FDIC">"c6672"</definedName>
    <definedName name="IQ_OTHER_INTAN_BR">"c909"</definedName>
    <definedName name="IQ_OTHER_INTANGIBLE_FDIC">"c6337"</definedName>
    <definedName name="IQ_OTHER_INVEST_ACT_BR">"c918"</definedName>
    <definedName name="IQ_OTHER_INVEST_ACT_SUPPL_BR">"c924"</definedName>
    <definedName name="IQ_OTHER_LIAB_BR">"c932"</definedName>
    <definedName name="IQ_OTHER_LIAB_LT_BR">"c937"</definedName>
    <definedName name="IQ_OTHER_LIABILITIES_FDIC">"c6347"</definedName>
    <definedName name="IQ_OTHER_LOANS_CHARGE_OFFS_FDIC">"c6601"</definedName>
    <definedName name="IQ_OTHER_LOANS_FOREIGN_FDIC">"c6446"</definedName>
    <definedName name="IQ_OTHER_LOANS_LEASES_FDIC">"c6322"</definedName>
    <definedName name="IQ_OTHER_LOANS_NET_CHARGE_OFFS_FDIC">"c6639"</definedName>
    <definedName name="IQ_OTHER_LOANS_RECOVERIES_FDIC">"c6620"</definedName>
    <definedName name="IQ_OTHER_LOANS_TOTAL_FDIC">"c6432"</definedName>
    <definedName name="IQ_OTHER_LT_ASSETS_BR">"c948"</definedName>
    <definedName name="IQ_OTHER_NON_INT_EXP_FDIC">"c6578"</definedName>
    <definedName name="IQ_OTHER_NON_INT_EXPENSE_FDIC">"c6679"</definedName>
    <definedName name="IQ_OTHER_NON_INT_INC_FDIC">"c6676"</definedName>
    <definedName name="IQ_OTHER_NON_OPER_EXP_BR">"c957"</definedName>
    <definedName name="IQ_OTHER_NON_OPER_EXP_SUPPL_BR">"c962"</definedName>
    <definedName name="IQ_OTHER_NON_REC">"c968"</definedName>
    <definedName name="IQ_OTHER_NON_REC_BNK">"c969"</definedName>
    <definedName name="IQ_OTHER_NON_REC_BR">"c970"</definedName>
    <definedName name="IQ_OTHER_NON_REC_FIN">"c971"</definedName>
    <definedName name="IQ_OTHER_NON_REC_INS">"c972"</definedName>
    <definedName name="IQ_OTHER_NON_REC_REIT">"c973"</definedName>
    <definedName name="IQ_OTHER_NON_REC_SUPPL">"c974"</definedName>
    <definedName name="IQ_OTHER_NON_REC_SUPPL_BNK">"c975"</definedName>
    <definedName name="IQ_OTHER_NON_REC_SUPPL_BR">"c976"</definedName>
    <definedName name="IQ_OTHER_NON_REC_SUPPL_FIN">"c977"</definedName>
    <definedName name="IQ_OTHER_NON_REC_SUPPL_INS">"c978"</definedName>
    <definedName name="IQ_OTHER_NON_REC_SUPPL_REIT">"c979"</definedName>
    <definedName name="IQ_OTHER_NON_REC_SUPPL_UTI">"c980"</definedName>
    <definedName name="IQ_OTHER_NON_REC_UTI">"c981"</definedName>
    <definedName name="IQ_OTHER_NONINTEREST_INC_FOREIGN_FFIEC">"c15380"</definedName>
    <definedName name="IQ_OTHER_OFF_BS_LIAB_FDIC">"c6533"</definedName>
    <definedName name="IQ_OTHER_OPER_ACT_BR">"c985"</definedName>
    <definedName name="IQ_OTHER_OPER_BR">"c990"</definedName>
    <definedName name="IQ_OTHER_OPER_SUPPL_BR">"c994"</definedName>
    <definedName name="IQ_OTHER_OPER_TOT_BR">"c1000"</definedName>
    <definedName name="IQ_OTHER_RE_OWNED_FDIC">"c6330"</definedName>
    <definedName name="IQ_OTHER_REV_BR">"c1011"</definedName>
    <definedName name="IQ_OTHER_REV_SUPPL_BR">"c1016"</definedName>
    <definedName name="IQ_OTHER_SAVINGS_DEPOSITS_FDIC">"c6554"</definedName>
    <definedName name="IQ_OTHER_SAVINGS_DEPOSITS_NON_TRANS_ACCTS_FFIEC">"c15331"</definedName>
    <definedName name="IQ_OTHER_SECURITIES_QUARTERLY_AVG_FFIEC">"c15472"</definedName>
    <definedName name="IQ_OTHER_TRADING_ASSETS_FAIR_VALUE_TOT_FFIEC">"c15404"</definedName>
    <definedName name="IQ_OTHER_TRADING_ASSETS_LEVEL_1_FFIEC">"c15426"</definedName>
    <definedName name="IQ_OTHER_TRADING_ASSETS_LEVEL_2_FFIEC">"c15439"</definedName>
    <definedName name="IQ_OTHER_TRADING_ASSETS_LEVEL_3_FFIEC">"c15452"</definedName>
    <definedName name="IQ_OTHER_TRADING_LIABILITIES_FAIR_VALUE_TOT_FFIEC">"c15408"</definedName>
    <definedName name="IQ_OTHER_TRADING_LIABILITIES_LEVEL_1_FFIEC">"c15430"</definedName>
    <definedName name="IQ_OTHER_TRADING_LIABILITIES_LEVEL_2_FFIEC">"c15443"</definedName>
    <definedName name="IQ_OTHER_TRADING_LIABILITIES_LEVEL_3_FFIEC">"c15456"</definedName>
    <definedName name="IQ_OTHER_TRANSACTIONS_FDIC">"c6504"</definedName>
    <definedName name="IQ_OTHER_UNUSAL">"c998"</definedName>
    <definedName name="IQ_OTHER_UNUSAL_BNK">"c999"</definedName>
    <definedName name="IQ_OTHER_UNUSAL_BR">"c1000"</definedName>
    <definedName name="IQ_OTHER_UNUSAL_FIN">"c1001"</definedName>
    <definedName name="IQ_OTHER_UNUSAL_INS">"c1002"</definedName>
    <definedName name="IQ_OTHER_UNUSAL_REIT">"c1003"</definedName>
    <definedName name="IQ_OTHER_UNUSAL_SUPPL">"c1004"</definedName>
    <definedName name="IQ_OTHER_UNUSAL_SUPPL_BNK">"c1005"</definedName>
    <definedName name="IQ_OTHER_UNUSAL_SUPPL_BR">"c1006"</definedName>
    <definedName name="IQ_OTHER_UNUSAL_SUPPL_FIN">"c1007"</definedName>
    <definedName name="IQ_OTHER_UNUSAL_SUPPL_INS">"c1008"</definedName>
    <definedName name="IQ_OTHER_UNUSAL_SUPPL_REIT">"c1009"</definedName>
    <definedName name="IQ_OTHER_UNUSAL_SUPPL_UTI">"c1010"</definedName>
    <definedName name="IQ_OTHER_UNUSAL_UTI">"c1011"</definedName>
    <definedName name="IQ_OTHER_UNUSED_COMMITMENTS_FDIC">"c6530"</definedName>
    <definedName name="IQ_OTHER_UNUSUAL_BR">"c1561"</definedName>
    <definedName name="IQ_OTHER_UNUSUAL_SUPPL_BR">"c1496"</definedName>
    <definedName name="IQ_OVER_FIFETEEN_YEAR_MORTGAGE_PASS_THROUGHS_FDIC">"c6416"</definedName>
    <definedName name="IQ_OVER_FIFTEEN_YEAR_FIXED_AND_FLOATING_RATE_FDIC">"c6424"</definedName>
    <definedName name="IQ_OVER_THREE_YEARS_FDIC">"c6418"</definedName>
    <definedName name="IQ_PARTICIPATION_POOLS_RESIDENTIAL_MORTGAGES_FDIC">"c6403"</definedName>
    <definedName name="IQ_PAST_DUE_30_1_4_FAMILY_LOANS_FDIC">"c6693"</definedName>
    <definedName name="IQ_PAST_DUE_30_AUTO_LOANS_FDIC">"c6687"</definedName>
    <definedName name="IQ_PAST_DUE_30_CL_LOANS_FDIC">"c6688"</definedName>
    <definedName name="IQ_PAST_DUE_30_CREDIT_CARDS_RECEIVABLES_FDIC">"c6690"</definedName>
    <definedName name="IQ_PAST_DUE_30_HOME_EQUITY_LINES_FDIC">"c6691"</definedName>
    <definedName name="IQ_PAST_DUE_30_OTHER_CONSUMER_LOANS_FDIC">"c6689"</definedName>
    <definedName name="IQ_PAST_DUE_30_OTHER_LOANS_FDIC">"c6692"</definedName>
    <definedName name="IQ_PAST_DUE_90_1_4_FAMILY_LOANS_FDIC">"c6700"</definedName>
    <definedName name="IQ_PAST_DUE_90_AUTO_LOANS_FDIC">"c6694"</definedName>
    <definedName name="IQ_PAST_DUE_90_CL_LOANS_FDIC">"c6695"</definedName>
    <definedName name="IQ_PAST_DUE_90_CREDIT_CARDS_RECEIVABLES_FDIC">"c6697"</definedName>
    <definedName name="IQ_PAST_DUE_90_HOME_EQUITY_LINES_FDIC">"c6698"</definedName>
    <definedName name="IQ_PAST_DUE_90_OTHER_CONSUMER_LOANS_FDIC">"c6696"</definedName>
    <definedName name="IQ_PAST_DUE_90_OTHER_LOANS_FDIC">"c6699"</definedName>
    <definedName name="IQ_PBV_FWD">"c15235"</definedName>
    <definedName name="IQ_PC_WRITTEN">"c1027"</definedName>
    <definedName name="IQ_PERCENT_CHANGE_EST_FFO_12MONTHS">"c1828"</definedName>
    <definedName name="IQ_PERCENT_CHANGE_EST_FFO_12MONTHS_REUT">"c3938"</definedName>
    <definedName name="IQ_PERCENT_CHANGE_EST_FFO_18MONTHS">"c1829"</definedName>
    <definedName name="IQ_PERCENT_CHANGE_EST_FFO_18MONTHS_REUT">"c3939"</definedName>
    <definedName name="IQ_PERCENT_CHANGE_EST_FFO_3MONTHS">"c1825"</definedName>
    <definedName name="IQ_PERCENT_CHANGE_EST_FFO_3MONTHS_REUT">"c3935"</definedName>
    <definedName name="IQ_PERCENT_CHANGE_EST_FFO_6MONTHS">"c1826"</definedName>
    <definedName name="IQ_PERCENT_CHANGE_EST_FFO_6MONTHS_REUT">"c3936"</definedName>
    <definedName name="IQ_PERCENT_CHANGE_EST_FFO_9MONTHS">"c1827"</definedName>
    <definedName name="IQ_PERCENT_CHANGE_EST_FFO_9MONTHS_REUT">"c3937"</definedName>
    <definedName name="IQ_PERCENT_CHANGE_EST_FFO_DAY">"c1822"</definedName>
    <definedName name="IQ_PERCENT_CHANGE_EST_FFO_DAY_REUT">"c3933"</definedName>
    <definedName name="IQ_PERCENT_CHANGE_EST_FFO_MONTH">"c1824"</definedName>
    <definedName name="IQ_PERCENT_CHANGE_EST_FFO_MONTH_REUT">"c3934"</definedName>
    <definedName name="IQ_PERCENT_CHANGE_EST_FFO_WEEK">"c1823"</definedName>
    <definedName name="IQ_PERCENT_CHANGE_EST_FFO_WEEK_REUT">"c3964"</definedName>
    <definedName name="IQ_PERCENT_FLOAT">"c227"</definedName>
    <definedName name="IQ_PERCENT_INSURED_FDIC">"c6374"</definedName>
    <definedName name="IQ_PLEDGED_SECURITIES_FDIC">"c6401"</definedName>
    <definedName name="IQ_PRE_TAX_INCOME_FDIC">"c6581"</definedName>
    <definedName name="IQ_PREF_ISSUED_BR">"c1047"</definedName>
    <definedName name="IQ_PREF_OTHER_BR">"c1055"</definedName>
    <definedName name="IQ_PREF_REP_BR">"c1062"</definedName>
    <definedName name="IQ_PREFERRED_DEPOSITS_FFIEC">"c15312"</definedName>
    <definedName name="IQ_PREFERRED_FDIC">"c6349"</definedName>
    <definedName name="IQ_PREMISES_EQUIPMENT_FDIC">"c6577"</definedName>
    <definedName name="IQ_PRESIDENT_ID">"c15216"</definedName>
    <definedName name="IQ_PRESIDENT_NAME">"c15215"</definedName>
    <definedName name="IQ_PRETAX_INC">"IQ_PRETAX_INC"</definedName>
    <definedName name="IQ_PRETAX_INC_10K">"IQ_PRETAX_INC_10K"</definedName>
    <definedName name="IQ_PRETAX_INC_10Q">"IQ_PRETAX_INC_10Q"</definedName>
    <definedName name="IQ_PRETAX_INC_10Q1">"IQ_PRETAX_INC_10Q1"</definedName>
    <definedName name="IQ_PRETAX_INC_AFTER_CAP_ALLOCATION_FOREIGN_FFIEC">"c15390"</definedName>
    <definedName name="IQ_PRETAX_INC_BEFORE_CAP_ALLOCATION_FOREIGN_FFIEC">"c15388"</definedName>
    <definedName name="IQ_PRETAX_RETURN_ASSETS_FDIC">"c6731"</definedName>
    <definedName name="IQ_PRICE_OVER_EPS_EST">"IQ_PRICE_OVER_EPS_EST"</definedName>
    <definedName name="IQ_PRICE_OVER_EPS_EST_1">"IQ_PRICE_OVER_EPS_EST_1"</definedName>
    <definedName name="IQ_PRICEDATETIME">"IQ_PRICEDATETIME"</definedName>
    <definedName name="IQ_PRIVATE_CONST_TOTAL_APR_FC_UNUSED_UNUSED_UNUSED">"c8559"</definedName>
    <definedName name="IQ_PRIVATE_CONST_TOTAL_APR_UNUSED_UNUSED_UNUSED">"c7679"</definedName>
    <definedName name="IQ_PRIVATE_CONST_TOTAL_FC_UNUSED_UNUSED_UNUSED">"c7899"</definedName>
    <definedName name="IQ_PRIVATE_CONST_TOTAL_POP_FC_UNUSED_UNUSED_UNUSED">"c8119"</definedName>
    <definedName name="IQ_PRIVATE_CONST_TOTAL_POP_UNUSED_UNUSED_UNUSED">"c7239"</definedName>
    <definedName name="IQ_PRIVATE_CONST_TOTAL_UNUSED_UNUSED_UNUSED">"c7019"</definedName>
    <definedName name="IQ_PRIVATE_CONST_TOTAL_YOY_FC_UNUSED_UNUSED_UNUSED">"c8339"</definedName>
    <definedName name="IQ_PRIVATE_CONST_TOTAL_YOY_UNUSED_UNUSED_UNUSED">"c7459"</definedName>
    <definedName name="IQ_PRIVATE_RES_CONST_REAL_APR_FC_UNUSED_UNUSED_UNUSED">"c8535"</definedName>
    <definedName name="IQ_PRIVATE_RES_CONST_REAL_APR_UNUSED_UNUSED_UNUSED">"c7655"</definedName>
    <definedName name="IQ_PRIVATE_RES_CONST_REAL_FC_UNUSED_UNUSED_UNUSED">"c7875"</definedName>
    <definedName name="IQ_PRIVATE_RES_CONST_REAL_POP_FC_UNUSED_UNUSED_UNUSED">"c8095"</definedName>
    <definedName name="IQ_PRIVATE_RES_CONST_REAL_POP_UNUSED_UNUSED_UNUSED">"c7215"</definedName>
    <definedName name="IQ_PRIVATE_RES_CONST_REAL_UNUSED_UNUSED_UNUSED">"c6995"</definedName>
    <definedName name="IQ_PRIVATE_RES_CONST_REAL_YOY_FC_UNUSED_UNUSED_UNUSED">"c8315"</definedName>
    <definedName name="IQ_PRIVATE_RES_CONST_REAL_YOY_UNUSED_UNUSED_UNUSED">"c7435"</definedName>
    <definedName name="IQ_PRIVATELY_ISSUED_MORTGAGE_BACKED_SECURITIES_FDIC">"c6407"</definedName>
    <definedName name="IQ_PRIVATELY_ISSUED_MORTGAGE_PASS_THROUGHS_FDIC">"c6405"</definedName>
    <definedName name="IQ_PROFESSIONAL_ASSISTANT_EMAIL">"c15169"</definedName>
    <definedName name="IQ_PROFESSIONAL_ASSISTANT_FAX">"c15171"</definedName>
    <definedName name="IQ_PROFESSIONAL_ASSISTANT_NAME">"c15168"</definedName>
    <definedName name="IQ_PROFESSIONAL_ASSISTANT_PHONE">"c15170"</definedName>
    <definedName name="IQ_PROFESSIONAL_BACKGROUND">"c15161"</definedName>
    <definedName name="IQ_PROFESSIONAL_DIRECT_FAX">"c15166"</definedName>
    <definedName name="IQ_PROFESSIONAL_DIRECT_PHONE">"c15165"</definedName>
    <definedName name="IQ_PROFESSIONAL_EMAIL">"c15167"</definedName>
    <definedName name="IQ_PROFESSIONAL_MAIN_FAX">"c15164"</definedName>
    <definedName name="IQ_PROFESSIONAL_MAIN_PHONE">"c15163"</definedName>
    <definedName name="IQ_PROFESSIONAL_OFFICE_ADDRESS">"c15162"</definedName>
    <definedName name="IQ_PURCHASE_FOREIGN_CURRENCIES_FDIC">"c6513"</definedName>
    <definedName name="IQ_PURCHASED_OPTION_CONTRACTS_FDIC">"c6510"</definedName>
    <definedName name="IQ_PURCHASED_OPTION_CONTRACTS_FX_RISK_FDIC">"c6515"</definedName>
    <definedName name="IQ_PURCHASED_OPTION_CONTRACTS_NON_FX_IR_FDIC">"c6520"</definedName>
    <definedName name="IQ_PURCHASES_EQUIP_NONRES_SAAR_APR_FC_UNUSED_UNUSED_UNUSED">"c8491"</definedName>
    <definedName name="IQ_PURCHASES_EQUIP_NONRES_SAAR_APR_UNUSED_UNUSED_UNUSED">"c7611"</definedName>
    <definedName name="IQ_PURCHASES_EQUIP_NONRES_SAAR_FC_UNUSED_UNUSED_UNUSED">"c7831"</definedName>
    <definedName name="IQ_PURCHASES_EQUIP_NONRES_SAAR_POP_FC_UNUSED_UNUSED_UNUSED">"c8051"</definedName>
    <definedName name="IQ_PURCHASES_EQUIP_NONRES_SAAR_POP_UNUSED_UNUSED_UNUSED">"c7171"</definedName>
    <definedName name="IQ_PURCHASES_EQUIP_NONRES_SAAR_UNUSED_UNUSED_UNUSED">"c6951"</definedName>
    <definedName name="IQ_PURCHASES_EQUIP_NONRES_SAAR_YOY_FC_UNUSED_UNUSED_UNUSED">"c8271"</definedName>
    <definedName name="IQ_PURCHASES_EQUIP_NONRES_SAAR_YOY_UNUSED_UNUSED_UNUSED">"c7391"</definedName>
    <definedName name="IQ_QTD">750000</definedName>
    <definedName name="IQ_RE_FORECLOSURE_FDIC">"c6332"</definedName>
    <definedName name="IQ_RE_INVEST_FDIC">"c6331"</definedName>
    <definedName name="IQ_RE_LOANS_DOM_QUARTERLY_AVG_FFIEC">"c15476"</definedName>
    <definedName name="IQ_RE_LOANS_DOMESTIC_CHARGE_OFFS_FDIC">"c6589"</definedName>
    <definedName name="IQ_RE_LOANS_DOMESTIC_FDIC">"c6309"</definedName>
    <definedName name="IQ_RE_LOANS_DOMESTIC_NET_CHARGE_OFFS_FDIC">"c6627"</definedName>
    <definedName name="IQ_RE_LOANS_DOMESTIC_RECOVERIES_FDIC">"c6608"</definedName>
    <definedName name="IQ_RE_LOANS_FDIC">"c6308"</definedName>
    <definedName name="IQ_RE_LOANS_FOREIGN_CHARGE_OFFS_FDIC">"c6595"</definedName>
    <definedName name="IQ_RE_LOANS_FOREIGN_NET_CHARGE_OFFS_FDIC">"c6633"</definedName>
    <definedName name="IQ_RE_LOANS_FOREIGN_RECOVERIES_FDIC">"c6614"</definedName>
    <definedName name="IQ_RECOVERIES_1_4_FAMILY_LOANS_FDIC">"c6707"</definedName>
    <definedName name="IQ_RECOVERIES_AUTO_LOANS_FDIC">"c6701"</definedName>
    <definedName name="IQ_RECOVERIES_CL_LOANS_FDIC">"c6702"</definedName>
    <definedName name="IQ_RECOVERIES_CREDIT_CARDS_RECEIVABLES_FDIC">"c6704"</definedName>
    <definedName name="IQ_RECOVERIES_HOME_EQUITY_LINES_FDIC">"c6705"</definedName>
    <definedName name="IQ_RECOVERIES_OTHER_CONSUMER_LOANS_FDIC">"c6703"</definedName>
    <definedName name="IQ_RECOVERIES_OTHER_LOANS_FDIC">"c6706"</definedName>
    <definedName name="IQ_RELATED_PLANS_FDIC">"c6320"</definedName>
    <definedName name="IQ_RES_CONST_REAL_APR_FC_UNUSED_UNUSED_UNUSED">"c8536"</definedName>
    <definedName name="IQ_RES_CONST_REAL_APR_UNUSED_UNUSED_UNUSED">"c7656"</definedName>
    <definedName name="IQ_RES_CONST_REAL_FC_UNUSED_UNUSED_UNUSED">"c7876"</definedName>
    <definedName name="IQ_RES_CONST_REAL_POP_FC_UNUSED_UNUSED_UNUSED">"c8096"</definedName>
    <definedName name="IQ_RES_CONST_REAL_POP_UNUSED_UNUSED_UNUSED">"c7216"</definedName>
    <definedName name="IQ_RES_CONST_REAL_SAAR_APR_FC_UNUSED_UNUSED_UNUSED">"c8537"</definedName>
    <definedName name="IQ_RES_CONST_REAL_SAAR_APR_UNUSED_UNUSED_UNUSED">"c7657"</definedName>
    <definedName name="IQ_RES_CONST_REAL_SAAR_FC_UNUSED_UNUSED_UNUSED">"c7877"</definedName>
    <definedName name="IQ_RES_CONST_REAL_SAAR_POP_FC_UNUSED_UNUSED_UNUSED">"c8097"</definedName>
    <definedName name="IQ_RES_CONST_REAL_SAAR_POP_UNUSED_UNUSED_UNUSED">"c7217"</definedName>
    <definedName name="IQ_RES_CONST_REAL_SAAR_UNUSED_UNUSED_UNUSED">"c6997"</definedName>
    <definedName name="IQ_RES_CONST_REAL_SAAR_YOY_FC_UNUSED_UNUSED_UNUSED">"c8317"</definedName>
    <definedName name="IQ_RES_CONST_REAL_SAAR_YOY_UNUSED_UNUSED_UNUSED">"c7437"</definedName>
    <definedName name="IQ_RES_CONST_REAL_UNUSED_UNUSED_UNUSED">"c6996"</definedName>
    <definedName name="IQ_RES_CONST_REAL_YOY_FC_UNUSED_UNUSED_UNUSED">"c8316"</definedName>
    <definedName name="IQ_RES_CONST_REAL_YOY_UNUSED_UNUSED_UNUSED">"c7436"</definedName>
    <definedName name="IQ_RES_CONST_SAAR_APR_FC_UNUSED_UNUSED_UNUSED">"c8540"</definedName>
    <definedName name="IQ_RES_CONST_SAAR_APR_UNUSED_UNUSED_UNUSED">"c7660"</definedName>
    <definedName name="IQ_RES_CONST_SAAR_FC_UNUSED_UNUSED_UNUSED">"c7880"</definedName>
    <definedName name="IQ_RES_CONST_SAAR_POP_FC_UNUSED_UNUSED_UNUSED">"c8100"</definedName>
    <definedName name="IQ_RES_CONST_SAAR_POP_UNUSED_UNUSED_UNUSED">"c7220"</definedName>
    <definedName name="IQ_RES_CONST_SAAR_UNUSED_UNUSED_UNUSED">"c7000"</definedName>
    <definedName name="IQ_RES_CONST_SAAR_YOY_FC_UNUSED_UNUSED_UNUSED">"c8320"</definedName>
    <definedName name="IQ_RES_CONST_SAAR_YOY_UNUSED_UNUSED_UNUSED">"c7440"</definedName>
    <definedName name="IQ_RESIDENTIAL_LOANS">"c1102"</definedName>
    <definedName name="IQ_RESTATEMENTS_NET_FDIC">"c6500"</definedName>
    <definedName name="IQ_RESTRUCTURE_BR">"c1106"</definedName>
    <definedName name="IQ_RESTRUCTURED_LOANS_1_4_RESIDENTIAL_FDIC">"c6378"</definedName>
    <definedName name="IQ_RESTRUCTURED_LOANS_LEASES_FDIC">"c6377"</definedName>
    <definedName name="IQ_RESTRUCTURED_LOANS_NON_1_4_FDIC">"c6379"</definedName>
    <definedName name="IQ_RETAIL_DEPOSITS_FDIC">"c6488"</definedName>
    <definedName name="IQ_RETAINED_EARNINGS_AVERAGE_EQUITY_FDIC">"c6733"</definedName>
    <definedName name="IQ_RETURN_ASSETS_BROK">"c1115"</definedName>
    <definedName name="IQ_RETURN_ASSETS_FDIC">"c6730"</definedName>
    <definedName name="IQ_RETURN_EQUITY_BROK">"c1120"</definedName>
    <definedName name="IQ_RETURN_EQUITY_FDIC">"c6732"</definedName>
    <definedName name="IQ_REV_BEFORE_LOAN_LOSS_FOREIGN_FFIEC">"c15381"</definedName>
    <definedName name="IQ_REVALUATION_GAINS_FDIC">"c6428"</definedName>
    <definedName name="IQ_REVALUATION_LOSSES_FDIC">"c6429"</definedName>
    <definedName name="IQ_REVENUE_10K">"IQ_REVENUE_10K"</definedName>
    <definedName name="IQ_REVENUE_10Q">"IQ_REVENUE_10Q"</definedName>
    <definedName name="IQ_REVENUE_10Q1">"IQ_REVENUE_10Q1"</definedName>
    <definedName name="IQ_REVENUE_EST_1">"IQ_REVENUE_EST_1"</definedName>
    <definedName name="IQ_REVENUE_GROWTH_1">"IQ_REVENUE_GROWTH_1"</definedName>
    <definedName name="IQ_REVENUE_GROWTH_2">"IQ_REVENUE_GROWTH_2"</definedName>
    <definedName name="IQ_REVOLVING_SECURED_1_4_NON_ACCRUAL_FFIEC">"c13314"</definedName>
    <definedName name="IQ_RISK_WEIGHTED_ASSETS_FDIC">"c6370"</definedName>
    <definedName name="IQ_SALARY_FDIC">"c6576"</definedName>
    <definedName name="IQ_SALE_CONVERSION_ACQUISITION_NET_COMMON_FFIEC">"c15351"</definedName>
    <definedName name="IQ_SALE_CONVERSION_RETIREMENT_STOCK_FDIC">"c6661"</definedName>
    <definedName name="IQ_SALE_INTAN_CF_BR">"c1133"</definedName>
    <definedName name="IQ_SALE_PPE_CF_BR">"c1139"</definedName>
    <definedName name="IQ_SALE_REAL_ESTATE_CF_BR">"c1145"</definedName>
    <definedName name="IQ_SAVINGS_DEPOSITS_NON_TRANS_ACCTS_FFIEC">"c15329"</definedName>
    <definedName name="IQ_SAVINGS_DEPOSITS_QUARTERLY_AVG_FFIEC">"c15485"</definedName>
    <definedName name="IQ_SEC_OTHER_NONFARM_NONRES_NON_ACCRUAL_FFIEC">"c15462"</definedName>
    <definedName name="IQ_SEC_OWNER_NONFARM_NONRES_NON_ACCRUAL_FFIEC">"c15461"</definedName>
    <definedName name="IQ_SECURED_1_4_FAMILY_RESIDENTIAL_CHARGE_OFFS_FDIC">"c6590"</definedName>
    <definedName name="IQ_SECURED_1_4_FAMILY_RESIDENTIAL_NET_CHARGE_OFFS_FDIC">"c6628"</definedName>
    <definedName name="IQ_SECURED_1_4_FAMILY_RESIDENTIAL_RECOVERIES_FDIC">"c6609"</definedName>
    <definedName name="IQ_SECURED_FARMLAND_CHARGE_OFFS_FDIC">"c6593"</definedName>
    <definedName name="IQ_SECURED_FARMLAND_NET_CHARGE_OFFS_FDIC">"c6631"</definedName>
    <definedName name="IQ_SECURED_FARMLAND_RECOVERIES_FDIC">"c6612"</definedName>
    <definedName name="IQ_SECURED_MULTIFAMILY_RESIDENTIAL_CHARGE_OFFS_FDIC">"c6591"</definedName>
    <definedName name="IQ_SECURED_MULTIFAMILY_RESIDENTIAL_NET_CHARGE_OFFS_FDIC">"c6629"</definedName>
    <definedName name="IQ_SECURED_MULTIFAMILY_RESIDENTIAL_RECOVERIES_FDIC">"c6610"</definedName>
    <definedName name="IQ_SECURED_NONFARM_NONRESIDENTIAL_CHARGE_OFFS_FDIC">"c6592"</definedName>
    <definedName name="IQ_SECURED_NONFARM_NONRESIDENTIAL_NET_CHARGE_OFFS_FDIC">"c6630"</definedName>
    <definedName name="IQ_SECURED_NONFARM_NONRESIDENTIAL_RECOVERIES_FDIC">"c6611"</definedName>
    <definedName name="IQ_SECURITIES_GAINS_FDIC">"c6584"</definedName>
    <definedName name="IQ_SECURITIES_ISSUED_STATES_FDIC">"c6300"</definedName>
    <definedName name="IQ_SECURITIES_LENT_FDIC">"c6532"</definedName>
    <definedName name="IQ_SECURITIES_STATE_POLI_SUBD_QUARTERLY_AVG_FFIEC">"c15470"</definedName>
    <definedName name="IQ_SECURITIES_UNDERWRITING_FDIC">"c6529"</definedName>
    <definedName name="IQ_SECURITY_ACTIVE_STATUS">"c15160"</definedName>
    <definedName name="IQ_SECURITY_NAME">"c15159"</definedName>
    <definedName name="IQ_SERVICE_CHARGES_FDIC">"c6572"</definedName>
    <definedName name="IQ_SHAREOUTSTANDING">"c1347"</definedName>
    <definedName name="IQ_SHORT_INTEREST_VOLUME">"c228"</definedName>
    <definedName name="IQ_SPECIAL_DIV_CF_BR">"c1171"</definedName>
    <definedName name="IQ_SPECIFIC_ALLOWANCE">"c15247"</definedName>
    <definedName name="IQ_ST_DEBT_BR">"c1178"</definedName>
    <definedName name="IQ_ST_DEBT_ISSUED_BR">"c1183"</definedName>
    <definedName name="IQ_ST_DEBT_REPAID_BR">"c1191"</definedName>
    <definedName name="IQ_STANDBY_LOC_FHLB_BANK_BEHALF_OFF_BS_FFIEC">"c15412"</definedName>
    <definedName name="IQ_STATES_NONTRANSACTION_ACCOUNTS_FDIC">"c6547"</definedName>
    <definedName name="IQ_STATES_POLI_SUBD_US_NON_TRANS_ACCTS_FFIEC">"c15324"</definedName>
    <definedName name="IQ_STATES_POLI_SUBD_US_TRANS_ACCTS_FFIEC">"c15316"</definedName>
    <definedName name="IQ_STATES_TOTAL_DEPOSITS_FDIC">"c6473"</definedName>
    <definedName name="IQ_STATES_TRANSACTION_ACCOUNTS_FDIC">"c6539"</definedName>
    <definedName name="IQ_SUB_DEBT_FDIC">"c6346"</definedName>
    <definedName name="IQ_SUB_NOTES_DEBENTURES_FAIR_VALUE_TOT_FFIEC">"c15410"</definedName>
    <definedName name="IQ_SUB_NOTES_DEBENTURES_LEVEL_1_FFIEC">"c15432"</definedName>
    <definedName name="IQ_SUB_NOTES_DEBENTURES_LEVEL_2_FFIEC">"c15445"</definedName>
    <definedName name="IQ_SUB_NOTES_DEBENTURES_LEVEL_3_FFIEC">"c15458"</definedName>
    <definedName name="IQ_SURPLUS_FDIC">"c6351"</definedName>
    <definedName name="IQ_SYNTHETIC_STRUCTURED_PRODUCTS_AVAIL_SALE_FFIEC">"c15264"</definedName>
    <definedName name="IQ_SYNTHETIC_STRUCTURED_PRODUCTS_FFIEC">"c15261"</definedName>
    <definedName name="IQ_TEMPLATE_BS">"c1211"</definedName>
    <definedName name="IQ_TEMPLATE_CF">"c1212"</definedName>
    <definedName name="IQ_TEMPLATE_IS">"c1213"</definedName>
    <definedName name="IQ_THREE_MONTHS_FIXED_AND_FLOATING_FDIC">"c6419"</definedName>
    <definedName name="IQ_THREE_MONTHS_MORTGAGE_PASS_THROUGHS_FDIC">"c6411"</definedName>
    <definedName name="IQ_THREE_YEAR_FIXED_AND_FLOATING_RATE_FDIC">"c6421"</definedName>
    <definedName name="IQ_THREE_YEAR_MORTGAGE_PASS_THROUGHS_FDIC">"c6413"</definedName>
    <definedName name="IQ_THREE_YEARS_LESS_FDIC">"c6417"</definedName>
    <definedName name="IQ_TIER_1_RISK_BASED_CAPITAL_RATIO_FDIC">"c6746"</definedName>
    <definedName name="IQ_TIER_ONE_FDIC">"c6369"</definedName>
    <definedName name="IQ_TIER_TWO_CAPITAL_RATIO">"c15241"</definedName>
    <definedName name="IQ_TIME_DEPOSIT_LESS_100000_QUARTERLY_AVG_FFIEC">"c15487"</definedName>
    <definedName name="IQ_TIME_DEPOSIT_MORE_100000_QUARTERLY_AVG_FFIEC">"c15486"</definedName>
    <definedName name="IQ_TIME_DEPOSITS_LESS_THAN_100K_FDIC">"c6465"</definedName>
    <definedName name="IQ_TIME_DEPOSITS_MORE_THAN_100K_FDIC">"c6470"</definedName>
    <definedName name="IQ_TODAY">0</definedName>
    <definedName name="IQ_TOTAL_AR_BR">"c1231"</definedName>
    <definedName name="IQ_TOTAL_ASSETS_FAIR_VALUE_TOT_FFIEC">"c15405"</definedName>
    <definedName name="IQ_TOTAL_ASSETS_FDIC">"c6339"</definedName>
    <definedName name="IQ_TOTAL_ASSETS_LEVEL_1_FFIEC">"c15427"</definedName>
    <definedName name="IQ_TOTAL_ASSETS_LEVEL_2_FFIEC">"c15440"</definedName>
    <definedName name="IQ_TOTAL_ASSETS_LEVEL_3_FFIEC">"c15453"</definedName>
    <definedName name="IQ_TOTAL_BROKERED_DEPOSIT_FFIEC">"c15304"</definedName>
    <definedName name="IQ_TOTAL_CASH_DUE_DEPOSITORY_INSTIT_DOM_FFIEC">"c15291"</definedName>
    <definedName name="IQ_TOTAL_CASH_DUE_DEPOSITORY_INSTIT_FFIEC">"c15285"</definedName>
    <definedName name="IQ_TOTAL_CHARGE_OFFS_FDIC">"c6603"</definedName>
    <definedName name="IQ_TOTAL_DEBT_ISSUED_BR">"c1253"</definedName>
    <definedName name="IQ_TOTAL_DEBT_REPAID_BR">"c1260"</definedName>
    <definedName name="IQ_TOTAL_DEBT_SECURITIES_FDIC">"c6410"</definedName>
    <definedName name="IQ_TOTAL_DEPOSITS_DOM_FFIEC">"c15313"</definedName>
    <definedName name="IQ_TOTAL_DEPOSITS_FDIC">"c6342"</definedName>
    <definedName name="IQ_TOTAL_DEPOSITS_SUPPLE">"c15253"</definedName>
    <definedName name="IQ_TOTAL_EMPLOYEES_FDIC">"c6355"</definedName>
    <definedName name="IQ_TOTAL_EQUITY_INCL_MINORITY_INTEREST_FFIEC">"c15278"</definedName>
    <definedName name="IQ_TOTAL_FOREIGN_DEPOSITS_FFIEC">"c15348"</definedName>
    <definedName name="IQ_TOTAL_FOREIGN_LOANS_QUARTERLY_AVG_FFIEC">"c15482"</definedName>
    <definedName name="IQ_TOTAL_IBF_ASSETS_CONSOL_BANK_FFIEC">"c15299"</definedName>
    <definedName name="IQ_TOTAL_IBF_LIABILITIES_FFIEC">"c15302"</definedName>
    <definedName name="IQ_TOTAL_IBF_LL_REC_FFIEC">"c15297"</definedName>
    <definedName name="IQ_TOTAL_INTEREST_EXP_FOREIGN_FFIEC">"c15374"</definedName>
    <definedName name="IQ_TOTAL_INTEREST_INC_FOREIGN_FFIEC">"c15373"</definedName>
    <definedName name="IQ_TOTAL_IRA_KEOGH_PLAN_ACCOUNTS_FFIEC">"c15303"</definedName>
    <definedName name="IQ_TOTAL_LIAB_BR">"c1278"</definedName>
    <definedName name="IQ_TOTAL_LIAB_EQUITY_FDIC">"c6354"</definedName>
    <definedName name="IQ_TOTAL_LIABILITIES_FAIR_VALUE_TOT_FFIEC">"c15411"</definedName>
    <definedName name="IQ_TOTAL_LIABILITIES_FDIC">"c6348"</definedName>
    <definedName name="IQ_TOTAL_LIABILITIES_LEVEL_1_FFIEC">"c15433"</definedName>
    <definedName name="IQ_TOTAL_LIABILITIES_LEVEL_2_FFIEC">"c15446"</definedName>
    <definedName name="IQ_TOTAL_LIABILITIES_LEVEL_3_FFIEC">"c15459"</definedName>
    <definedName name="IQ_TOTAL_LOANS_DOM_QUARTERLY_AVG_FFIEC">"c15475"</definedName>
    <definedName name="IQ_TOTAL_LOANS_LEASES_AND_OTHER_DUE_30_89_FFIEC">"c15416"</definedName>
    <definedName name="IQ_TOTAL_LOANS_LEASES_AND_OTHER_DUE_90_FFIEC">"c15420"</definedName>
    <definedName name="IQ_TOTAL_LOANS_LEASES_AND_OTHER_NON_ACCRUAL_FFIEC">"c15466"</definedName>
    <definedName name="IQ_TOTAL_NON_TRANS_ACCTS_FFIEC">"c15328"</definedName>
    <definedName name="IQ_TOTAL_NONINTEREST_EXPENSE_FOREIGN_FFIEC">"c15386"</definedName>
    <definedName name="IQ_TOTAL_OPER_EXP_BR">"c1284"</definedName>
    <definedName name="IQ_TOTAL_PENSION_OBLIGATION">"c1292"</definedName>
    <definedName name="IQ_TOTAL_RECOVERIES_FDIC">"c6622"</definedName>
    <definedName name="IQ_TOTAL_REV_BNK_FDIC">"c6786"</definedName>
    <definedName name="IQ_TOTAL_REV_BR">"c1303"</definedName>
    <definedName name="IQ_TOTAL_REVENUE_FOREIGN_FFIEC">"c15383"</definedName>
    <definedName name="IQ_TOTAL_RISK_BASED_CAPITAL_RATIO_FDIC">"c6747"</definedName>
    <definedName name="IQ_TOTAL_SECURITIES_FDIC">"c6306"</definedName>
    <definedName name="IQ_TOTAL_TIME_DEPOSITS_FDIC">"c6497"</definedName>
    <definedName name="IQ_TOTAL_TIME_LESS_100000_1_TO_3_YEARS_FFIEC">"c15335"</definedName>
    <definedName name="IQ_TOTAL_TIME_LESS_100000_3_MONTHS_LESS_FFIEC">"c15333"</definedName>
    <definedName name="IQ_TOTAL_TIME_LESS_100000_3_TO_12_MONTHS_FFIEC">"c15334"</definedName>
    <definedName name="IQ_TOTAL_TIME_LESS_100000_FFIEC">"c15332"</definedName>
    <definedName name="IQ_TOTAL_TIME_LESS_100000_OVER_3_YEARS_FFIEC">"c15336"</definedName>
    <definedName name="IQ_TOTAL_TIME_MORE_100000_1_TO_3_YEARS_FFIEC">"c15340"</definedName>
    <definedName name="IQ_TOTAL_TIME_MORE_100000_3_MONTHS_LESS_FFIEC">"c15338"</definedName>
    <definedName name="IQ_TOTAL_TIME_MORE_100000_3_TO_12_MONTHS_FFIEC">"c15339"</definedName>
    <definedName name="IQ_TOTAL_TIME_MORE_100000_FFIEC">"c15337"</definedName>
    <definedName name="IQ_TOTAL_TIME_MORE_100000_OVER_3_YEARS_FFIEC">"c15341"</definedName>
    <definedName name="IQ_TOTAL_TIME_SAVINGS_DEPOSITS_FDIC">"c6498"</definedName>
    <definedName name="IQ_TOTAL_TRADING_LIAB_FOREIGN_FFIEC">"c15296"</definedName>
    <definedName name="IQ_TOTAL_TRANS_ACCTS_FFIEC">"c15321"</definedName>
    <definedName name="IQ_TOTAL_UNUSAL">"c1308"</definedName>
    <definedName name="IQ_TOTAL_UNUSED_COMMITMENTS_FDIC">"c6536"</definedName>
    <definedName name="IQ_TOTAL_UNUSUAL_BR">"c5517"</definedName>
    <definedName name="IQ_TRADING_ACCOUNT_GAINS_FEES_FDIC">"c6573"</definedName>
    <definedName name="IQ_TRADING_ASSETS_FDIC">"c6328"</definedName>
    <definedName name="IQ_TRADING_LIABILITIES_FDIC">"c6344"</definedName>
    <definedName name="IQ_TRADING_REV_FOREIGN_FFIEC">"c15377"</definedName>
    <definedName name="IQ_TRANSACTION_ACCOUNTS_FDIC">"c6544"</definedName>
    <definedName name="IQ_TRANSACTION_LIST">"c15126"</definedName>
    <definedName name="IQ_TRANSACTION_LIST_BANKRUPTCY">"c15131"</definedName>
    <definedName name="IQ_TRANSACTION_LIST_BUYBACK">"c15129"</definedName>
    <definedName name="IQ_TRANSACTION_LIST_INCL_SUBS">"c15132"</definedName>
    <definedName name="IQ_TRANSACTION_LIST_INCL_SUBS_BANKRUPTCY">"c15137"</definedName>
    <definedName name="IQ_TRANSACTION_LIST_INCL_SUBS_BUYBACK">"c15135"</definedName>
    <definedName name="IQ_TRANSACTION_LIST_INCL_SUBS_MA">"c15133"</definedName>
    <definedName name="IQ_TRANSACTION_LIST_INCL_SUBS_PO">"c15136"</definedName>
    <definedName name="IQ_TRANSACTION_LIST_INCL_SUBS_PP">"c15134"</definedName>
    <definedName name="IQ_TRANSACTION_LIST_MA">"c15127"</definedName>
    <definedName name="IQ_TRANSACTION_LIST_PO">"c15130"</definedName>
    <definedName name="IQ_TRANSACTION_LIST_PP">"c15128"</definedName>
    <definedName name="IQ_TREASURER_ID">"c15214"</definedName>
    <definedName name="IQ_TREASURER_NAME">"c15213"</definedName>
    <definedName name="IQ_TREASURY_OTHER_EQUITY_BR">"c1314"</definedName>
    <definedName name="IQ_TREASURY_STOCK_TRANSACTIONS_FDIC">"c6501"</definedName>
    <definedName name="IQ_TREASURY_STOCK_TRANSACTIONS_FFIEC">"c15352"</definedName>
    <definedName name="IQ_TWELVE_MONTHS_FIXED_AND_FLOATING_FDIC">"c6420"</definedName>
    <definedName name="IQ_TWELVE_MONTHS_MORTGAGE_PASS_THROUGHS_FDIC">"c6412"</definedName>
    <definedName name="IQ_UNDIVIDED_PROFITS_FDIC">"c6352"</definedName>
    <definedName name="IQ_UNEARN_REV_CURRENT_BR">"c1324"</definedName>
    <definedName name="IQ_UNEARNED_INCOME_FDIC">"c6324"</definedName>
    <definedName name="IQ_UNEARNED_INCOME_FOREIGN_FDIC">"c6385"</definedName>
    <definedName name="IQ_UNPROFITABLE_INSTITUTIONS_FDIC">"c6722"</definedName>
    <definedName name="IQ_UNUSED_LOAN_COMMITMENTS_FDIC">"c6368"</definedName>
    <definedName name="IQ_US_BANKS_OTHER_INST_FOREIGN_DEP_FFIEC">"c15343"</definedName>
    <definedName name="IQ_US_BRANCHES_FOREIGN_BANK_LOANS_FDIC">"c6435"</definedName>
    <definedName name="IQ_US_BRANCHES_FOREIGN_BANKS_FDIC">"c6390"</definedName>
    <definedName name="IQ_US_GOV_AGENCIES_FDIC">"c6395"</definedName>
    <definedName name="IQ_US_GOV_DEPOSITS_FDIC">"c6483"</definedName>
    <definedName name="IQ_US_GOV_ENTERPRISES_FDIC">"c6396"</definedName>
    <definedName name="IQ_US_GOV_NONCURRENT_LOANS_TOTAL_NONCURRENT_FDIC">"c6779"</definedName>
    <definedName name="IQ_US_GOV_NONTRANSACTION_ACCOUNTS_FDIC">"c6546"</definedName>
    <definedName name="IQ_US_GOV_OBLIGATIONS_FDIC">"c6299"</definedName>
    <definedName name="IQ_US_GOV_SECURITIES_FDIC">"c6297"</definedName>
    <definedName name="IQ_US_GOV_TOTAL_DEPOSITS_FDIC">"c6472"</definedName>
    <definedName name="IQ_US_GOV_TRANSACTION_ACCOUNTS_FDIC">"c6538"</definedName>
    <definedName name="IQ_US_GOVT_NON_TRANS_ACCTS_FFIEC">"c15323"</definedName>
    <definedName name="IQ_US_GOVT_STATE_POLI_SUBD_IN_US_FOREIGN_DEP_FFIEC">"c15346"</definedName>
    <definedName name="IQ_US_GOVT_TRANS_ACCTS_FFIEC">"c15315"</definedName>
    <definedName name="IQ_US_TREASURY_SECURITIES_FDIC">"c6298"</definedName>
    <definedName name="IQ_UST_SEC_GOVT_AGENCY_CORP_QUARTERLY_AVG_FFIEC">"c15469"</definedName>
    <definedName name="IQ_UST_SECURITIES_GOVT_AGENCY_QUARTERLY_AVG_FFIEC">"c15468"</definedName>
    <definedName name="IQ_VALUATION_ALLOWANCES_FDIC">"c6400"</definedName>
    <definedName name="IQ_VC_REVENUE_FDIC">"c6667"</definedName>
    <definedName name="IQ_VEHICLE_LOANS">"c15249"</definedName>
    <definedName name="IQ_VOLATILE_LIABILITIES_FDIC">"c6364"</definedName>
    <definedName name="IQ_WEEK">50000</definedName>
    <definedName name="IQ_WRITTEN_OPTION_CONTRACTS_FDIC">"c6509"</definedName>
    <definedName name="IQ_WRITTEN_OPTION_CONTRACTS_FX_RISK_FDIC">"c6514"</definedName>
    <definedName name="IQ_WRITTEN_OPTION_CONTRACTS_NON_FX_IR_FDIC">"c6519"</definedName>
    <definedName name="IQ_YTD">3000</definedName>
    <definedName name="IQ_YTDMONTH">130000</definedName>
    <definedName name="IQB_BOOKMARK_COUNT">2</definedName>
    <definedName name="IQB_CURRENT_BOOKMARK">0</definedName>
    <definedName name="IQRAC36">"$AD$36:$AF$36"</definedName>
    <definedName name="IQRAC37">"$AD$37:$AF$37"</definedName>
    <definedName name="IQRAC38">"$AD$38:$AH$38"</definedName>
    <definedName name="IQRAC39">"$AD$39"</definedName>
    <definedName name="IQRAC43">"$AD$43:$AE$43"</definedName>
    <definedName name="IQRAC44">"$AD$44:$AF$44"</definedName>
    <definedName name="IQRAC45">"$AD$45:$AF$45"</definedName>
    <definedName name="IQRAC46">"$AD$46"</definedName>
    <definedName name="IQRAC47">"$AD$47:$AH$47"</definedName>
    <definedName name="IQRAC48">"$AD$48:$AG$48"</definedName>
    <definedName name="IQRAC49">"$AD$49"</definedName>
    <definedName name="IQRAC50">"$AD$50"</definedName>
    <definedName name="IQRAC51">"$AD$51:$AH$51"</definedName>
    <definedName name="IQRAC52">"$AD$52:$AH$52"</definedName>
    <definedName name="IQRAF17">"$AF$18:$AF$269"</definedName>
    <definedName name="IQRB2">"$B$3:$B$505"</definedName>
    <definedName name="IQRB4">"$B$5:$B$507"</definedName>
    <definedName name="IQRB5">"$B$6"</definedName>
    <definedName name="IQRC5">"$C$6:$C$508"</definedName>
    <definedName name="IQRD5">"$D$6:$D$508"</definedName>
    <definedName name="IQRE5">"$E$6:$E$508"</definedName>
    <definedName name="IQRF5">"$F$6:$F$508"</definedName>
    <definedName name="IQRG21">"$H$21:$J$21"</definedName>
    <definedName name="IQRG22">"$H$22:$L$22"</definedName>
    <definedName name="IQRG36">"$H$36:$L$36"</definedName>
    <definedName name="IQRG5">"$G$6:$G$508"</definedName>
    <definedName name="IQRH5">"$H$6:$H$508"</definedName>
    <definedName name="IQRI5">"$I$6:$I$508"</definedName>
    <definedName name="IQRJ5">"$J$6:$J$508"</definedName>
    <definedName name="IQRK5">"$K$6:$K$508"</definedName>
    <definedName name="IQRL5">"$L$6:$L$508"</definedName>
    <definedName name="IQRM105">"$M$106:$M$108"</definedName>
    <definedName name="IQRM11">"$M$12"</definedName>
    <definedName name="IQRM111">"$M$112"</definedName>
    <definedName name="IQRM117">"$M$118"</definedName>
    <definedName name="IQRM122">"$M$123"</definedName>
    <definedName name="IQRM123">"$M$124"</definedName>
    <definedName name="IQRM129">"$M$130"</definedName>
    <definedName name="IQRM135">"$M$136"</definedName>
    <definedName name="IQRM17">"$M$18"</definedName>
    <definedName name="IQRM23">"$M$24"</definedName>
    <definedName name="IQRM29">"$M$30"</definedName>
    <definedName name="IQRM35">"$M$36"</definedName>
    <definedName name="IQRM41">"$M$42"</definedName>
    <definedName name="IQRM5">"$M$6"</definedName>
    <definedName name="IQRM53">"$M$54"</definedName>
    <definedName name="IQRM59">"$M$60:$M$62"</definedName>
    <definedName name="IQRM65">"$M$66:$M$68"</definedName>
    <definedName name="IQRM71">"$M$72"</definedName>
    <definedName name="IQRM77">"$M$78"</definedName>
    <definedName name="IQRM83">"$M$84"</definedName>
    <definedName name="IQRM89">"$M$90"</definedName>
    <definedName name="IQRM99">"$M$100"</definedName>
    <definedName name="IQRN5">"$N$6:$N$508"</definedName>
    <definedName name="IQRO5">"$O$6:$O$508"</definedName>
    <definedName name="IQRP5">"$P$6:$P$508"</definedName>
    <definedName name="IQRQ5">"$Q$6:$Q$508"</definedName>
    <definedName name="IsColHidden">FALSE</definedName>
    <definedName name="IsLTMColHidden">FALSE</definedName>
    <definedName name="Name">'[7]LBO Summary'!$1:$1048576</definedName>
    <definedName name="sadfaf">"c118"</definedName>
    <definedName name="sdfa">"c275"</definedName>
    <definedName name="sdfdsaf">"c333"</definedName>
    <definedName name="sdff">"c301"</definedName>
    <definedName name="sdfs">"c147"</definedName>
    <definedName name="sdfsdf">"c261"</definedName>
    <definedName name="sdfsf">"c226"</definedName>
    <definedName name="sdksd">"c115"</definedName>
    <definedName name="sencount">1</definedName>
    <definedName name="sfas">"c274"</definedName>
    <definedName name="sfd">{"fdsup://directions/FAT Viewer?action=UPDATE&amp;creator=factset&amp;DYN_ARGS=TRUE&amp;DOC_NAME=FAT:FQL_AUDITING_CLIENT_TEMPLATE.FAT&amp;display_string=Audit&amp;VAR:KEY=ZOVKJMRYDO&amp;VAR:QUERY=SlVMSUFOKElDX0VTVElNQVRFKEVQUygpLE1FQU4sQU5OX1JPTEwsKzEsMCkuZGF0ZXMp&amp;WINDOW=FIRST_POP","UP&amp;HEIGHT=450&amp;WIDTH=450&amp;START_MAXIMIZED=FALSE&amp;VAR:CALENDAR=US&amp;VAR:SYMBOL=MDCO&amp;VAR:INDEX=0"}</definedName>
    <definedName name="solver_cvg">0.001</definedName>
    <definedName name="solver_drv">1</definedName>
    <definedName name="solver_est">1</definedName>
    <definedName name="solver_itr">100</definedName>
    <definedName name="solver_lin">2</definedName>
    <definedName name="solver_neg">2</definedName>
    <definedName name="solver_num">0</definedName>
    <definedName name="solver_nwt">1</definedName>
    <definedName name="solver_pre">0.000001</definedName>
    <definedName name="solver_scl">2</definedName>
    <definedName name="solver_sho">2</definedName>
    <definedName name="solver_tim">100</definedName>
    <definedName name="solver_tol">0.05</definedName>
    <definedName name="solver_typ">1</definedName>
    <definedName name="solver_val">0</definedName>
    <definedName name="xxxx">'[18]UNIVERSE-AF'!$A$4:$P$38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3" l="1"/>
  <c r="Q29" i="3"/>
  <c r="Q33" i="3"/>
  <c r="Q34" i="3"/>
  <c r="Q35" i="3"/>
  <c r="R32" i="3"/>
  <c r="R33" i="3"/>
  <c r="R34" i="3"/>
  <c r="R35" i="3"/>
  <c r="R30" i="3"/>
  <c r="R29" i="3"/>
  <c r="R23" i="3"/>
  <c r="K45" i="26"/>
  <c r="N76" i="21" s="1"/>
  <c r="J45" i="26"/>
  <c r="M76" i="21" s="1"/>
  <c r="I45" i="26"/>
  <c r="L76" i="21" s="1"/>
  <c r="H45" i="26"/>
  <c r="K76" i="21" s="1"/>
  <c r="G45" i="26"/>
  <c r="J76" i="21" s="1"/>
  <c r="F45" i="26"/>
  <c r="I76" i="21" s="1"/>
  <c r="K40" i="26"/>
  <c r="N73" i="21" s="1"/>
  <c r="J40" i="26"/>
  <c r="M73" i="21" s="1"/>
  <c r="I40" i="26"/>
  <c r="L73" i="21" s="1"/>
  <c r="H40" i="26"/>
  <c r="K73" i="21" s="1"/>
  <c r="G40" i="26"/>
  <c r="J73" i="21" s="1"/>
  <c r="F40" i="26"/>
  <c r="I73" i="21" s="1"/>
  <c r="V34" i="26"/>
  <c r="N64" i="21" s="1"/>
  <c r="U34" i="26"/>
  <c r="M64" i="21" s="1"/>
  <c r="T34" i="26"/>
  <c r="L64" i="21" s="1"/>
  <c r="S34" i="26"/>
  <c r="K64" i="21" s="1"/>
  <c r="R34" i="26"/>
  <c r="J64" i="21" s="1"/>
  <c r="Q34" i="26"/>
  <c r="I64" i="21" s="1"/>
  <c r="V29" i="26"/>
  <c r="N62" i="21" s="1"/>
  <c r="U29" i="26"/>
  <c r="M62" i="21" s="1"/>
  <c r="T29" i="26"/>
  <c r="L62" i="21" s="1"/>
  <c r="S29" i="26"/>
  <c r="K62" i="21" s="1"/>
  <c r="R29" i="26"/>
  <c r="J62" i="21" s="1"/>
  <c r="Q29" i="26"/>
  <c r="I62" i="21" s="1"/>
  <c r="V24" i="26"/>
  <c r="N58" i="21" s="1"/>
  <c r="U24" i="26"/>
  <c r="M58" i="21" s="1"/>
  <c r="T24" i="26"/>
  <c r="L58" i="21" s="1"/>
  <c r="S24" i="26"/>
  <c r="K58" i="21" s="1"/>
  <c r="R24" i="26"/>
  <c r="J58" i="21" s="1"/>
  <c r="Q24" i="26"/>
  <c r="I58" i="21" s="1"/>
  <c r="V19" i="26"/>
  <c r="N56" i="21" s="1"/>
  <c r="U19" i="26"/>
  <c r="M56" i="21" s="1"/>
  <c r="T19" i="26"/>
  <c r="L56" i="21" s="1"/>
  <c r="S19" i="26"/>
  <c r="K56" i="21" s="1"/>
  <c r="R19" i="26"/>
  <c r="J56" i="21" s="1"/>
  <c r="Q19" i="26"/>
  <c r="I56" i="21" s="1"/>
  <c r="V14" i="26"/>
  <c r="N54" i="21" s="1"/>
  <c r="U14" i="26"/>
  <c r="M54" i="21" s="1"/>
  <c r="T14" i="26"/>
  <c r="L54" i="21" s="1"/>
  <c r="S14" i="26"/>
  <c r="K54" i="21" s="1"/>
  <c r="R14" i="26"/>
  <c r="J54" i="21" s="1"/>
  <c r="Q14" i="26"/>
  <c r="I54" i="21" s="1"/>
  <c r="V9" i="26"/>
  <c r="N52" i="21" s="1"/>
  <c r="U9" i="26"/>
  <c r="M52" i="21" s="1"/>
  <c r="T9" i="26"/>
  <c r="L52" i="21" s="1"/>
  <c r="S9" i="26"/>
  <c r="K52" i="21" s="1"/>
  <c r="R9" i="26"/>
  <c r="J52" i="21" s="1"/>
  <c r="Q9" i="26"/>
  <c r="I52" i="21" s="1"/>
  <c r="K17" i="26"/>
  <c r="J17" i="26"/>
  <c r="I17" i="26"/>
  <c r="H17" i="26"/>
  <c r="G17" i="26"/>
  <c r="F17" i="26"/>
  <c r="K15" i="26"/>
  <c r="J15" i="26"/>
  <c r="I15" i="26"/>
  <c r="H15" i="26"/>
  <c r="G15" i="26"/>
  <c r="F15" i="26"/>
  <c r="K24" i="26"/>
  <c r="N26" i="21" s="1"/>
  <c r="J24" i="26"/>
  <c r="M26" i="21" s="1"/>
  <c r="I24" i="26"/>
  <c r="L26" i="21" s="1"/>
  <c r="H24" i="26"/>
  <c r="K26" i="21" s="1"/>
  <c r="G24" i="26"/>
  <c r="J26" i="21" s="1"/>
  <c r="F24" i="26"/>
  <c r="I26" i="21" s="1"/>
  <c r="K19" i="26"/>
  <c r="N24" i="21" s="1"/>
  <c r="J19" i="26"/>
  <c r="M24" i="21" s="1"/>
  <c r="I19" i="26"/>
  <c r="L24" i="21" s="1"/>
  <c r="H19" i="26"/>
  <c r="K24" i="21" s="1"/>
  <c r="G19" i="26"/>
  <c r="J24" i="21" s="1"/>
  <c r="F19" i="26"/>
  <c r="I24" i="21" s="1"/>
  <c r="K14" i="26"/>
  <c r="N22" i="21" s="1"/>
  <c r="J14" i="26"/>
  <c r="M22" i="21" s="1"/>
  <c r="I14" i="26"/>
  <c r="L22" i="21" s="1"/>
  <c r="H14" i="26"/>
  <c r="K22" i="21" s="1"/>
  <c r="G14" i="26"/>
  <c r="J22" i="21" s="1"/>
  <c r="F14" i="26"/>
  <c r="I22" i="21" s="1"/>
  <c r="K9" i="26"/>
  <c r="N16" i="21" s="1"/>
  <c r="J9" i="26"/>
  <c r="M16" i="21" s="1"/>
  <c r="I9" i="26"/>
  <c r="L16" i="21" s="1"/>
  <c r="H9" i="26"/>
  <c r="K16" i="21" s="1"/>
  <c r="G9" i="26"/>
  <c r="J16" i="21" s="1"/>
  <c r="F9" i="26"/>
  <c r="I16" i="21" s="1"/>
  <c r="K24" i="25"/>
  <c r="N28" i="19" s="1"/>
  <c r="J24" i="25"/>
  <c r="M28" i="19" s="1"/>
  <c r="I24" i="25"/>
  <c r="L28" i="19" s="1"/>
  <c r="H24" i="25"/>
  <c r="K28" i="19" s="1"/>
  <c r="G24" i="25"/>
  <c r="J28" i="19" s="1"/>
  <c r="F24" i="25"/>
  <c r="I28" i="19" s="1"/>
  <c r="I27" i="19" s="1"/>
  <c r="K19" i="25"/>
  <c r="J19" i="25"/>
  <c r="I19" i="25"/>
  <c r="H19" i="25"/>
  <c r="G19" i="25"/>
  <c r="F19" i="25"/>
  <c r="K14" i="25"/>
  <c r="J14" i="25"/>
  <c r="I14" i="25"/>
  <c r="H14" i="25"/>
  <c r="K20" i="19" s="1"/>
  <c r="G14" i="25"/>
  <c r="F14" i="25"/>
  <c r="K9" i="25"/>
  <c r="N16" i="19" s="1"/>
  <c r="J9" i="25"/>
  <c r="M16" i="19" s="1"/>
  <c r="I9" i="25"/>
  <c r="L16" i="19" s="1"/>
  <c r="H9" i="25"/>
  <c r="K16" i="19" s="1"/>
  <c r="G9" i="25"/>
  <c r="J16" i="19" s="1"/>
  <c r="F9" i="25"/>
  <c r="I16" i="19" s="1"/>
  <c r="N24" i="19"/>
  <c r="M24" i="19"/>
  <c r="L24" i="19"/>
  <c r="K24" i="19"/>
  <c r="J24" i="19"/>
  <c r="I24" i="19"/>
  <c r="I23" i="19" s="1"/>
  <c r="N20" i="19"/>
  <c r="M20" i="19"/>
  <c r="L20" i="19"/>
  <c r="J20" i="19"/>
  <c r="I20" i="19"/>
  <c r="I19" i="19" s="1"/>
  <c r="P68" i="20"/>
  <c r="O68" i="20" s="1"/>
  <c r="N68" i="20" s="1"/>
  <c r="R68" i="20"/>
  <c r="S68" i="20" s="1"/>
  <c r="T68" i="20" s="1"/>
  <c r="M75" i="20"/>
  <c r="M76" i="20" s="1"/>
  <c r="M77" i="20" s="1"/>
  <c r="M78" i="20" s="1"/>
  <c r="M79" i="20" s="1"/>
  <c r="M73" i="20"/>
  <c r="M72" i="20" s="1"/>
  <c r="M71" i="20" s="1"/>
  <c r="M70" i="20" s="1"/>
  <c r="M69" i="20" s="1"/>
  <c r="T50" i="20"/>
  <c r="T46" i="20"/>
  <c r="D13" i="20"/>
  <c r="G14" i="4"/>
  <c r="G13" i="4"/>
  <c r="F14" i="4"/>
  <c r="F13" i="4"/>
  <c r="E63" i="20"/>
  <c r="H34" i="21"/>
  <c r="G34" i="21"/>
  <c r="F34" i="21"/>
  <c r="E34" i="21"/>
  <c r="D34" i="21"/>
  <c r="C34" i="21"/>
  <c r="D56" i="20"/>
  <c r="D50" i="20"/>
  <c r="D44" i="20"/>
  <c r="D37" i="20"/>
  <c r="E31" i="20"/>
  <c r="E30" i="20"/>
  <c r="E29" i="20"/>
  <c r="E28" i="20"/>
  <c r="O21" i="20"/>
  <c r="O20" i="20"/>
  <c r="O22" i="20" s="1"/>
  <c r="J29" i="20" s="1"/>
  <c r="O13" i="20"/>
  <c r="O15" i="20" s="1"/>
  <c r="O12" i="20"/>
  <c r="D23" i="20"/>
  <c r="K67" i="8"/>
  <c r="K68" i="8" s="1"/>
  <c r="K65" i="8"/>
  <c r="K64" i="8"/>
  <c r="O63" i="8"/>
  <c r="P63" i="8" s="1"/>
  <c r="M63" i="8"/>
  <c r="L63" i="8"/>
  <c r="D14" i="8"/>
  <c r="E40" i="8" s="1"/>
  <c r="E63" i="8"/>
  <c r="D63" i="8" s="1"/>
  <c r="G63" i="8"/>
  <c r="H63" i="8" s="1"/>
  <c r="C67" i="8"/>
  <c r="C68" i="8" s="1"/>
  <c r="C65" i="8"/>
  <c r="C64" i="8"/>
  <c r="J46" i="8"/>
  <c r="E48" i="8"/>
  <c r="J44" i="8"/>
  <c r="D13" i="8"/>
  <c r="K59" i="8"/>
  <c r="K60" i="8" s="1"/>
  <c r="K57" i="8"/>
  <c r="K56" i="8"/>
  <c r="O55" i="8"/>
  <c r="P55" i="8" s="1"/>
  <c r="M55" i="8"/>
  <c r="L55" i="8"/>
  <c r="C59" i="8"/>
  <c r="C60" i="8" s="1"/>
  <c r="C57" i="8"/>
  <c r="C56" i="8"/>
  <c r="G55" i="8"/>
  <c r="H55" i="8" s="1"/>
  <c r="E55" i="8"/>
  <c r="D55" i="8"/>
  <c r="E46" i="8"/>
  <c r="G31" i="8"/>
  <c r="H31" i="8" s="1"/>
  <c r="I31" i="8" s="1"/>
  <c r="J31" i="8" s="1"/>
  <c r="K31" i="8" s="1"/>
  <c r="O12" i="7"/>
  <c r="N12" i="7"/>
  <c r="R24" i="3"/>
  <c r="R19" i="3"/>
  <c r="R11" i="3"/>
  <c r="Q19" i="3"/>
  <c r="Q24" i="3"/>
  <c r="Q23" i="3"/>
  <c r="Q11" i="3"/>
  <c r="Q32" i="3"/>
  <c r="P24" i="3"/>
  <c r="P23" i="3"/>
  <c r="P19" i="3"/>
  <c r="P15" i="3"/>
  <c r="P14" i="3"/>
  <c r="P11" i="3"/>
  <c r="P35" i="3"/>
  <c r="P34" i="3"/>
  <c r="P33" i="3"/>
  <c r="P32" i="3"/>
  <c r="P30" i="3"/>
  <c r="P29" i="3"/>
  <c r="O35" i="3"/>
  <c r="O34" i="3"/>
  <c r="O33" i="3"/>
  <c r="O32" i="3"/>
  <c r="N35" i="3"/>
  <c r="N34" i="3"/>
  <c r="N33" i="3"/>
  <c r="N32" i="3"/>
  <c r="K35" i="3"/>
  <c r="K34" i="3"/>
  <c r="K33" i="3"/>
  <c r="K32" i="3"/>
  <c r="I35" i="3"/>
  <c r="I34" i="3"/>
  <c r="I33" i="3"/>
  <c r="I32" i="3"/>
  <c r="G35" i="3"/>
  <c r="F35" i="3"/>
  <c r="G34" i="3"/>
  <c r="F34" i="3"/>
  <c r="G33" i="3"/>
  <c r="F33" i="3"/>
  <c r="G32" i="3"/>
  <c r="F32" i="3"/>
  <c r="D34" i="3"/>
  <c r="D35" i="3"/>
  <c r="D33" i="3"/>
  <c r="D32" i="3"/>
  <c r="D10" i="7"/>
  <c r="D11" i="7" s="1"/>
  <c r="L24" i="7"/>
  <c r="L27" i="7"/>
  <c r="P12" i="7"/>
  <c r="C75" i="21"/>
  <c r="G75" i="21"/>
  <c r="F75" i="21"/>
  <c r="E75" i="21"/>
  <c r="D75" i="21"/>
  <c r="G72" i="21"/>
  <c r="G78" i="21" s="1"/>
  <c r="F72" i="21"/>
  <c r="F78" i="21" s="1"/>
  <c r="E72" i="21"/>
  <c r="E78" i="21" s="1"/>
  <c r="D72" i="21"/>
  <c r="D78" i="21" s="1"/>
  <c r="C72" i="21"/>
  <c r="C78" i="21" s="1"/>
  <c r="H63" i="21"/>
  <c r="G63" i="21"/>
  <c r="F63" i="21"/>
  <c r="E63" i="21"/>
  <c r="D63" i="21"/>
  <c r="C63" i="21"/>
  <c r="H61" i="21"/>
  <c r="G61" i="21"/>
  <c r="F61" i="21"/>
  <c r="E61" i="21"/>
  <c r="D61" i="21"/>
  <c r="C61" i="21"/>
  <c r="H57" i="21"/>
  <c r="G57" i="21"/>
  <c r="F57" i="21"/>
  <c r="E57" i="21"/>
  <c r="D57" i="21"/>
  <c r="G55" i="21"/>
  <c r="F55" i="21"/>
  <c r="E55" i="21"/>
  <c r="D55" i="21"/>
  <c r="G53" i="21"/>
  <c r="F53" i="21"/>
  <c r="E53" i="21"/>
  <c r="D53" i="21"/>
  <c r="C57" i="21"/>
  <c r="C55" i="21"/>
  <c r="C53" i="21"/>
  <c r="G51" i="21"/>
  <c r="F51" i="21"/>
  <c r="F66" i="21" s="1"/>
  <c r="E51" i="21"/>
  <c r="E66" i="21" s="1"/>
  <c r="D51" i="21"/>
  <c r="D66" i="21" s="1"/>
  <c r="C51" i="21"/>
  <c r="C66" i="21" s="1"/>
  <c r="K30" i="3"/>
  <c r="K29" i="3"/>
  <c r="F29" i="3"/>
  <c r="G29" i="3"/>
  <c r="I29" i="3"/>
  <c r="N29" i="3"/>
  <c r="O29" i="3"/>
  <c r="F30" i="3"/>
  <c r="G30" i="3"/>
  <c r="I30" i="3"/>
  <c r="N30" i="3"/>
  <c r="O30" i="3"/>
  <c r="D30" i="3"/>
  <c r="D29" i="3"/>
  <c r="H39" i="21"/>
  <c r="G39" i="21"/>
  <c r="F39" i="21"/>
  <c r="E39" i="21"/>
  <c r="I39" i="21" s="1"/>
  <c r="D39" i="21"/>
  <c r="C39" i="21"/>
  <c r="H40" i="21"/>
  <c r="G40" i="21"/>
  <c r="F40" i="21"/>
  <c r="E40" i="21"/>
  <c r="I40" i="21" s="1"/>
  <c r="J40" i="21" s="1"/>
  <c r="K40" i="21" s="1"/>
  <c r="L40" i="21" s="1"/>
  <c r="M40" i="21" s="1"/>
  <c r="N40" i="21" s="1"/>
  <c r="D40" i="21"/>
  <c r="C40" i="21"/>
  <c r="H15" i="21"/>
  <c r="H47" i="21" s="1"/>
  <c r="H53" i="21" s="1"/>
  <c r="G15" i="21"/>
  <c r="G47" i="21" s="1"/>
  <c r="F15" i="21"/>
  <c r="F47" i="21" s="1"/>
  <c r="E15" i="21"/>
  <c r="D15" i="21"/>
  <c r="D47" i="21" s="1"/>
  <c r="C15" i="21"/>
  <c r="C47" i="21" s="1"/>
  <c r="H12" i="21"/>
  <c r="H46" i="21" s="1"/>
  <c r="G12" i="21"/>
  <c r="G46" i="21" s="1"/>
  <c r="F12" i="21"/>
  <c r="F46" i="21" s="1"/>
  <c r="E12" i="21"/>
  <c r="E46" i="21" s="1"/>
  <c r="D12" i="21"/>
  <c r="D46" i="21" s="1"/>
  <c r="C12" i="21"/>
  <c r="C46" i="21" s="1"/>
  <c r="H25" i="21"/>
  <c r="H26" i="21" s="1"/>
  <c r="G25" i="21"/>
  <c r="G26" i="21" s="1"/>
  <c r="F25" i="21"/>
  <c r="F26" i="21" s="1"/>
  <c r="E25" i="21"/>
  <c r="E26" i="21" s="1"/>
  <c r="D25" i="21"/>
  <c r="D26" i="21" s="1"/>
  <c r="C25" i="21"/>
  <c r="C26" i="21" s="1"/>
  <c r="H23" i="21"/>
  <c r="H24" i="21" s="1"/>
  <c r="G23" i="21"/>
  <c r="G24" i="21" s="1"/>
  <c r="F23" i="21"/>
  <c r="F24" i="21" s="1"/>
  <c r="E23" i="21"/>
  <c r="E24" i="21" s="1"/>
  <c r="D23" i="21"/>
  <c r="D24" i="21" s="1"/>
  <c r="C23" i="21"/>
  <c r="C24" i="21" s="1"/>
  <c r="H21" i="21"/>
  <c r="G21" i="21"/>
  <c r="F21" i="21"/>
  <c r="E21" i="21"/>
  <c r="D21" i="21"/>
  <c r="C21" i="21"/>
  <c r="C27" i="21" s="1"/>
  <c r="E15" i="3"/>
  <c r="H16" i="21"/>
  <c r="G16" i="21"/>
  <c r="F16" i="21"/>
  <c r="D16" i="21"/>
  <c r="E19" i="3"/>
  <c r="E14" i="3"/>
  <c r="H27" i="19"/>
  <c r="G27" i="19"/>
  <c r="F27" i="19"/>
  <c r="E27" i="19"/>
  <c r="D27" i="19"/>
  <c r="C27" i="19"/>
  <c r="H23" i="19"/>
  <c r="G23" i="19"/>
  <c r="F23" i="19"/>
  <c r="E23" i="19"/>
  <c r="D23" i="19"/>
  <c r="C23" i="19"/>
  <c r="H19" i="19"/>
  <c r="G19" i="19"/>
  <c r="F19" i="19"/>
  <c r="E19" i="19"/>
  <c r="D19" i="19"/>
  <c r="C19" i="19"/>
  <c r="H15" i="19"/>
  <c r="G15" i="19"/>
  <c r="F15" i="19"/>
  <c r="E15" i="19"/>
  <c r="D15" i="19"/>
  <c r="C15" i="19"/>
  <c r="H28" i="19"/>
  <c r="G28" i="19"/>
  <c r="F28" i="19"/>
  <c r="E28" i="19"/>
  <c r="D28" i="19"/>
  <c r="H24" i="19"/>
  <c r="G24" i="19"/>
  <c r="F24" i="19"/>
  <c r="E24" i="19"/>
  <c r="D24" i="19"/>
  <c r="H20" i="19"/>
  <c r="G20" i="19"/>
  <c r="F20" i="19"/>
  <c r="E20" i="19"/>
  <c r="D20" i="19"/>
  <c r="H16" i="19"/>
  <c r="G16" i="19"/>
  <c r="F16" i="19"/>
  <c r="E16" i="19"/>
  <c r="D16" i="19"/>
  <c r="H12" i="19"/>
  <c r="G12" i="19"/>
  <c r="F12" i="19"/>
  <c r="E12" i="19"/>
  <c r="D12" i="19"/>
  <c r="C12" i="19"/>
  <c r="I15" i="19" l="1"/>
  <c r="J15" i="19" s="1"/>
  <c r="J27" i="19"/>
  <c r="K27" i="19" s="1"/>
  <c r="L27" i="19" s="1"/>
  <c r="M27" i="19" s="1"/>
  <c r="N27" i="19" s="1"/>
  <c r="I12" i="19"/>
  <c r="I29" i="19" s="1"/>
  <c r="J23" i="19"/>
  <c r="K23" i="19" s="1"/>
  <c r="L23" i="19" s="1"/>
  <c r="M23" i="19" s="1"/>
  <c r="N23" i="19" s="1"/>
  <c r="O32" i="20"/>
  <c r="E68" i="20"/>
  <c r="O16" i="20"/>
  <c r="J28" i="20" s="1"/>
  <c r="J30" i="20" s="1"/>
  <c r="O38" i="20"/>
  <c r="T38" i="20"/>
  <c r="C76" i="21"/>
  <c r="G76" i="21"/>
  <c r="F76" i="21"/>
  <c r="E76" i="21"/>
  <c r="D76" i="21"/>
  <c r="H72" i="21"/>
  <c r="H75" i="21"/>
  <c r="E44" i="8"/>
  <c r="J42" i="8"/>
  <c r="E35" i="3"/>
  <c r="E32" i="3"/>
  <c r="E34" i="3"/>
  <c r="E33" i="3"/>
  <c r="E30" i="3"/>
  <c r="E29" i="3"/>
  <c r="L26" i="7"/>
  <c r="L25" i="7" s="1"/>
  <c r="L28" i="7"/>
  <c r="L29" i="7" s="1"/>
  <c r="D16" i="7"/>
  <c r="O16" i="7"/>
  <c r="P16" i="7"/>
  <c r="Q16" i="7"/>
  <c r="M16" i="7"/>
  <c r="N16" i="7"/>
  <c r="L19" i="7"/>
  <c r="Q12" i="7"/>
  <c r="G73" i="21"/>
  <c r="E73" i="21"/>
  <c r="C73" i="21"/>
  <c r="D73" i="21"/>
  <c r="F73" i="21"/>
  <c r="G66" i="21"/>
  <c r="H64" i="21"/>
  <c r="G64" i="21"/>
  <c r="F64" i="21"/>
  <c r="E64" i="21"/>
  <c r="D64" i="21"/>
  <c r="C64" i="21"/>
  <c r="H62" i="21"/>
  <c r="G62" i="21"/>
  <c r="F62" i="21"/>
  <c r="D62" i="21"/>
  <c r="C62" i="21"/>
  <c r="G67" i="21"/>
  <c r="F67" i="21"/>
  <c r="E67" i="21"/>
  <c r="D67" i="21"/>
  <c r="E47" i="21"/>
  <c r="E62" i="21" s="1"/>
  <c r="E16" i="21"/>
  <c r="H55" i="21"/>
  <c r="H51" i="21"/>
  <c r="H66" i="21" s="1"/>
  <c r="H67" i="21" s="1"/>
  <c r="H58" i="21"/>
  <c r="G58" i="21"/>
  <c r="F58" i="21"/>
  <c r="E58" i="21"/>
  <c r="D58" i="21"/>
  <c r="G56" i="21"/>
  <c r="F56" i="21"/>
  <c r="E56" i="21"/>
  <c r="D56" i="21"/>
  <c r="G54" i="21"/>
  <c r="F54" i="21"/>
  <c r="E54" i="21"/>
  <c r="D54" i="21"/>
  <c r="C58" i="21"/>
  <c r="C56" i="21"/>
  <c r="C54" i="21"/>
  <c r="G52" i="21"/>
  <c r="F52" i="21"/>
  <c r="E52" i="21"/>
  <c r="D52" i="21"/>
  <c r="C52" i="21"/>
  <c r="J39" i="21"/>
  <c r="C22" i="21"/>
  <c r="H27" i="21"/>
  <c r="H22" i="21"/>
  <c r="G27" i="21"/>
  <c r="G22" i="21"/>
  <c r="F27" i="21"/>
  <c r="F22" i="21"/>
  <c r="E27" i="21"/>
  <c r="E22" i="21"/>
  <c r="D27" i="21"/>
  <c r="D22" i="21"/>
  <c r="C17" i="21"/>
  <c r="C16" i="21"/>
  <c r="H17" i="21"/>
  <c r="H13" i="21"/>
  <c r="G17" i="21"/>
  <c r="G13" i="21"/>
  <c r="F17" i="21"/>
  <c r="F13" i="21"/>
  <c r="E17" i="21"/>
  <c r="E13" i="21"/>
  <c r="D17" i="21"/>
  <c r="D13" i="21"/>
  <c r="H29" i="19"/>
  <c r="H25" i="19"/>
  <c r="H21" i="19"/>
  <c r="H17" i="19"/>
  <c r="G29" i="19"/>
  <c r="G21" i="19"/>
  <c r="G17" i="19"/>
  <c r="G25" i="19"/>
  <c r="F25" i="19"/>
  <c r="F29" i="19"/>
  <c r="F21" i="19"/>
  <c r="F17" i="19"/>
  <c r="E29" i="19"/>
  <c r="E21" i="19"/>
  <c r="E17" i="19"/>
  <c r="E25" i="19"/>
  <c r="D29" i="19"/>
  <c r="D25" i="19"/>
  <c r="D21" i="19"/>
  <c r="D17" i="19"/>
  <c r="C25" i="19"/>
  <c r="C17" i="19"/>
  <c r="C29" i="19"/>
  <c r="C21" i="19"/>
  <c r="J19" i="19"/>
  <c r="K19" i="19"/>
  <c r="H13" i="19"/>
  <c r="G13" i="19"/>
  <c r="F13" i="19"/>
  <c r="E13" i="19"/>
  <c r="D13" i="19"/>
  <c r="I12" i="21" l="1"/>
  <c r="I21" i="19"/>
  <c r="I13" i="19"/>
  <c r="I25" i="19"/>
  <c r="I17" i="19"/>
  <c r="K15" i="19"/>
  <c r="J12" i="19"/>
  <c r="T47" i="20"/>
  <c r="J33" i="20"/>
  <c r="D33" i="20" s="1"/>
  <c r="H78" i="21"/>
  <c r="L20" i="7"/>
  <c r="L21" i="7" s="1"/>
  <c r="L18" i="7"/>
  <c r="L17" i="7" s="1"/>
  <c r="D22" i="7"/>
  <c r="D24" i="7" s="1"/>
  <c r="O24" i="7"/>
  <c r="K39" i="21"/>
  <c r="C18" i="21"/>
  <c r="C28" i="21"/>
  <c r="H18" i="21"/>
  <c r="H28" i="21"/>
  <c r="G18" i="21"/>
  <c r="G28" i="21"/>
  <c r="F18" i="21"/>
  <c r="F28" i="21"/>
  <c r="E18" i="21"/>
  <c r="E28" i="21"/>
  <c r="D18" i="21"/>
  <c r="D28" i="21"/>
  <c r="L19" i="19"/>
  <c r="I13" i="21" l="1"/>
  <c r="I15" i="21"/>
  <c r="I23" i="21"/>
  <c r="F26" i="8" s="1"/>
  <c r="I21" i="21"/>
  <c r="I46" i="21"/>
  <c r="L15" i="19"/>
  <c r="K12" i="19"/>
  <c r="K13" i="19" s="1"/>
  <c r="J12" i="21"/>
  <c r="J25" i="19"/>
  <c r="J21" i="19"/>
  <c r="J13" i="19"/>
  <c r="J29" i="19"/>
  <c r="J17" i="19"/>
  <c r="D27" i="7"/>
  <c r="D15" i="8" s="1"/>
  <c r="O17" i="7"/>
  <c r="Q20" i="7"/>
  <c r="N20" i="7"/>
  <c r="O21" i="7"/>
  <c r="M17" i="7"/>
  <c r="Q17" i="7"/>
  <c r="O18" i="7"/>
  <c r="O19" i="7"/>
  <c r="O20" i="7"/>
  <c r="M21" i="7"/>
  <c r="Q21" i="7"/>
  <c r="M18" i="7"/>
  <c r="Q18" i="7"/>
  <c r="Q19" i="7"/>
  <c r="M20" i="7"/>
  <c r="P21" i="7"/>
  <c r="N17" i="7"/>
  <c r="P17" i="7"/>
  <c r="N18" i="7"/>
  <c r="P18" i="7"/>
  <c r="M19" i="7"/>
  <c r="N19" i="7"/>
  <c r="P19" i="7"/>
  <c r="P20" i="7"/>
  <c r="N21" i="7"/>
  <c r="O26" i="7"/>
  <c r="O28" i="7"/>
  <c r="O29" i="7"/>
  <c r="O27" i="7"/>
  <c r="O25" i="7"/>
  <c r="N24" i="7"/>
  <c r="P24" i="7"/>
  <c r="L39" i="21"/>
  <c r="H31" i="21"/>
  <c r="H29" i="21"/>
  <c r="G31" i="21"/>
  <c r="G29" i="21"/>
  <c r="F31" i="21"/>
  <c r="F29" i="21"/>
  <c r="E31" i="21"/>
  <c r="E29" i="21"/>
  <c r="D31" i="21"/>
  <c r="D29" i="21"/>
  <c r="C31" i="21"/>
  <c r="C29" i="21"/>
  <c r="M19" i="19"/>
  <c r="I27" i="21" l="1"/>
  <c r="I47" i="21"/>
  <c r="I17" i="21"/>
  <c r="I55" i="21"/>
  <c r="I51" i="21"/>
  <c r="I57" i="21"/>
  <c r="I75" i="21"/>
  <c r="I72" i="21"/>
  <c r="O28" i="20"/>
  <c r="I63" i="21"/>
  <c r="M15" i="19"/>
  <c r="L12" i="19"/>
  <c r="K17" i="19"/>
  <c r="K25" i="19"/>
  <c r="K29" i="19"/>
  <c r="K21" i="19"/>
  <c r="K12" i="21"/>
  <c r="J25" i="21"/>
  <c r="J13" i="21"/>
  <c r="J15" i="21"/>
  <c r="J23" i="21"/>
  <c r="G26" i="8" s="1"/>
  <c r="J21" i="21"/>
  <c r="J46" i="21"/>
  <c r="H32" i="8"/>
  <c r="I32" i="8"/>
  <c r="J32" i="8"/>
  <c r="K32" i="8"/>
  <c r="F32" i="8"/>
  <c r="N28" i="7"/>
  <c r="N25" i="7"/>
  <c r="N26" i="7"/>
  <c r="N29" i="7"/>
  <c r="N27" i="7"/>
  <c r="M24" i="7"/>
  <c r="P29" i="7"/>
  <c r="P27" i="7"/>
  <c r="P28" i="7"/>
  <c r="P25" i="7"/>
  <c r="P26" i="7"/>
  <c r="Q24" i="7"/>
  <c r="M39" i="21"/>
  <c r="H32" i="21"/>
  <c r="H38" i="21"/>
  <c r="H41" i="21" s="1"/>
  <c r="G32" i="21"/>
  <c r="G38" i="21"/>
  <c r="G41" i="21" s="1"/>
  <c r="F32" i="21"/>
  <c r="F38" i="21"/>
  <c r="F41" i="21" s="1"/>
  <c r="E32" i="21"/>
  <c r="E38" i="21"/>
  <c r="E41" i="21" s="1"/>
  <c r="D32" i="21"/>
  <c r="D38" i="21"/>
  <c r="D41" i="21" s="1"/>
  <c r="C32" i="21"/>
  <c r="C38" i="21"/>
  <c r="C41" i="21" s="1"/>
  <c r="N19" i="19"/>
  <c r="J27" i="21" l="1"/>
  <c r="I78" i="21"/>
  <c r="F28" i="8" s="1"/>
  <c r="I53" i="21"/>
  <c r="I61" i="21"/>
  <c r="I18" i="21"/>
  <c r="I28" i="21"/>
  <c r="I29" i="21" s="1"/>
  <c r="M12" i="19"/>
  <c r="N15" i="19"/>
  <c r="N12" i="19" s="1"/>
  <c r="N21" i="19" s="1"/>
  <c r="L25" i="19"/>
  <c r="L29" i="19"/>
  <c r="L13" i="19"/>
  <c r="L21" i="19"/>
  <c r="L17" i="19"/>
  <c r="L12" i="21"/>
  <c r="L13" i="21" s="1"/>
  <c r="K46" i="21"/>
  <c r="K15" i="21"/>
  <c r="K25" i="21"/>
  <c r="K23" i="21"/>
  <c r="H26" i="8" s="1"/>
  <c r="K13" i="21"/>
  <c r="K21" i="21"/>
  <c r="J47" i="21"/>
  <c r="J17" i="21"/>
  <c r="J63" i="21"/>
  <c r="P28" i="20"/>
  <c r="J75" i="21"/>
  <c r="J51" i="21"/>
  <c r="J57" i="21"/>
  <c r="J72" i="21"/>
  <c r="J55" i="21"/>
  <c r="G32" i="8"/>
  <c r="M25" i="7"/>
  <c r="M29" i="7"/>
  <c r="M27" i="7"/>
  <c r="M28" i="7"/>
  <c r="M26" i="7"/>
  <c r="Q27" i="7"/>
  <c r="Q29" i="7"/>
  <c r="Q26" i="7"/>
  <c r="Q28" i="7"/>
  <c r="Q25" i="7"/>
  <c r="N39" i="21"/>
  <c r="J78" i="21" l="1"/>
  <c r="G28" i="8" s="1"/>
  <c r="K27" i="21"/>
  <c r="I31" i="21"/>
  <c r="F23" i="8"/>
  <c r="F24" i="8" s="1"/>
  <c r="F25" i="8" s="1"/>
  <c r="O29" i="20"/>
  <c r="E67" i="20" s="1"/>
  <c r="I34" i="21"/>
  <c r="I66" i="21"/>
  <c r="I67" i="21" s="1"/>
  <c r="F27" i="8" s="1"/>
  <c r="M17" i="19"/>
  <c r="M25" i="19"/>
  <c r="M29" i="19"/>
  <c r="M13" i="19"/>
  <c r="M21" i="19"/>
  <c r="M12" i="21"/>
  <c r="L25" i="21"/>
  <c r="L15" i="21"/>
  <c r="L23" i="21"/>
  <c r="I26" i="8" s="1"/>
  <c r="L46" i="21"/>
  <c r="L21" i="21"/>
  <c r="N12" i="21"/>
  <c r="N17" i="19"/>
  <c r="N25" i="19"/>
  <c r="N29" i="19"/>
  <c r="N13" i="19"/>
  <c r="K63" i="21"/>
  <c r="Q28" i="20"/>
  <c r="K72" i="21"/>
  <c r="K55" i="21"/>
  <c r="K51" i="21"/>
  <c r="K75" i="21"/>
  <c r="K57" i="21"/>
  <c r="J53" i="21"/>
  <c r="J61" i="21"/>
  <c r="J28" i="21"/>
  <c r="J18" i="21"/>
  <c r="K47" i="21"/>
  <c r="K17" i="21"/>
  <c r="I38" i="21" l="1"/>
  <c r="I41" i="21" s="1"/>
  <c r="O30" i="20" s="1"/>
  <c r="I32" i="21"/>
  <c r="F29" i="8"/>
  <c r="L27" i="21"/>
  <c r="M23" i="21"/>
  <c r="J26" i="8" s="1"/>
  <c r="M15" i="21"/>
  <c r="M21" i="21"/>
  <c r="M25" i="21"/>
  <c r="M13" i="21"/>
  <c r="M46" i="21"/>
  <c r="L55" i="21"/>
  <c r="L51" i="21"/>
  <c r="R28" i="20"/>
  <c r="L57" i="21"/>
  <c r="L75" i="21"/>
  <c r="L72" i="21"/>
  <c r="L63" i="21"/>
  <c r="N46" i="21"/>
  <c r="N21" i="21"/>
  <c r="N15" i="21"/>
  <c r="N25" i="21"/>
  <c r="N13" i="21"/>
  <c r="N23" i="21"/>
  <c r="K26" i="8" s="1"/>
  <c r="L47" i="21"/>
  <c r="L17" i="21"/>
  <c r="J29" i="21"/>
  <c r="J31" i="21"/>
  <c r="J34" i="21"/>
  <c r="P29" i="20"/>
  <c r="F67" i="20" s="1"/>
  <c r="G23" i="8"/>
  <c r="G24" i="8" s="1"/>
  <c r="G25" i="8" s="1"/>
  <c r="K61" i="21"/>
  <c r="K53" i="21"/>
  <c r="K18" i="21"/>
  <c r="K28" i="21"/>
  <c r="K78" i="21"/>
  <c r="H28" i="8" s="1"/>
  <c r="J66" i="21"/>
  <c r="J67" i="21" s="1"/>
  <c r="G27" i="8" s="1"/>
  <c r="L78" i="21" l="1"/>
  <c r="I28" i="8" s="1"/>
  <c r="D31" i="20"/>
  <c r="D30" i="20"/>
  <c r="D29" i="20"/>
  <c r="D28" i="20"/>
  <c r="F33" i="8"/>
  <c r="O31" i="20"/>
  <c r="O33" i="20" s="1"/>
  <c r="M55" i="21"/>
  <c r="M51" i="21"/>
  <c r="M63" i="21"/>
  <c r="M75" i="21"/>
  <c r="M57" i="21"/>
  <c r="S28" i="20"/>
  <c r="M72" i="21"/>
  <c r="N63" i="21"/>
  <c r="T28" i="20"/>
  <c r="N75" i="21"/>
  <c r="N57" i="21"/>
  <c r="N72" i="21"/>
  <c r="N55" i="21"/>
  <c r="N51" i="21"/>
  <c r="N17" i="21"/>
  <c r="N47" i="21"/>
  <c r="L53" i="21"/>
  <c r="L61" i="21"/>
  <c r="L18" i="21"/>
  <c r="L28" i="21"/>
  <c r="M27" i="21"/>
  <c r="N27" i="21"/>
  <c r="K66" i="21"/>
  <c r="K67" i="21" s="1"/>
  <c r="H27" i="8" s="1"/>
  <c r="G29" i="8"/>
  <c r="M47" i="21"/>
  <c r="M17" i="21"/>
  <c r="J32" i="21"/>
  <c r="J38" i="21"/>
  <c r="J41" i="21" s="1"/>
  <c r="P30" i="20" s="1"/>
  <c r="K31" i="21"/>
  <c r="K29" i="21"/>
  <c r="H23" i="8"/>
  <c r="H24" i="8" s="1"/>
  <c r="H25" i="8" s="1"/>
  <c r="Q29" i="20"/>
  <c r="G67" i="20" s="1"/>
  <c r="K34" i="21"/>
  <c r="G33" i="8" l="1"/>
  <c r="P31" i="20"/>
  <c r="E57" i="20"/>
  <c r="E59" i="20" s="1"/>
  <c r="F57" i="20" s="1"/>
  <c r="F31" i="20"/>
  <c r="E51" i="20"/>
  <c r="E53" i="20" s="1"/>
  <c r="F51" i="20" s="1"/>
  <c r="F30" i="20"/>
  <c r="E45" i="20"/>
  <c r="E47" i="20" s="1"/>
  <c r="F45" i="20" s="1"/>
  <c r="F29" i="20"/>
  <c r="T44" i="20"/>
  <c r="E38" i="20"/>
  <c r="E40" i="20" s="1"/>
  <c r="D32" i="20"/>
  <c r="F28" i="20"/>
  <c r="M78" i="21"/>
  <c r="J28" i="8" s="1"/>
  <c r="H29" i="8"/>
  <c r="N78" i="21"/>
  <c r="K28" i="8" s="1"/>
  <c r="L66" i="21"/>
  <c r="L67" i="21" s="1"/>
  <c r="I27" i="8" s="1"/>
  <c r="N28" i="21"/>
  <c r="N18" i="21"/>
  <c r="N53" i="21"/>
  <c r="N61" i="21"/>
  <c r="L34" i="21"/>
  <c r="R29" i="20"/>
  <c r="H67" i="20" s="1"/>
  <c r="I23" i="8"/>
  <c r="I24" i="8" s="1"/>
  <c r="I25" i="8" s="1"/>
  <c r="L29" i="21"/>
  <c r="L31" i="21"/>
  <c r="M61" i="21"/>
  <c r="M53" i="21"/>
  <c r="M18" i="21"/>
  <c r="M28" i="21"/>
  <c r="K32" i="21"/>
  <c r="K38" i="21"/>
  <c r="K41" i="21" s="1"/>
  <c r="Q30" i="20" s="1"/>
  <c r="M66" i="21" l="1"/>
  <c r="M67" i="21" s="1"/>
  <c r="J27" i="8" s="1"/>
  <c r="F39" i="20"/>
  <c r="F38" i="20"/>
  <c r="E62" i="20"/>
  <c r="O44" i="20"/>
  <c r="F32" i="20"/>
  <c r="H33" i="8"/>
  <c r="Q31" i="20"/>
  <c r="I29" i="8"/>
  <c r="N34" i="21"/>
  <c r="T29" i="20"/>
  <c r="J67" i="20" s="1"/>
  <c r="K23" i="8"/>
  <c r="K24" i="8" s="1"/>
  <c r="K25" i="8" s="1"/>
  <c r="N31" i="21"/>
  <c r="N29" i="21"/>
  <c r="L32" i="21"/>
  <c r="L38" i="21"/>
  <c r="L41" i="21" s="1"/>
  <c r="R30" i="20" s="1"/>
  <c r="M34" i="21"/>
  <c r="S29" i="20"/>
  <c r="I67" i="20" s="1"/>
  <c r="J23" i="8"/>
  <c r="J24" i="8" s="1"/>
  <c r="J25" i="8" s="1"/>
  <c r="M29" i="21"/>
  <c r="M31" i="21"/>
  <c r="N66" i="21"/>
  <c r="N67" i="21" l="1"/>
  <c r="K27" i="8" s="1"/>
  <c r="K29" i="8" s="1"/>
  <c r="F46" i="20"/>
  <c r="F40" i="20"/>
  <c r="J29" i="8"/>
  <c r="R31" i="20"/>
  <c r="I33" i="8"/>
  <c r="E39" i="8"/>
  <c r="E41" i="8" s="1"/>
  <c r="E42" i="8" s="1"/>
  <c r="N38" i="21"/>
  <c r="N41" i="21" s="1"/>
  <c r="T30" i="20" s="1"/>
  <c r="N32" i="21"/>
  <c r="M38" i="21"/>
  <c r="M41" i="21" s="1"/>
  <c r="S30" i="20" s="1"/>
  <c r="M32" i="21"/>
  <c r="F47" i="20" l="1"/>
  <c r="F52" i="20"/>
  <c r="F41" i="20"/>
  <c r="G38" i="20"/>
  <c r="F42" i="20"/>
  <c r="J39" i="8"/>
  <c r="J40" i="8" s="1"/>
  <c r="K33" i="8"/>
  <c r="T31" i="20"/>
  <c r="S31" i="20"/>
  <c r="J33" i="8"/>
  <c r="T37" i="20"/>
  <c r="T39" i="20" s="1"/>
  <c r="O37" i="20"/>
  <c r="O39" i="20" s="1"/>
  <c r="F48" i="20" l="1"/>
  <c r="F71" i="20" s="1"/>
  <c r="G45" i="20"/>
  <c r="F58" i="20"/>
  <c r="F59" i="20" s="1"/>
  <c r="F53" i="20"/>
  <c r="F69" i="20"/>
  <c r="J38" i="8"/>
  <c r="J41" i="8" s="1"/>
  <c r="J43" i="8" s="1"/>
  <c r="J45" i="8" s="1"/>
  <c r="E38" i="8"/>
  <c r="E43" i="8" s="1"/>
  <c r="E45" i="8" s="1"/>
  <c r="E47" i="8" s="1"/>
  <c r="G51" i="20" l="1"/>
  <c r="F54" i="20"/>
  <c r="F73" i="20" s="1"/>
  <c r="G57" i="20"/>
  <c r="F60" i="20"/>
  <c r="F62" i="20"/>
  <c r="F72" i="20"/>
  <c r="F70" i="20"/>
  <c r="J47" i="8"/>
  <c r="J48" i="8" s="1"/>
  <c r="K63" i="8"/>
  <c r="C63" i="8"/>
  <c r="K55" i="8"/>
  <c r="C55" i="8"/>
  <c r="E49" i="8"/>
  <c r="E50" i="8" s="1"/>
  <c r="F75" i="20" l="1"/>
  <c r="F63" i="20"/>
  <c r="F74" i="20"/>
  <c r="F68" i="20" l="1"/>
  <c r="P32" i="20"/>
  <c r="P33" i="20" s="1"/>
  <c r="G39" i="20" s="1"/>
  <c r="F77" i="20"/>
  <c r="F76" i="20"/>
  <c r="F78" i="20" l="1"/>
  <c r="G40" i="20"/>
  <c r="G46" i="20"/>
  <c r="G52" i="20" s="1"/>
  <c r="G53" i="20" s="1"/>
  <c r="G42" i="20" l="1"/>
  <c r="G41" i="20"/>
  <c r="H38" i="20"/>
  <c r="H51" i="20"/>
  <c r="G54" i="20"/>
  <c r="G73" i="20" s="1"/>
  <c r="G58" i="20"/>
  <c r="G59" i="20" s="1"/>
  <c r="G47" i="20"/>
  <c r="G62" i="20" l="1"/>
  <c r="G69" i="20"/>
  <c r="H57" i="20"/>
  <c r="G60" i="20"/>
  <c r="H45" i="20"/>
  <c r="G48" i="20"/>
  <c r="G71" i="20" s="1"/>
  <c r="G75" i="20" l="1"/>
  <c r="G63" i="20"/>
  <c r="G74" i="20"/>
  <c r="G70" i="20"/>
  <c r="G72" i="20"/>
  <c r="G77" i="20" l="1"/>
  <c r="G76" i="20"/>
  <c r="Q32" i="20"/>
  <c r="Q33" i="20" s="1"/>
  <c r="H39" i="20" s="1"/>
  <c r="G68" i="20"/>
  <c r="G78" i="20" l="1"/>
  <c r="H40" i="20"/>
  <c r="H46" i="20"/>
  <c r="H47" i="20" l="1"/>
  <c r="H52" i="20"/>
  <c r="I38" i="20"/>
  <c r="H41" i="20"/>
  <c r="H48" i="20" l="1"/>
  <c r="H71" i="20" s="1"/>
  <c r="I45" i="20"/>
  <c r="H53" i="20"/>
  <c r="I51" i="20" s="1"/>
  <c r="H58" i="20"/>
  <c r="H59" i="20" s="1"/>
  <c r="H60" i="20" s="1"/>
  <c r="H75" i="20" s="1"/>
  <c r="H69" i="20"/>
  <c r="H54" i="20"/>
  <c r="H62" i="20" l="1"/>
  <c r="I57" i="20"/>
  <c r="H72" i="20"/>
  <c r="H70" i="20"/>
  <c r="H73" i="20"/>
  <c r="H63" i="20"/>
  <c r="H74" i="20" l="1"/>
  <c r="H77" i="20"/>
  <c r="H76" i="20"/>
  <c r="H68" i="20"/>
  <c r="R32" i="20"/>
  <c r="R33" i="20" s="1"/>
  <c r="H78" i="20" l="1"/>
  <c r="I39" i="20"/>
  <c r="I40" i="20" l="1"/>
  <c r="I46" i="20"/>
  <c r="J38" i="20" l="1"/>
  <c r="I41" i="20"/>
  <c r="I47" i="20"/>
  <c r="I52" i="20"/>
  <c r="I69" i="20" l="1"/>
  <c r="J45" i="20"/>
  <c r="I48" i="20"/>
  <c r="I53" i="20"/>
  <c r="I58" i="20"/>
  <c r="I59" i="20" s="1"/>
  <c r="I70" i="20" l="1"/>
  <c r="J51" i="20"/>
  <c r="I54" i="20"/>
  <c r="I73" i="20" s="1"/>
  <c r="I62" i="20"/>
  <c r="I60" i="20"/>
  <c r="J57" i="20"/>
  <c r="I71" i="20"/>
  <c r="I72" i="20" s="1"/>
  <c r="I75" i="20" l="1"/>
  <c r="I63" i="20"/>
  <c r="I76" i="20"/>
  <c r="I74" i="20"/>
  <c r="I77" i="20"/>
  <c r="S32" i="20" l="1"/>
  <c r="S33" i="20" s="1"/>
  <c r="J39" i="20" s="1"/>
  <c r="I68" i="20"/>
  <c r="I78" i="20" s="1"/>
  <c r="J40" i="20" l="1"/>
  <c r="J46" i="20"/>
  <c r="J41" i="20" l="1"/>
  <c r="J47" i="20"/>
  <c r="J48" i="20" s="1"/>
  <c r="J71" i="20" s="1"/>
  <c r="J52" i="20"/>
  <c r="J69" i="20" l="1"/>
  <c r="J53" i="20"/>
  <c r="J58" i="20"/>
  <c r="J59" i="20" s="1"/>
  <c r="J60" i="20" s="1"/>
  <c r="J72" i="20" l="1"/>
  <c r="J70" i="20"/>
  <c r="J62" i="20"/>
  <c r="J54" i="20"/>
  <c r="J75" i="20"/>
  <c r="J73" i="20" l="1"/>
  <c r="J63" i="20"/>
  <c r="T40" i="20"/>
  <c r="T41" i="20" s="1"/>
  <c r="T43" i="20" s="1"/>
  <c r="T45" i="20" s="1"/>
  <c r="T48" i="20" s="1"/>
  <c r="T49" i="20" s="1"/>
  <c r="T51" i="20" s="1"/>
  <c r="T52" i="20" s="1"/>
  <c r="O40" i="20"/>
  <c r="O41" i="20" s="1"/>
  <c r="O43" i="20" s="1"/>
  <c r="O45" i="20" s="1"/>
  <c r="O46" i="20" s="1"/>
  <c r="M68" i="20" s="1"/>
  <c r="J76" i="20" l="1"/>
  <c r="J77" i="20"/>
  <c r="J74" i="20"/>
  <c r="T32" i="20"/>
  <c r="T33" i="20" s="1"/>
  <c r="J68" i="20"/>
  <c r="J78" i="20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20" authorId="0" shapeId="0" xr:uid="{00000000-0006-0000-0700-000004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ID#AAABKUamsds
</t>
        </r>
        <r>
          <rPr>
            <sz val="11"/>
            <color rgb="FF000000"/>
            <rFont val="Calibri"/>
            <family val="2"/>
          </rPr>
          <t xml:space="preserve">jacob    (2024-04-14 22:32:20)
</t>
        </r>
        <r>
          <rPr>
            <sz val="11"/>
            <color rgb="FF000000"/>
            <rFont val="Calibri"/>
            <family val="2"/>
          </rPr>
          <t>Update the formula to reflect the multiple used (if using EV/EBIT, multiply by EBIT in column H)</t>
        </r>
      </text>
    </comment>
    <comment ref="AI20" authorId="0" shapeId="0" xr:uid="{00000000-0006-0000-0700-000003000000}">
      <text>
        <r>
          <rPr>
            <sz val="11"/>
            <color theme="1"/>
            <rFont val="Calibri"/>
            <family val="2"/>
            <scheme val="minor"/>
          </rPr>
          <t>======
ID#AAABKUamsd8
jacob    (2024-04-14 22:32:20)
Update the formula to reflect the multiple used (if using EV/EBIT, multiply by EBIT in column H)</t>
        </r>
      </text>
    </comment>
    <comment ref="AI42" authorId="0" shapeId="0" xr:uid="{00000000-0006-0000-0700-000006000000}">
      <text>
        <r>
          <rPr>
            <sz val="11"/>
            <color theme="1"/>
            <rFont val="Calibri"/>
            <family val="2"/>
            <scheme val="minor"/>
          </rPr>
          <t>======
ID#AAABKUYhCAs
Jeanette Cheung    (2024-04-14 22:32:20)
Enter your final price target here. May be a weighted average of the multipes method and PGR method.</t>
        </r>
      </text>
    </comment>
    <comment ref="AB81" authorId="0" shapeId="0" xr:uid="{00000000-0006-0000-0700-000005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ID#AAABKUYhCA4
</t>
        </r>
        <r>
          <rPr>
            <sz val="11"/>
            <color rgb="FF000000"/>
            <rFont val="Calibri"/>
            <family val="2"/>
          </rPr>
          <t xml:space="preserve">Jeanette Cheung    (2024-04-14 22:32:20)
</t>
        </r>
        <r>
          <rPr>
            <sz val="11"/>
            <color rgb="FF000000"/>
            <rFont val="Calibri"/>
            <family val="2"/>
          </rPr>
          <t>Hardcode the EV/EBITDA multiple (comps) you used in your model here. DO NOT link the input; doing so will cause the sensitivity analysis to not work.</t>
        </r>
      </text>
    </comment>
    <comment ref="AB96" authorId="0" shapeId="0" xr:uid="{00000000-0006-0000-0700-00000A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ID#AAABKUYhCAY
</t>
        </r>
        <r>
          <rPr>
            <sz val="11"/>
            <color rgb="FF000000"/>
            <rFont val="Calibri"/>
            <family val="2"/>
          </rPr>
          <t xml:space="preserve">Jeanette Cheung    (2024-04-14 22:32:20)
</t>
        </r>
        <r>
          <rPr>
            <sz val="11"/>
            <color rgb="FF000000"/>
            <rFont val="Calibri"/>
            <family val="2"/>
          </rPr>
          <t>Hardcode the EV/EBITDA multiple (precedents) you used in your model here. DO NOT link the input; doing so will cause the sensitivity analysis to not work.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cMgccnoh824+X248OpKgTHK3us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Lu</author>
  </authors>
  <commentList>
    <comment ref="H8" authorId="0" shapeId="0" xr:uid="{FBB06AEC-3DF0-46A4-BCDE-541A9AFF6217}">
      <text>
        <r>
          <rPr>
            <b/>
            <sz val="9"/>
            <color indexed="81"/>
            <rFont val="Tahoma"/>
            <family val="2"/>
          </rPr>
          <t>Sean Lu:</t>
        </r>
        <r>
          <rPr>
            <sz val="9"/>
            <color indexed="81"/>
            <rFont val="Tahoma"/>
            <family val="2"/>
          </rPr>
          <t xml:space="preserve">
The company lacks consistent disclosure practices for quarterly and half year files alongside inconsistent unit data which makes it hard to model out cyclicality of business model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Sean Lu</author>
  </authors>
  <commentList>
    <comment ref="H8" authorId="0" shapeId="0" xr:uid="{09B99B0D-2D49-44C1-A9A1-AAA6C9D3B799}">
      <text>
        <r>
          <rPr>
            <b/>
            <sz val="9"/>
            <color indexed="81"/>
            <rFont val="Tahoma"/>
            <family val="2"/>
          </rPr>
          <t>Sean Lu:</t>
        </r>
        <r>
          <rPr>
            <sz val="9"/>
            <color indexed="81"/>
            <rFont val="Tahoma"/>
            <family val="2"/>
          </rPr>
          <t xml:space="preserve">
The company lacks consistent disclosure practices for quarterly and half year files alongside inconsistent unit data which makes it hard to model out cyclicality of business model</t>
        </r>
      </text>
    </comment>
  </commentList>
</comments>
</file>

<file path=xl/sharedStrings.xml><?xml version="1.0" encoding="utf-8"?>
<sst xmlns="http://schemas.openxmlformats.org/spreadsheetml/2006/main" count="835" uniqueCount="527">
  <si>
    <t>Buy:</t>
  </si>
  <si>
    <t>OTCMKTS: LKNCY</t>
  </si>
  <si>
    <t>By:</t>
  </si>
  <si>
    <t>Tej Prattipati, Ranai Shah, Nirav Singhal, Sean Lu</t>
  </si>
  <si>
    <t>Operating Scenario:</t>
  </si>
  <si>
    <t>1 = Bull</t>
  </si>
  <si>
    <t>2 = Base</t>
  </si>
  <si>
    <t>3 = Bear</t>
  </si>
  <si>
    <t>Luckin Coffee Inc (OTCMKTS: LKNCY)</t>
  </si>
  <si>
    <t>Revenue Build</t>
  </si>
  <si>
    <t>In Millions of $USD (except share price)</t>
  </si>
  <si>
    <t>Sources: Factset Fundamentals, Luckin 20-F Filings, NYU Stern Country Default Spreads and Risk Premiums</t>
  </si>
  <si>
    <t>Control</t>
  </si>
  <si>
    <t>Uses Calculation</t>
  </si>
  <si>
    <t>Base Assumptions</t>
  </si>
  <si>
    <t>Equity Purchase Price</t>
  </si>
  <si>
    <t>Base Year</t>
  </si>
  <si>
    <t>FD Shares (M)</t>
  </si>
  <si>
    <t>Exit Multiple</t>
  </si>
  <si>
    <t>*IPO Exit discounts multiple based on precedent transactions</t>
  </si>
  <si>
    <t>Current PPS</t>
  </si>
  <si>
    <t>Tax Rate (%)</t>
  </si>
  <si>
    <t>*Current marginal tax rate</t>
  </si>
  <si>
    <t>Offer Premium</t>
  </si>
  <si>
    <t>Offer PPS</t>
  </si>
  <si>
    <t>Debt Assumptions</t>
  </si>
  <si>
    <t xml:space="preserve">Equity Offer Price </t>
  </si>
  <si>
    <t>Debt</t>
  </si>
  <si>
    <t>Multiple</t>
  </si>
  <si>
    <t>Interest Rate</t>
  </si>
  <si>
    <t>Other Uses</t>
  </si>
  <si>
    <t>Revolver</t>
  </si>
  <si>
    <t>*Low interest rate, reflective of revolver of China comparable companies</t>
  </si>
  <si>
    <t>First Lien Term Loan</t>
  </si>
  <si>
    <t>*Lower in capital structure, reflective of premium over China government bonds</t>
  </si>
  <si>
    <t>Cash</t>
  </si>
  <si>
    <t>Second Lien Term Loan</t>
  </si>
  <si>
    <t>*Analogous to first lien rate, simply more risk from capital structure placement</t>
  </si>
  <si>
    <t>High Yield Bonds</t>
  </si>
  <si>
    <t xml:space="preserve">Refinance Net Debt </t>
  </si>
  <si>
    <t>Total Debt/EBITDA</t>
  </si>
  <si>
    <t>*Based off historic comps</t>
  </si>
  <si>
    <t>Sources &amp; Uses</t>
  </si>
  <si>
    <t>Operating Model Output</t>
  </si>
  <si>
    <t>FY 26</t>
  </si>
  <si>
    <t>FY 27</t>
  </si>
  <si>
    <t>FY 28</t>
  </si>
  <si>
    <t>FY 29</t>
  </si>
  <si>
    <t>FY 30</t>
  </si>
  <si>
    <t>FY 31</t>
  </si>
  <si>
    <t>Sources</t>
  </si>
  <si>
    <t>% of Total</t>
  </si>
  <si>
    <t>Uses</t>
  </si>
  <si>
    <t>Purchase Equity</t>
  </si>
  <si>
    <t>Revenue</t>
  </si>
  <si>
    <t>Refinance Net Debt</t>
  </si>
  <si>
    <t>EBIT</t>
  </si>
  <si>
    <t>Transaction Fees</t>
  </si>
  <si>
    <t>Adjusted EBITDA</t>
  </si>
  <si>
    <t>UFCF</t>
  </si>
  <si>
    <t>Sponsor Equity</t>
  </si>
  <si>
    <t>Tax Accounted Interest Payment</t>
  </si>
  <si>
    <t>Total</t>
  </si>
  <si>
    <t>FCF</t>
  </si>
  <si>
    <t>Debt Schedule</t>
  </si>
  <si>
    <t>Returns Analysis</t>
  </si>
  <si>
    <t>Terminal EBITDA</t>
  </si>
  <si>
    <t>Beginning Balance</t>
  </si>
  <si>
    <t>Paydown</t>
  </si>
  <si>
    <t>Enterprise Value</t>
  </si>
  <si>
    <t>Ending Balance</t>
  </si>
  <si>
    <t>(-) Net Debt</t>
  </si>
  <si>
    <t>General Interest Expense</t>
  </si>
  <si>
    <t>Equity Value at Exit</t>
  </si>
  <si>
    <t>Equity Value</t>
  </si>
  <si>
    <t>Reserve Interest Expense</t>
  </si>
  <si>
    <t>Sponsor Ownership at Exit</t>
  </si>
  <si>
    <t>Sponsor Equity at Exit</t>
  </si>
  <si>
    <t>Sponsor Equity at Closing</t>
  </si>
  <si>
    <t>First Lean Term Loan</t>
  </si>
  <si>
    <t>Net Debt at Closing</t>
  </si>
  <si>
    <t>MOIC</t>
  </si>
  <si>
    <t>Implied TEV at Closing</t>
  </si>
  <si>
    <t>IRR</t>
  </si>
  <si>
    <t>(-) Old Net Debt</t>
  </si>
  <si>
    <t>(-) Transaction Fees</t>
  </si>
  <si>
    <t>Interest Expense</t>
  </si>
  <si>
    <t>(-) Management Options</t>
  </si>
  <si>
    <t>Second Lean Term Loan</t>
  </si>
  <si>
    <t>FD Shares</t>
  </si>
  <si>
    <t>Implied Offer PPS</t>
  </si>
  <si>
    <t>Implied Offer Premium</t>
  </si>
  <si>
    <t>Total Net Debt</t>
  </si>
  <si>
    <t>Total Net Interest Payment</t>
  </si>
  <si>
    <t>Interest Coverage Ratio</t>
  </si>
  <si>
    <t>Sensitivity Analysis</t>
  </si>
  <si>
    <t xml:space="preserve"> Coverage Ratio</t>
  </si>
  <si>
    <t>Senior Debt</t>
  </si>
  <si>
    <t>Subordinated Debt</t>
  </si>
  <si>
    <t>Mezzanine</t>
  </si>
  <si>
    <t>Total Interest</t>
  </si>
  <si>
    <t>Coverage Ratio</t>
  </si>
  <si>
    <t>DCF Valuation</t>
  </si>
  <si>
    <t>Inputs / Assumptions</t>
  </si>
  <si>
    <t>Share Price</t>
  </si>
  <si>
    <t>Shares out. (M)</t>
  </si>
  <si>
    <t>Net Debt (M)</t>
  </si>
  <si>
    <t>*Variable multiples, thus average of median and Q1 used</t>
  </si>
  <si>
    <t>WACC (%)</t>
  </si>
  <si>
    <t>PGR Growth Rate (%)</t>
  </si>
  <si>
    <t>all figures in M unless otherwise stated</t>
  </si>
  <si>
    <t>UFCF Calculation</t>
  </si>
  <si>
    <t>(-) Taxes</t>
  </si>
  <si>
    <t>NOPAT</t>
  </si>
  <si>
    <t>(+) D&amp;A</t>
  </si>
  <si>
    <t>(-) Δ NWC</t>
  </si>
  <si>
    <t>(-) Cash from Investing</t>
  </si>
  <si>
    <t>Period</t>
  </si>
  <si>
    <t>Discount Rate</t>
  </si>
  <si>
    <t>Discounted FCFs</t>
  </si>
  <si>
    <t>DCF</t>
  </si>
  <si>
    <t>Exit Multiples Method</t>
  </si>
  <si>
    <t>Perpetuity Growth Method</t>
  </si>
  <si>
    <t>PV of FCFFs</t>
  </si>
  <si>
    <t>Final Year EBITDA</t>
  </si>
  <si>
    <t>Terminal Value</t>
  </si>
  <si>
    <t>EV/EBITDA Multiple</t>
  </si>
  <si>
    <t>PV of TV</t>
  </si>
  <si>
    <t>TV in Final Year</t>
  </si>
  <si>
    <t>Total Enterprise Value (TEV)</t>
  </si>
  <si>
    <t>Shares Oustanding</t>
  </si>
  <si>
    <t>Implied Share Price</t>
  </si>
  <si>
    <t>Current Market Share Price</t>
  </si>
  <si>
    <t>Implied Upside</t>
  </si>
  <si>
    <t>Implied % Growth</t>
  </si>
  <si>
    <t>Final Year FCF</t>
  </si>
  <si>
    <t>WACC</t>
  </si>
  <si>
    <t>Perpetuity Growth Rate</t>
  </si>
  <si>
    <t>WACC Calculation</t>
  </si>
  <si>
    <t>SID Relevered Beta</t>
  </si>
  <si>
    <t>Target Capital Structure</t>
  </si>
  <si>
    <t>Target</t>
  </si>
  <si>
    <t>Debt-to-Total Capitalization</t>
  </si>
  <si>
    <t>Unlevered</t>
  </si>
  <si>
    <t>Debt/</t>
  </si>
  <si>
    <t>Marginal</t>
  </si>
  <si>
    <t>Relevered</t>
  </si>
  <si>
    <t>Equity-to-Total Capitalization</t>
  </si>
  <si>
    <t>Beta</t>
  </si>
  <si>
    <t>Equity</t>
  </si>
  <si>
    <t>Tax Rate</t>
  </si>
  <si>
    <t>Relevered Beta</t>
  </si>
  <si>
    <t>Cost of Debt</t>
  </si>
  <si>
    <t>Pre-Tax Cost of Debt</t>
  </si>
  <si>
    <t>*Based on current yields for converitble debt at bbb rating</t>
  </si>
  <si>
    <t>WACC Sensitivity Analysis</t>
  </si>
  <si>
    <t>Pre-tax Cost of Debt</t>
  </si>
  <si>
    <t xml:space="preserve">   After-tax Cost of Debt</t>
  </si>
  <si>
    <t>--</t>
  </si>
  <si>
    <t>Cost of Equity</t>
  </si>
  <si>
    <t>Risk-free Rate</t>
  </si>
  <si>
    <t>*China Risk Free Rate</t>
  </si>
  <si>
    <t>Market Risk Premium</t>
  </si>
  <si>
    <t>Country Risk Premium</t>
  </si>
  <si>
    <t>*Adjustment based on China country risk</t>
  </si>
  <si>
    <t>Levered Beta</t>
  </si>
  <si>
    <t xml:space="preserve">   Cost of Equity</t>
  </si>
  <si>
    <t>MRP</t>
  </si>
  <si>
    <t xml:space="preserve">   WACC</t>
  </si>
  <si>
    <t>Sources: Factset Fundamentals, Luckin 20-F Filings, Bank of America Currency</t>
  </si>
  <si>
    <t>FY 20</t>
  </si>
  <si>
    <t>FY 21</t>
  </si>
  <si>
    <t>FY 22</t>
  </si>
  <si>
    <t>FY 23</t>
  </si>
  <si>
    <t>FY 24</t>
  </si>
  <si>
    <t>FY 25</t>
  </si>
  <si>
    <t>Total Revenue Projected</t>
  </si>
  <si>
    <t>Total Revenue</t>
  </si>
  <si>
    <t>% Growth</t>
  </si>
  <si>
    <t>Freshly Brewed Drinks</t>
  </si>
  <si>
    <t>*Reflective of non-franchise stores opening in China as they expand to untapped regions</t>
  </si>
  <si>
    <t>% of total revenue</t>
  </si>
  <si>
    <t>Other Product Revenue</t>
  </si>
  <si>
    <t>*Strong growth as new stores expand, leading to similar growth relative to drinks</t>
  </si>
  <si>
    <t>Miscellaneous Store Revenue</t>
  </si>
  <si>
    <t>*Slow growth from merchandise and associated products as new stores open with relatively lower % sales</t>
  </si>
  <si>
    <t>Partnership Store Revenue</t>
  </si>
  <si>
    <t xml:space="preserve">*Growth stagnates as initial international expansion will not be franchised, </t>
  </si>
  <si>
    <t>and franchising model matures in China. International franchising leads to maintained growth rate in years 3-5</t>
  </si>
  <si>
    <t>Exchange Rate (CNY to USD)</t>
  </si>
  <si>
    <t>*Assume Constant from 2026 Onwards</t>
  </si>
  <si>
    <t>Revenue Breakdown in CNY</t>
  </si>
  <si>
    <t>Revenue Build Assumptions</t>
  </si>
  <si>
    <t>Revenue Build Breakdown</t>
  </si>
  <si>
    <t>Freshly Brewed Drinks % Growth</t>
  </si>
  <si>
    <t>Upside</t>
  </si>
  <si>
    <t>*Upside Case reflectives strong international growth and market demand</t>
  </si>
  <si>
    <t>Base</t>
  </si>
  <si>
    <t>*Base Case reflects sustained international growth</t>
  </si>
  <si>
    <t>Downside</t>
  </si>
  <si>
    <t>*Downside Case reflective of only China growth</t>
  </si>
  <si>
    <t>Other Products Revenue</t>
  </si>
  <si>
    <t>Operating Model</t>
  </si>
  <si>
    <t>Sources: Factset Fundamentals, Luckin 20-F Filings</t>
  </si>
  <si>
    <t>Operating Statement</t>
  </si>
  <si>
    <t>% growth</t>
  </si>
  <si>
    <t>COGS (Excluding D&amp;A)</t>
  </si>
  <si>
    <t>% revenue</t>
  </si>
  <si>
    <t>*Increases 200 bps as revenue becomes more tied to low margin coffee</t>
  </si>
  <si>
    <t>Gross Profit</t>
  </si>
  <si>
    <t>GP margin (%)</t>
  </si>
  <si>
    <t>OpEx</t>
  </si>
  <si>
    <t>SG&amp;A</t>
  </si>
  <si>
    <t>*Management goal to lean down overall management, as they push towards profitability focus</t>
  </si>
  <si>
    <t>Depreciation</t>
  </si>
  <si>
    <t>*Decreases 100 bps as revenue per store scales relative to new store growth</t>
  </si>
  <si>
    <t>Other Operating Expenses</t>
  </si>
  <si>
    <t>*Reflects R&amp;D investment into Algorithmic Product Development, a fixed cost investment regardless of number of stores</t>
  </si>
  <si>
    <t>Total OpEx</t>
  </si>
  <si>
    <t>Operating Income (EBIT)</t>
  </si>
  <si>
    <t>EBIT margin (%)</t>
  </si>
  <si>
    <t>*Reflects management goals of targeted margins by 2028</t>
  </si>
  <si>
    <t>EBITDA</t>
  </si>
  <si>
    <t>EBITDA margin (%)</t>
  </si>
  <si>
    <t>Interest Payment</t>
  </si>
  <si>
    <t>*As debt is taken on through LBO, interest payment will grow accordingly</t>
  </si>
  <si>
    <t>EBITDA Adjustment</t>
  </si>
  <si>
    <t>Unusual Expenses</t>
  </si>
  <si>
    <t>*Used historical average of non-irregular figures, then base projection rate used</t>
  </si>
  <si>
    <t>Stock-Based Compensation</t>
  </si>
  <si>
    <t>Working Capital</t>
  </si>
  <si>
    <t>COGS</t>
  </si>
  <si>
    <t>Non-Cash Current Assets</t>
  </si>
  <si>
    <t>Short-Term Receivables</t>
  </si>
  <si>
    <t>DSO</t>
  </si>
  <si>
    <t>*As Luckin scales, gets more payment power over partnership stores for royalties</t>
  </si>
  <si>
    <t>Inventory</t>
  </si>
  <si>
    <t>DIO</t>
  </si>
  <si>
    <t>*As stores grow, inventory on hand scales accordingly with little relative change</t>
  </si>
  <si>
    <t>Prepaid Expenses</t>
  </si>
  <si>
    <t>% Revenue</t>
  </si>
  <si>
    <t>Other Current Assets</t>
  </si>
  <si>
    <t>Non-Interest Bearing Current Liabilities</t>
  </si>
  <si>
    <t>Acciounts Payable</t>
  </si>
  <si>
    <t>DPO</t>
  </si>
  <si>
    <t>*As they slow scale-focused business model, payable timelines become less strict</t>
  </si>
  <si>
    <t>Other Current Liabilities</t>
  </si>
  <si>
    <t>Net Working Capital</t>
  </si>
  <si>
    <t>Change in NWC</t>
  </si>
  <si>
    <t>Cash Flow from Investing</t>
  </si>
  <si>
    <t>Capital Expenditures</t>
  </si>
  <si>
    <t>% of Revenue</t>
  </si>
  <si>
    <t>*Initial focus on scale, but later tapered to focus on profitability</t>
  </si>
  <si>
    <t>Net Assets from Acquisition</t>
  </si>
  <si>
    <t>*Profitability focus will result in closure of unprofitable locations as data becomes clearer</t>
  </si>
  <si>
    <t>Net Investing Cash Flow</t>
  </si>
  <si>
    <t>Operating Model Assumptions</t>
  </si>
  <si>
    <t>Operating Statement Breakdown</t>
  </si>
  <si>
    <t>Working Capital Assumptions</t>
  </si>
  <si>
    <t>COGS % Revenue</t>
  </si>
  <si>
    <t>*Strong payment power scale</t>
  </si>
  <si>
    <t>*Relatively constant payment power</t>
  </si>
  <si>
    <t>*Reflects declining payment power from high scale attempts</t>
  </si>
  <si>
    <t>SG&amp;A % Revenue</t>
  </si>
  <si>
    <t>*More flexibility with scale</t>
  </si>
  <si>
    <t>*Little changing flexibility</t>
  </si>
  <si>
    <t>*Declining flexibility due to high scale attempt</t>
  </si>
  <si>
    <t>Depreciation % Revenue</t>
  </si>
  <si>
    <t>Prepaid Expenses % Revenue</t>
  </si>
  <si>
    <t>Other Operating Expenses % Revenue</t>
  </si>
  <si>
    <t>Other Current Assets % Revenue</t>
  </si>
  <si>
    <t>*Much stronger flexibility with payables</t>
  </si>
  <si>
    <t>*Slightly more flexibilty with payables</t>
  </si>
  <si>
    <t>*No growth with payable flexbility</t>
  </si>
  <si>
    <t>Other Current Liabilities % Revenue</t>
  </si>
  <si>
    <t>CapEx % Revenue</t>
  </si>
  <si>
    <t>*Slightly stronger growth strategy</t>
  </si>
  <si>
    <t>*Strong Initial investment, followed by sustained growth investing</t>
  </si>
  <si>
    <t>*Slightly lower than expected CapEx investment</t>
  </si>
  <si>
    <t>Net Assets From Acquisition % Revenue</t>
  </si>
  <si>
    <t>Comparable Companies Analysis</t>
  </si>
  <si>
    <t>Current</t>
  </si>
  <si>
    <t>% of</t>
  </si>
  <si>
    <t>LTM</t>
  </si>
  <si>
    <t>Share</t>
  </si>
  <si>
    <t>52-wk.</t>
  </si>
  <si>
    <t xml:space="preserve">Equity </t>
  </si>
  <si>
    <t>Enterprise</t>
  </si>
  <si>
    <t>Company</t>
  </si>
  <si>
    <t>Ticker</t>
  </si>
  <si>
    <t>Price</t>
  </si>
  <si>
    <t>High</t>
  </si>
  <si>
    <t>Value (M)</t>
  </si>
  <si>
    <t>EV / Sales</t>
  </si>
  <si>
    <t>EV / EBITDA</t>
  </si>
  <si>
    <t>Margin</t>
  </si>
  <si>
    <t>Luckin Coffee</t>
  </si>
  <si>
    <t>Tier I: Largest</t>
  </si>
  <si>
    <t xml:space="preserve">Starbucks </t>
  </si>
  <si>
    <t>NASDAQ: SBUX</t>
  </si>
  <si>
    <t>-</t>
  </si>
  <si>
    <t>Yum! Brands Inc.</t>
  </si>
  <si>
    <t>NYSE: YUM</t>
  </si>
  <si>
    <t>Tier II: Middle</t>
  </si>
  <si>
    <t>Dutch Bros</t>
  </si>
  <si>
    <t>NYSE: BROS</t>
  </si>
  <si>
    <t>Tier III: Smallest</t>
  </si>
  <si>
    <t>Greggs</t>
  </si>
  <si>
    <t>OTCMKTS: GGGSF</t>
  </si>
  <si>
    <t>Chagee</t>
  </si>
  <si>
    <t>NASDAQ: CHA</t>
  </si>
  <si>
    <t>Overall</t>
  </si>
  <si>
    <t>Mean</t>
  </si>
  <si>
    <t>Median</t>
  </si>
  <si>
    <t>Q3</t>
  </si>
  <si>
    <t>Q1</t>
  </si>
  <si>
    <t xml:space="preserve"> </t>
  </si>
  <si>
    <t>Low</t>
  </si>
  <si>
    <t>Precedent Transactions Analysis</t>
  </si>
  <si>
    <t>Acquirer</t>
  </si>
  <si>
    <t>Year</t>
  </si>
  <si>
    <t>Deal Type</t>
  </si>
  <si>
    <t>Transaction Value($M)</t>
  </si>
  <si>
    <t>EV/EBITDA</t>
  </si>
  <si>
    <t>KFC Japan</t>
  </si>
  <si>
    <t>Carlyle Group</t>
  </si>
  <si>
    <t>Strategic</t>
  </si>
  <si>
    <t>12.9x</t>
  </si>
  <si>
    <t>Costa Coffee</t>
  </si>
  <si>
    <t>Coca-Cola</t>
  </si>
  <si>
    <t>Starbucks China</t>
  </si>
  <si>
    <t>Boyu Capital</t>
  </si>
  <si>
    <t>Controlling Stake</t>
  </si>
  <si>
    <t>7.6x</t>
  </si>
  <si>
    <t>McDonald's China</t>
  </si>
  <si>
    <t>CITIC Capital</t>
  </si>
  <si>
    <t>*Calculated multiple off of publicized data on transaction</t>
  </si>
  <si>
    <t>Luckin Coffee, Inc. Sponsored ADR Class A</t>
  </si>
  <si>
    <t xml:space="preserve">LKNCY   54951L109   BK57TY2   US OTC    Common stock    </t>
  </si>
  <si>
    <t>Source: FactSet Fundamentals</t>
  </si>
  <si>
    <t>DEC '18</t>
  </si>
  <si>
    <t>DEC '19</t>
  </si>
  <si>
    <t>DEC '20</t>
  </si>
  <si>
    <t>DEC '21</t>
  </si>
  <si>
    <t>DEC '22</t>
  </si>
  <si>
    <t>DEC '23</t>
  </si>
  <si>
    <t>DEC '24</t>
  </si>
  <si>
    <t>DEC '25</t>
  </si>
  <si>
    <t>GAAP/IFRS Income Statement</t>
  </si>
  <si>
    <t>Sales</t>
  </si>
  <si>
    <t>Cost of Goods Sold (COGS) incl. D&amp;A</t>
  </si>
  <si>
    <t>COGS excluding D&amp;A</t>
  </si>
  <si>
    <t>Depreciation &amp; Amortization Expense</t>
  </si>
  <si>
    <t>Gross Income</t>
  </si>
  <si>
    <t>SG&amp;A Expense</t>
  </si>
  <si>
    <t>Research &amp; Development</t>
  </si>
  <si>
    <t>Other SG&amp;A</t>
  </si>
  <si>
    <t>EBIT (Operating Income)</t>
  </si>
  <si>
    <t>Nonoperating Income - Net</t>
  </si>
  <si>
    <t>Nonoperating Interest Income</t>
  </si>
  <si>
    <t>Reserves Increase (Decrease)</t>
  </si>
  <si>
    <t>Other Income (Expense)</t>
  </si>
  <si>
    <t>Gross Interest Expense</t>
  </si>
  <si>
    <t>Unusual Expense - Net</t>
  </si>
  <si>
    <t>Impairments</t>
  </si>
  <si>
    <t>Property,Plant &amp; Equipment</t>
  </si>
  <si>
    <t>Financial Fixed Assets</t>
  </si>
  <si>
    <t>Restructuring Expense</t>
  </si>
  <si>
    <t>Legal Claim Expense</t>
  </si>
  <si>
    <t>Unrealized Valuation Gain/Loss</t>
  </si>
  <si>
    <t>Other Intangibles</t>
  </si>
  <si>
    <t>Excpl Chrgs - Others</t>
  </si>
  <si>
    <t>Pretax Income</t>
  </si>
  <si>
    <t>Income Taxes</t>
  </si>
  <si>
    <t>Income Taxes - Current Domestic</t>
  </si>
  <si>
    <t>Income Taxes - Deferred Domestic</t>
  </si>
  <si>
    <t>Other After Tax Adjustments</t>
  </si>
  <si>
    <t>Consolidated Net Income</t>
  </si>
  <si>
    <t>Minority Interest</t>
  </si>
  <si>
    <t>Net Income</t>
  </si>
  <si>
    <t>Net Income available to Common</t>
  </si>
  <si>
    <t>Per Share</t>
  </si>
  <si>
    <t>EPS (recurring)</t>
  </si>
  <si>
    <t>EPS (basic)</t>
  </si>
  <si>
    <t>Basic Shares Outstanding</t>
  </si>
  <si>
    <t>Total Shares Outstanding</t>
  </si>
  <si>
    <t>EPS (diluted)</t>
  </si>
  <si>
    <t>Diluted Shares Outstanding</t>
  </si>
  <si>
    <t>Earnings Persistence</t>
  </si>
  <si>
    <t>Supplemental</t>
  </si>
  <si>
    <t>Rental Expense</t>
  </si>
  <si>
    <t>Stock Option Comp Exp (Net of Tax)</t>
  </si>
  <si>
    <t>Foreign Currency Translation Gains/Losses</t>
  </si>
  <si>
    <t>Assets</t>
  </si>
  <si>
    <t>Cash &amp; Short-Term Investments</t>
  </si>
  <si>
    <t>Cash Only</t>
  </si>
  <si>
    <t>Total Short Term Investments</t>
  </si>
  <si>
    <t>Accounts Receivables, Net</t>
  </si>
  <si>
    <t>Accounts Receivables, Gross</t>
  </si>
  <si>
    <t>Other Receivables</t>
  </si>
  <si>
    <t>Inventories</t>
  </si>
  <si>
    <t>Work in Progress</t>
  </si>
  <si>
    <t>Raw Materials</t>
  </si>
  <si>
    <t>Progress Payments &amp; Other</t>
  </si>
  <si>
    <t>Miscellaneous Current Assets</t>
  </si>
  <si>
    <t>Total Current Assets</t>
  </si>
  <si>
    <t>Net Property, Plant &amp; Equipment</t>
  </si>
  <si>
    <t>Property, Plant &amp; Equipment - Gross</t>
  </si>
  <si>
    <t>Buildings</t>
  </si>
  <si>
    <t>Machinery &amp; Equipment</t>
  </si>
  <si>
    <t>Construction in Progress</t>
  </si>
  <si>
    <t>Leases</t>
  </si>
  <si>
    <t>Other Property, Plant &amp; Equipment</t>
  </si>
  <si>
    <t>Operating Lease Right-of-Use Assets</t>
  </si>
  <si>
    <t>Accumulated Depreciation</t>
  </si>
  <si>
    <t xml:space="preserve">Total Long-Term Investments </t>
  </si>
  <si>
    <t>Other Long-Term Investments</t>
  </si>
  <si>
    <t>Long-Term Note Receivable</t>
  </si>
  <si>
    <t>Deferred Tax Assets</t>
  </si>
  <si>
    <t>Other Assets</t>
  </si>
  <si>
    <t>Deferred Charges</t>
  </si>
  <si>
    <t>Tangible Other Assets</t>
  </si>
  <si>
    <t>Total Assets</t>
  </si>
  <si>
    <t>Liabilities &amp; Shareholders' Equity</t>
  </si>
  <si>
    <t>ST Debt &amp; Curr. Portion LT Debt</t>
  </si>
  <si>
    <t>Accounts Payable</t>
  </si>
  <si>
    <t>Accrued Payroll</t>
  </si>
  <si>
    <t>Miscellaneous Current Liabilities</t>
  </si>
  <si>
    <t>Total Current Liabilities</t>
  </si>
  <si>
    <t>Long-Term</t>
  </si>
  <si>
    <t>Long-Term Debt</t>
  </si>
  <si>
    <t>Long-Term Debt excl Lease Obligations</t>
  </si>
  <si>
    <t>Capital and Operating Lease Obligations</t>
  </si>
  <si>
    <t>Provision for Risks &amp; Charges</t>
  </si>
  <si>
    <t>Deferred Tax Liabilities</t>
  </si>
  <si>
    <t>Other Liabilities</t>
  </si>
  <si>
    <t>Other Liabilities (excl. Deferred Income)</t>
  </si>
  <si>
    <t>Deferred Income</t>
  </si>
  <si>
    <t>Total Liabilities</t>
  </si>
  <si>
    <t>Preferred Stock (Carrying Value)</t>
  </si>
  <si>
    <t>Redeemable Preferred Stock</t>
  </si>
  <si>
    <t>Common Equity</t>
  </si>
  <si>
    <t>Common Stock Par/Carry Value</t>
  </si>
  <si>
    <t>Additional Paid-In Capital/Capital Surplus</t>
  </si>
  <si>
    <t>Retained Earnings</t>
  </si>
  <si>
    <t>Cumulative Translation Adjustment/Unrealized For. Exch. Gain</t>
  </si>
  <si>
    <t>Other Appropriated Reserves</t>
  </si>
  <si>
    <t>Total Shareholders' Equity</t>
  </si>
  <si>
    <t>Accumulated Minority Interest</t>
  </si>
  <si>
    <t>Total Equity</t>
  </si>
  <si>
    <t>Total Liabilities &amp; Shareholders' Equity</t>
  </si>
  <si>
    <t>Book Value per Share</t>
  </si>
  <si>
    <t>Tangible Book Value per Share</t>
  </si>
  <si>
    <t>Operating Activities</t>
  </si>
  <si>
    <t>Net Income / Starting Line</t>
  </si>
  <si>
    <t>Depreciation, Depletion &amp; Amortization</t>
  </si>
  <si>
    <t>Depreciation and Depletion</t>
  </si>
  <si>
    <t>Deferred Taxes &amp; Investment Tax Credit</t>
  </si>
  <si>
    <t>Deferred Taxes</t>
  </si>
  <si>
    <t>Other Funds</t>
  </si>
  <si>
    <t>Funds from Operations</t>
  </si>
  <si>
    <t>Changes in Working Capital</t>
  </si>
  <si>
    <t>Receivables</t>
  </si>
  <si>
    <t>Other Accruals</t>
  </si>
  <si>
    <t>Other Assets/Liabilities</t>
  </si>
  <si>
    <t>Net Operating Cash Flow</t>
  </si>
  <si>
    <t>Investing Activities</t>
  </si>
  <si>
    <t>Capital Expenditures (Fixed Assets)</t>
  </si>
  <si>
    <t>Capital Expenditures (Other Assets)</t>
  </si>
  <si>
    <t>Net Assets from Acquisitions</t>
  </si>
  <si>
    <t>Sale of Fixed Assets &amp; Businesses</t>
  </si>
  <si>
    <t>Purchase/Sale of Investments</t>
  </si>
  <si>
    <t>Purchase of Investments</t>
  </si>
  <si>
    <t>Sale/Maturity of Investments</t>
  </si>
  <si>
    <t>Other Sources</t>
  </si>
  <si>
    <t>Financing Activities</t>
  </si>
  <si>
    <t>Change in Capital Stock</t>
  </si>
  <si>
    <t>Sale of Common &amp; Preferred Stock</t>
  </si>
  <si>
    <t>Proceeds from Sale of Stock</t>
  </si>
  <si>
    <t>Issuance/Reduction of Debt, Net</t>
  </si>
  <si>
    <t>Change in Current Debt</t>
  </si>
  <si>
    <t>Change in Long-Term Debt</t>
  </si>
  <si>
    <t>Issuance of Long-Term Debt</t>
  </si>
  <si>
    <t>Reduction in Long-Term Debt</t>
  </si>
  <si>
    <t>Net Financing Cash Flow</t>
  </si>
  <si>
    <t>All Activities</t>
  </si>
  <si>
    <t>Exchange Rate Effect</t>
  </si>
  <si>
    <t>Net Change in Cash</t>
  </si>
  <si>
    <t>Free Cash Flow</t>
  </si>
  <si>
    <t>Free Cash Flow per Share</t>
  </si>
  <si>
    <t>Free Cash Flow Yield (%)</t>
  </si>
  <si>
    <t>Free</t>
  </si>
  <si>
    <t>Beta  to</t>
  </si>
  <si>
    <t>Long</t>
  </si>
  <si>
    <t>Fiscal</t>
  </si>
  <si>
    <t>% Below</t>
  </si>
  <si>
    <t>LT Debt/</t>
  </si>
  <si>
    <t>Market</t>
  </si>
  <si>
    <t>Loc Indx</t>
  </si>
  <si>
    <t>52W High</t>
  </si>
  <si>
    <t>Tax</t>
  </si>
  <si>
    <t>Term</t>
  </si>
  <si>
    <t>Name</t>
  </si>
  <si>
    <t>52W High (%)</t>
  </si>
  <si>
    <t>Value</t>
  </si>
  <si>
    <t>Margin (%)</t>
  </si>
  <si>
    <t>Equity (%)</t>
  </si>
  <si>
    <t>Flow</t>
  </si>
  <si>
    <t>3 Year</t>
  </si>
  <si>
    <t>Rate (%)</t>
  </si>
  <si>
    <t>Luckin Coffee ADR</t>
  </si>
  <si>
    <t>LKNCY-US</t>
  </si>
  <si>
    <t>09/30/2025</t>
  </si>
  <si>
    <t>Starbucks</t>
  </si>
  <si>
    <t>SBUX-US</t>
  </si>
  <si>
    <t>12/28/2025</t>
  </si>
  <si>
    <t>Yum! Brands</t>
  </si>
  <si>
    <t>YUM-US</t>
  </si>
  <si>
    <t>12/2025</t>
  </si>
  <si>
    <t>Dutch Bros A</t>
  </si>
  <si>
    <t>BROS-US</t>
  </si>
  <si>
    <t>GGGSF-US</t>
  </si>
  <si>
    <t>06/28/2025</t>
  </si>
  <si>
    <t>Chagee Holdings UnSp ADS</t>
  </si>
  <si>
    <t>CHA-US</t>
  </si>
  <si>
    <t>Average</t>
  </si>
  <si>
    <t>Currency Dropdown Widget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</si>
</sst>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7" formatCode="&quot;$&quot;#,##0.00_);\(&quot;$&quot;#,##0.0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General\P"/>
    <numFmt numFmtId="166" formatCode="#,##0.0_);\(#,##0.0\)"/>
    <numFmt numFmtId="167" formatCode="0.0"/>
    <numFmt numFmtId="168" formatCode="0.00\x"/>
    <numFmt numFmtId="169" formatCode=";;;"/>
    <numFmt numFmtId="170" formatCode="#,##0.0"/>
    <numFmt numFmtId="171" formatCode="&quot;$&quot;#,##0.00"/>
    <numFmt numFmtId="172" formatCode="General\x"/>
    <numFmt numFmtId="173" formatCode="0.0\x"/>
    <numFmt numFmtId="174" formatCode="#,##0.00_);\(#,##0.00\);\-\-_)"/>
    <numFmt numFmtId="175" formatCode="0.0%_);\(0.0%\);\-\-_)"/>
    <numFmt numFmtId="176" formatCode="m/d/yy;@"/>
    <numFmt numFmtId="177" formatCode="0%_);\(0%\);\-\-_)"/>
    <numFmt numFmtId="178" formatCode="#,##0.0\x_);\(#,##0.0\x\);\-\-_)"/>
    <numFmt numFmtId="179" formatCode="_(&quot;$&quot;* #,##0.0_);_(&quot;$&quot;* \(#,##0.0\);_(&quot;$&quot;* &quot;-&quot;??_);_(@_)"/>
    <numFmt numFmtId="180" formatCode="#,##0.0_);\(#,##0.0\);\-\-_)"/>
    <numFmt numFmtId="181" formatCode="#,##0_);\(#,##0\);\-\-_)"/>
    <numFmt numFmtId="182" formatCode="#,##0.0%_);\(#,##0.0%\);&quot;-&quot;_)"/>
    <numFmt numFmtId="183" formatCode="0.00%_);\(0.00%\);\-\-_)"/>
    <numFmt numFmtId="184" formatCode="_(* #,##0.0%_);_(* \(#,##0.0%\);_(* &quot;--- %&quot;_);_(* @_%_)"/>
    <numFmt numFmtId="185" formatCode="0.00_);[Red]\(0.00\)"/>
    <numFmt numFmtId="186" formatCode="#,##0.0\%"/>
    <numFmt numFmtId="187" formatCode="#,##0.00\%"/>
    <numFmt numFmtId="188" formatCode="&quot;$&quot;#,##0.00_);\(&quot;$&quot;#,##0.00\);\-\-_)"/>
    <numFmt numFmtId="189" formatCode="#,##0.000_);\(#,##0.000\);\-\-_)"/>
    <numFmt numFmtId="190" formatCode="_(&quot;$&quot;* #,##0_);_(&quot;$&quot;* \(#,##0\);_(&quot;$&quot;* &quot;-&quot;??_);_(@_)"/>
    <numFmt numFmtId="191" formatCode="_(* #,##0_);_(* \(#,##0\);_(* &quot;-&quot;??_);_(@_)"/>
  </numFmts>
  <fonts count="7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Garamond"/>
      <family val="1"/>
    </font>
    <font>
      <sz val="11"/>
      <color theme="1"/>
      <name val="Garamond"/>
      <family val="1"/>
    </font>
    <font>
      <b/>
      <sz val="16"/>
      <color theme="0"/>
      <name val="Garamond"/>
      <family val="1"/>
    </font>
    <font>
      <sz val="11"/>
      <name val="Calibri"/>
      <family val="2"/>
    </font>
    <font>
      <sz val="12"/>
      <color theme="4"/>
      <name val="Garamond"/>
      <family val="1"/>
    </font>
    <font>
      <sz val="8"/>
      <color theme="1"/>
      <name val="Garamond"/>
      <family val="1"/>
    </font>
    <font>
      <b/>
      <sz val="12"/>
      <color theme="1"/>
      <name val="Garamond"/>
      <family val="1"/>
    </font>
    <font>
      <sz val="10"/>
      <color theme="1"/>
      <name val="Garamond"/>
      <family val="1"/>
    </font>
    <font>
      <b/>
      <sz val="10"/>
      <color theme="0"/>
      <name val="Garamond"/>
      <family val="1"/>
    </font>
    <font>
      <sz val="10"/>
      <color rgb="FF0000FF"/>
      <name val="Garamond"/>
      <family val="1"/>
    </font>
    <font>
      <b/>
      <sz val="10"/>
      <color theme="1"/>
      <name val="Garamond"/>
      <family val="1"/>
    </font>
    <font>
      <sz val="10"/>
      <color rgb="FF00B050"/>
      <name val="Garamond"/>
      <family val="1"/>
    </font>
    <font>
      <i/>
      <sz val="10"/>
      <color theme="1"/>
      <name val="Garamond"/>
      <family val="1"/>
    </font>
    <font>
      <i/>
      <sz val="10"/>
      <color rgb="FF00B050"/>
      <name val="Garamond"/>
      <family val="1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0"/>
      <color rgb="FF003366"/>
      <name val="Arial"/>
      <family val="2"/>
    </font>
    <font>
      <sz val="10"/>
      <color rgb="FFFF0000"/>
      <name val="Arial"/>
      <family val="2"/>
    </font>
    <font>
      <sz val="12"/>
      <color rgb="FF000000"/>
      <name val="Garamond"/>
      <family val="1"/>
    </font>
    <font>
      <u/>
      <sz val="12"/>
      <color rgb="FF467886"/>
      <name val="Garamond"/>
      <family val="1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20"/>
      <color theme="0"/>
      <name val="Garamond"/>
      <family val="1"/>
    </font>
    <font>
      <sz val="11"/>
      <color theme="0"/>
      <name val="Garamond"/>
      <family val="1"/>
    </font>
    <font>
      <i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Garamond"/>
      <family val="1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Calibri"/>
      <family val="2"/>
      <scheme val="minor"/>
    </font>
    <font>
      <b/>
      <u val="singleAccounting"/>
      <sz val="10"/>
      <color indexed="9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sz val="10"/>
      <color rgb="FF0066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indexed="9"/>
      <name val="Calibri"/>
      <family val="2"/>
      <scheme val="minor"/>
    </font>
    <font>
      <sz val="10"/>
      <color rgb="FF006600"/>
      <name val="Calibri"/>
      <family val="2"/>
      <scheme val="minor"/>
    </font>
    <font>
      <sz val="10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i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name val="Times New Roman"/>
      <family val="1"/>
    </font>
    <font>
      <b/>
      <u val="singleAccounting"/>
      <sz val="10"/>
      <color indexed="8"/>
      <name val="Calibri"/>
      <family val="2"/>
      <scheme val="minor"/>
    </font>
    <font>
      <sz val="10"/>
      <color rgb="FF000000"/>
      <name val="Aptos Narrow"/>
      <family val="2"/>
    </font>
    <font>
      <sz val="10"/>
      <name val="Aptos Narrow"/>
      <family val="2"/>
    </font>
    <font>
      <b/>
      <u val="singleAccounting"/>
      <sz val="10"/>
      <name val="Aptos Narrow"/>
      <family val="2"/>
    </font>
    <font>
      <b/>
      <sz val="10"/>
      <color rgb="FF000000"/>
      <name val="Aptos Narrow"/>
      <family val="2"/>
    </font>
    <font>
      <sz val="10"/>
      <color rgb="FFFFFFFF"/>
      <name val="Aptos Narrow"/>
      <family val="2"/>
    </font>
    <font>
      <sz val="10"/>
      <color theme="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indexed="0"/>
      <name val="Calibri"/>
      <family val="2"/>
      <scheme val="minor"/>
    </font>
    <font>
      <sz val="11"/>
      <color theme="1"/>
      <name val="Calibri"/>
      <family val="2"/>
      <scheme val="maj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ajor"/>
    </font>
    <font>
      <b/>
      <i/>
      <sz val="11"/>
      <color theme="1"/>
      <name val="Calibri"/>
      <family val="2"/>
      <scheme val="minor"/>
    </font>
    <font>
      <sz val="12"/>
      <color theme="0"/>
      <name val="Garamond"/>
      <family val="1"/>
    </font>
    <font>
      <i/>
      <sz val="10"/>
      <color rgb="FF0066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11752"/>
        <bgColor rgb="FF011752"/>
      </patternFill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181E9C"/>
        <bgColor indexed="64"/>
      </patternFill>
    </fill>
    <fill>
      <patternFill patternType="solid">
        <fgColor rgb="FFEBF9F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gray125"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EEEEE"/>
        <bgColor indexed="64"/>
      </patternFill>
    </fill>
  </fills>
  <borders count="4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9" fontId="26" fillId="0" borderId="0" applyFont="0" applyFill="0" applyBorder="0" applyAlignment="0" applyProtection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0" fontId="30" fillId="0" borderId="14"/>
    <xf numFmtId="43" fontId="2" fillId="0" borderId="14" applyFont="0" applyFill="0" applyBorder="0" applyAlignment="0" applyProtection="0"/>
    <xf numFmtId="0" fontId="41" fillId="0" borderId="14"/>
    <xf numFmtId="0" fontId="41" fillId="0" borderId="14"/>
    <xf numFmtId="184" fontId="58" fillId="0" borderId="14" applyFont="0" applyFill="0" applyBorder="0" applyAlignment="0" applyProtection="0">
      <alignment horizontal="right"/>
    </xf>
    <xf numFmtId="9" fontId="66" fillId="0" borderId="14" applyFont="0" applyFill="0" applyBorder="0" applyAlignment="0" applyProtection="0"/>
    <xf numFmtId="0" fontId="2" fillId="0" borderId="14"/>
    <xf numFmtId="9" fontId="2" fillId="0" borderId="14" applyFont="0" applyFill="0" applyBorder="0" applyAlignment="0" applyProtection="0"/>
    <xf numFmtId="0" fontId="6" fillId="0" borderId="14"/>
    <xf numFmtId="44" fontId="6" fillId="0" borderId="14"/>
    <xf numFmtId="0" fontId="2" fillId="0" borderId="14"/>
    <xf numFmtId="0" fontId="1" fillId="0" borderId="14"/>
    <xf numFmtId="9" fontId="1" fillId="0" borderId="14" applyFont="0" applyFill="0" applyBorder="0" applyAlignment="0" applyProtection="0"/>
    <xf numFmtId="0" fontId="1" fillId="0" borderId="14"/>
  </cellStyleXfs>
  <cellXfs count="514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10" fillId="0" borderId="0" xfId="0" applyFont="1"/>
    <xf numFmtId="0" fontId="10" fillId="0" borderId="14" xfId="0" applyFont="1" applyBorder="1"/>
    <xf numFmtId="167" fontId="0" fillId="0" borderId="0" xfId="0" applyNumberFormat="1"/>
    <xf numFmtId="0" fontId="3" fillId="0" borderId="15" xfId="0" applyFont="1" applyBorder="1"/>
    <xf numFmtId="0" fontId="3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3" fillId="0" borderId="16" xfId="0" applyFont="1" applyBorder="1"/>
    <xf numFmtId="0" fontId="3" fillId="0" borderId="13" xfId="0" applyFont="1" applyBorder="1"/>
    <xf numFmtId="0" fontId="3" fillId="0" borderId="12" xfId="0" applyFont="1" applyBorder="1"/>
    <xf numFmtId="49" fontId="3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21" fillId="0" borderId="14" xfId="0" applyFont="1" applyBorder="1"/>
    <xf numFmtId="0" fontId="21" fillId="0" borderId="0" xfId="0" applyFont="1"/>
    <xf numFmtId="0" fontId="22" fillId="0" borderId="14" xfId="0" applyFont="1" applyBorder="1"/>
    <xf numFmtId="0" fontId="4" fillId="0" borderId="14" xfId="0" applyFont="1" applyBorder="1"/>
    <xf numFmtId="0" fontId="23" fillId="0" borderId="0" xfId="0" applyFont="1"/>
    <xf numFmtId="0" fontId="24" fillId="0" borderId="0" xfId="0" applyFont="1"/>
    <xf numFmtId="17" fontId="24" fillId="0" borderId="0" xfId="0" applyNumberFormat="1" applyFont="1"/>
    <xf numFmtId="0" fontId="25" fillId="0" borderId="14" xfId="0" applyFont="1" applyBorder="1"/>
    <xf numFmtId="0" fontId="0" fillId="0" borderId="14" xfId="0" applyBorder="1"/>
    <xf numFmtId="0" fontId="3" fillId="0" borderId="18" xfId="0" applyFont="1" applyBorder="1"/>
    <xf numFmtId="0" fontId="3" fillId="0" borderId="14" xfId="0" applyFont="1" applyBorder="1"/>
    <xf numFmtId="0" fontId="18" fillId="3" borderId="14" xfId="4" applyFont="1" applyFill="1" applyAlignment="1">
      <alignment horizontal="left"/>
    </xf>
    <xf numFmtId="0" fontId="30" fillId="0" borderId="14" xfId="4" applyAlignment="1">
      <alignment horizontal="left"/>
    </xf>
    <xf numFmtId="0" fontId="19" fillId="4" borderId="14" xfId="4" applyFont="1" applyFill="1" applyAlignment="1">
      <alignment horizontal="left"/>
    </xf>
    <xf numFmtId="170" fontId="19" fillId="4" borderId="14" xfId="4" applyNumberFormat="1" applyFont="1" applyFill="1" applyAlignment="1">
      <alignment horizontal="right"/>
    </xf>
    <xf numFmtId="0" fontId="19" fillId="0" borderId="14" xfId="4" applyFont="1" applyAlignment="1">
      <alignment horizontal="left" indent="3"/>
    </xf>
    <xf numFmtId="170" fontId="19" fillId="0" borderId="14" xfId="4" applyNumberFormat="1" applyFont="1" applyAlignment="1">
      <alignment horizontal="right"/>
    </xf>
    <xf numFmtId="0" fontId="30" fillId="4" borderId="14" xfId="4" applyFill="1" applyAlignment="1">
      <alignment horizontal="left" indent="4"/>
    </xf>
    <xf numFmtId="170" fontId="30" fillId="4" borderId="14" xfId="4" applyNumberFormat="1" applyFill="1" applyAlignment="1">
      <alignment horizontal="right"/>
    </xf>
    <xf numFmtId="0" fontId="19" fillId="0" borderId="14" xfId="4" applyFont="1" applyAlignment="1">
      <alignment horizontal="left" indent="6"/>
    </xf>
    <xf numFmtId="0" fontId="30" fillId="4" borderId="14" xfId="4" applyFill="1" applyAlignment="1">
      <alignment horizontal="left" indent="7"/>
    </xf>
    <xf numFmtId="0" fontId="19" fillId="0" borderId="14" xfId="4" applyFont="1" applyAlignment="1">
      <alignment horizontal="left"/>
    </xf>
    <xf numFmtId="0" fontId="19" fillId="4" borderId="14" xfId="4" applyFont="1" applyFill="1" applyAlignment="1">
      <alignment horizontal="left" indent="3"/>
    </xf>
    <xf numFmtId="0" fontId="30" fillId="0" borderId="14" xfId="4" applyAlignment="1">
      <alignment horizontal="left" indent="4"/>
    </xf>
    <xf numFmtId="170" fontId="30" fillId="0" borderId="14" xfId="4" applyNumberFormat="1" applyAlignment="1">
      <alignment horizontal="right"/>
    </xf>
    <xf numFmtId="0" fontId="30" fillId="4" borderId="14" xfId="4" applyFill="1" applyAlignment="1">
      <alignment horizontal="left"/>
    </xf>
    <xf numFmtId="170" fontId="20" fillId="0" borderId="14" xfId="4" applyNumberFormat="1" applyFont="1" applyAlignment="1">
      <alignment horizontal="right"/>
    </xf>
    <xf numFmtId="0" fontId="30" fillId="0" borderId="14" xfId="4" applyAlignment="1">
      <alignment horizontal="left" indent="7"/>
    </xf>
    <xf numFmtId="0" fontId="19" fillId="4" borderId="14" xfId="4" applyFont="1" applyFill="1" applyAlignment="1">
      <alignment horizontal="left" indent="6"/>
    </xf>
    <xf numFmtId="170" fontId="20" fillId="4" borderId="14" xfId="4" applyNumberFormat="1" applyFont="1" applyFill="1" applyAlignment="1">
      <alignment horizontal="right"/>
    </xf>
    <xf numFmtId="0" fontId="30" fillId="0" borderId="14" xfId="4" applyAlignment="1">
      <alignment horizontal="left" indent="1"/>
    </xf>
    <xf numFmtId="4" fontId="20" fillId="0" borderId="14" xfId="4" applyNumberFormat="1" applyFont="1" applyAlignment="1">
      <alignment horizontal="right"/>
    </xf>
    <xf numFmtId="4" fontId="30" fillId="0" borderId="14" xfId="4" applyNumberFormat="1" applyAlignment="1">
      <alignment horizontal="right"/>
    </xf>
    <xf numFmtId="4" fontId="19" fillId="4" borderId="14" xfId="4" applyNumberFormat="1" applyFont="1" applyFill="1" applyAlignment="1">
      <alignment horizontal="right"/>
    </xf>
    <xf numFmtId="4" fontId="30" fillId="4" borderId="14" xfId="4" applyNumberFormat="1" applyFill="1" applyAlignment="1">
      <alignment horizontal="right"/>
    </xf>
    <xf numFmtId="4" fontId="19" fillId="0" borderId="14" xfId="4" applyNumberFormat="1" applyFont="1" applyAlignment="1">
      <alignment horizontal="right"/>
    </xf>
    <xf numFmtId="0" fontId="30" fillId="4" borderId="14" xfId="4" applyFill="1" applyAlignment="1">
      <alignment horizontal="left" indent="1"/>
    </xf>
    <xf numFmtId="4" fontId="20" fillId="4" borderId="14" xfId="4" applyNumberFormat="1" applyFont="1" applyFill="1" applyAlignment="1">
      <alignment horizontal="right"/>
    </xf>
    <xf numFmtId="0" fontId="31" fillId="5" borderId="0" xfId="0" applyFont="1" applyFill="1"/>
    <xf numFmtId="0" fontId="4" fillId="5" borderId="0" xfId="0" applyFont="1" applyFill="1"/>
    <xf numFmtId="0" fontId="32" fillId="5" borderId="0" xfId="0" applyFont="1" applyFill="1"/>
    <xf numFmtId="0" fontId="33" fillId="6" borderId="0" xfId="0" applyFont="1" applyFill="1" applyAlignment="1">
      <alignment vertical="center"/>
    </xf>
    <xf numFmtId="0" fontId="34" fillId="6" borderId="0" xfId="0" applyFont="1" applyFill="1" applyAlignment="1">
      <alignment vertical="center"/>
    </xf>
    <xf numFmtId="0" fontId="29" fillId="5" borderId="0" xfId="0" applyFont="1" applyFill="1"/>
    <xf numFmtId="0" fontId="37" fillId="5" borderId="0" xfId="0" applyFont="1" applyFill="1"/>
    <xf numFmtId="174" fontId="38" fillId="7" borderId="0" xfId="0" applyNumberFormat="1" applyFont="1" applyFill="1"/>
    <xf numFmtId="174" fontId="39" fillId="7" borderId="0" xfId="0" applyNumberFormat="1" applyFont="1" applyFill="1"/>
    <xf numFmtId="174" fontId="39" fillId="7" borderId="0" xfId="0" applyNumberFormat="1" applyFont="1" applyFill="1" applyAlignment="1">
      <alignment horizontal="center"/>
    </xf>
    <xf numFmtId="174" fontId="39" fillId="7" borderId="18" xfId="0" applyNumberFormat="1" applyFont="1" applyFill="1" applyBorder="1" applyAlignment="1">
      <alignment horizontal="center"/>
    </xf>
    <xf numFmtId="174" fontId="39" fillId="7" borderId="14" xfId="0" applyNumberFormat="1" applyFont="1" applyFill="1" applyBorder="1" applyAlignment="1">
      <alignment horizontal="center"/>
    </xf>
    <xf numFmtId="1" fontId="0" fillId="0" borderId="0" xfId="0" applyNumberFormat="1"/>
    <xf numFmtId="174" fontId="33" fillId="8" borderId="14" xfId="5" applyNumberFormat="1" applyFont="1" applyFill="1" applyBorder="1" applyAlignment="1">
      <alignment horizontal="left" vertical="center"/>
    </xf>
    <xf numFmtId="0" fontId="0" fillId="0" borderId="18" xfId="0" applyBorder="1"/>
    <xf numFmtId="1" fontId="0" fillId="0" borderId="18" xfId="0" applyNumberFormat="1" applyBorder="1"/>
    <xf numFmtId="175" fontId="33" fillId="0" borderId="18" xfId="0" applyNumberFormat="1" applyFont="1" applyBorder="1"/>
    <xf numFmtId="0" fontId="29" fillId="5" borderId="14" xfId="0" applyFont="1" applyFill="1" applyBorder="1"/>
    <xf numFmtId="0" fontId="42" fillId="0" borderId="14" xfId="6" applyFont="1" applyAlignment="1">
      <alignment vertical="center"/>
    </xf>
    <xf numFmtId="0" fontId="42" fillId="0" borderId="14" xfId="6" applyFont="1" applyAlignment="1">
      <alignment horizontal="center" vertical="center"/>
    </xf>
    <xf numFmtId="0" fontId="42" fillId="0" borderId="14" xfId="6" applyFont="1" applyAlignment="1">
      <alignment horizontal="right" vertical="center"/>
    </xf>
    <xf numFmtId="0" fontId="42" fillId="0" borderId="0" xfId="0" applyFont="1" applyAlignment="1">
      <alignment horizontal="center" vertical="center"/>
    </xf>
    <xf numFmtId="0" fontId="44" fillId="0" borderId="14" xfId="6" applyFont="1" applyAlignment="1">
      <alignment horizontal="left" vertical="center"/>
    </xf>
    <xf numFmtId="0" fontId="44" fillId="0" borderId="14" xfId="6" applyFont="1" applyAlignment="1">
      <alignment horizontal="center" vertical="center"/>
    </xf>
    <xf numFmtId="176" fontId="44" fillId="0" borderId="14" xfId="6" applyNumberFormat="1" applyFont="1" applyAlignment="1">
      <alignment horizontal="center" vertical="center"/>
    </xf>
    <xf numFmtId="14" fontId="44" fillId="0" borderId="14" xfId="6" applyNumberFormat="1" applyFont="1" applyAlignment="1">
      <alignment horizontal="center" vertical="center"/>
    </xf>
    <xf numFmtId="0" fontId="44" fillId="0" borderId="14" xfId="6" applyFont="1" applyAlignment="1">
      <alignment horizontal="right" vertical="center"/>
    </xf>
    <xf numFmtId="0" fontId="44" fillId="0" borderId="0" xfId="0" applyFont="1" applyAlignment="1">
      <alignment horizontal="center" vertical="center"/>
    </xf>
    <xf numFmtId="0" fontId="42" fillId="0" borderId="14" xfId="6" applyFont="1" applyAlignment="1">
      <alignment horizontal="left" vertical="center"/>
    </xf>
    <xf numFmtId="14" fontId="42" fillId="0" borderId="14" xfId="6" applyNumberFormat="1" applyFont="1" applyAlignment="1">
      <alignment horizontal="center" vertical="center"/>
    </xf>
    <xf numFmtId="0" fontId="34" fillId="0" borderId="14" xfId="6" applyFont="1" applyAlignment="1">
      <alignment vertical="center"/>
    </xf>
    <xf numFmtId="0" fontId="34" fillId="0" borderId="0" xfId="0" applyFont="1" applyAlignment="1">
      <alignment vertical="center"/>
    </xf>
    <xf numFmtId="44" fontId="48" fillId="0" borderId="0" xfId="3" applyFont="1" applyAlignment="1">
      <alignment vertical="center"/>
    </xf>
    <xf numFmtId="164" fontId="42" fillId="0" borderId="14" xfId="1" applyNumberFormat="1" applyFont="1" applyBorder="1" applyAlignment="1">
      <alignment horizontal="left" vertical="center"/>
    </xf>
    <xf numFmtId="179" fontId="34" fillId="0" borderId="14" xfId="6" applyNumberFormat="1" applyFont="1" applyAlignment="1">
      <alignment horizontal="center" vertical="center"/>
    </xf>
    <xf numFmtId="173" fontId="42" fillId="0" borderId="14" xfId="6" applyNumberFormat="1" applyFont="1" applyAlignment="1">
      <alignment vertical="center"/>
    </xf>
    <xf numFmtId="9" fontId="42" fillId="0" borderId="14" xfId="6" applyNumberFormat="1" applyFont="1" applyAlignment="1">
      <alignment vertical="center"/>
    </xf>
    <xf numFmtId="44" fontId="42" fillId="0" borderId="14" xfId="3" applyFont="1" applyBorder="1" applyAlignment="1">
      <alignment vertical="center"/>
    </xf>
    <xf numFmtId="1" fontId="0" fillId="0" borderId="28" xfId="0" applyNumberFormat="1" applyBorder="1"/>
    <xf numFmtId="1" fontId="0" fillId="0" borderId="29" xfId="0" applyNumberFormat="1" applyBorder="1"/>
    <xf numFmtId="174" fontId="40" fillId="0" borderId="30" xfId="0" applyNumberFormat="1" applyFont="1" applyBorder="1" applyAlignment="1">
      <alignment horizontal="left" indent="3"/>
    </xf>
    <xf numFmtId="175" fontId="33" fillId="0" borderId="14" xfId="0" applyNumberFormat="1" applyFont="1" applyBorder="1"/>
    <xf numFmtId="0" fontId="0" fillId="0" borderId="30" xfId="0" applyBorder="1"/>
    <xf numFmtId="1" fontId="0" fillId="0" borderId="14" xfId="0" applyNumberFormat="1" applyBorder="1"/>
    <xf numFmtId="0" fontId="0" fillId="0" borderId="31" xfId="0" applyBorder="1"/>
    <xf numFmtId="0" fontId="0" fillId="0" borderId="32" xfId="0" applyBorder="1"/>
    <xf numFmtId="0" fontId="34" fillId="0" borderId="14" xfId="6" applyFont="1" applyAlignment="1">
      <alignment vertical="center" wrapText="1"/>
    </xf>
    <xf numFmtId="0" fontId="50" fillId="0" borderId="32" xfId="0" applyFont="1" applyBorder="1"/>
    <xf numFmtId="0" fontId="50" fillId="0" borderId="33" xfId="0" applyFont="1" applyBorder="1"/>
    <xf numFmtId="0" fontId="25" fillId="0" borderId="0" xfId="0" applyFont="1"/>
    <xf numFmtId="0" fontId="40" fillId="0" borderId="0" xfId="0" applyFont="1" applyAlignment="1">
      <alignment horizontal="left" indent="1"/>
    </xf>
    <xf numFmtId="182" fontId="33" fillId="8" borderId="14" xfId="5" applyNumberFormat="1" applyFont="1" applyFill="1" applyAlignment="1">
      <alignment horizontal="right" vertical="center"/>
    </xf>
    <xf numFmtId="175" fontId="33" fillId="0" borderId="0" xfId="0" applyNumberFormat="1" applyFont="1" applyAlignment="1">
      <alignment horizontal="right"/>
    </xf>
    <xf numFmtId="175" fontId="33" fillId="0" borderId="18" xfId="0" applyNumberFormat="1" applyFont="1" applyBorder="1" applyAlignment="1">
      <alignment horizontal="right"/>
    </xf>
    <xf numFmtId="181" fontId="25" fillId="0" borderId="0" xfId="0" applyNumberFormat="1" applyFont="1" applyAlignment="1">
      <alignment horizontal="right"/>
    </xf>
    <xf numFmtId="0" fontId="40" fillId="0" borderId="32" xfId="0" applyFont="1" applyBorder="1" applyAlignment="1">
      <alignment horizontal="left" indent="1"/>
    </xf>
    <xf numFmtId="0" fontId="39" fillId="0" borderId="0" xfId="0" applyFont="1"/>
    <xf numFmtId="0" fontId="52" fillId="0" borderId="0" xfId="0" applyFont="1"/>
    <xf numFmtId="0" fontId="25" fillId="0" borderId="0" xfId="0" applyFont="1" applyAlignment="1">
      <alignment horizontal="left" indent="1"/>
    </xf>
    <xf numFmtId="0" fontId="40" fillId="0" borderId="0" xfId="0" applyFont="1" applyAlignment="1">
      <alignment horizontal="left" indent="2"/>
    </xf>
    <xf numFmtId="0" fontId="39" fillId="0" borderId="32" xfId="0" applyFont="1" applyBorder="1"/>
    <xf numFmtId="0" fontId="25" fillId="0" borderId="32" xfId="0" applyFont="1" applyBorder="1"/>
    <xf numFmtId="1" fontId="25" fillId="0" borderId="0" xfId="0" applyNumberFormat="1" applyFont="1"/>
    <xf numFmtId="1" fontId="48" fillId="0" borderId="0" xfId="0" applyNumberFormat="1" applyFont="1"/>
    <xf numFmtId="0" fontId="53" fillId="5" borderId="0" xfId="0" applyFont="1" applyFill="1"/>
    <xf numFmtId="175" fontId="33" fillId="0" borderId="32" xfId="0" applyNumberFormat="1" applyFont="1" applyBorder="1" applyAlignment="1">
      <alignment horizontal="right"/>
    </xf>
    <xf numFmtId="1" fontId="25" fillId="0" borderId="32" xfId="0" applyNumberFormat="1" applyFont="1" applyBorder="1"/>
    <xf numFmtId="1" fontId="39" fillId="0" borderId="32" xfId="0" applyNumberFormat="1" applyFont="1" applyBorder="1"/>
    <xf numFmtId="1" fontId="39" fillId="0" borderId="0" xfId="0" applyNumberFormat="1" applyFont="1"/>
    <xf numFmtId="1" fontId="48" fillId="0" borderId="18" xfId="0" applyNumberFormat="1" applyFont="1" applyBorder="1"/>
    <xf numFmtId="0" fontId="25" fillId="0" borderId="18" xfId="0" applyFont="1" applyBorder="1"/>
    <xf numFmtId="175" fontId="33" fillId="0" borderId="33" xfId="0" applyNumberFormat="1" applyFont="1" applyBorder="1" applyAlignment="1">
      <alignment horizontal="right"/>
    </xf>
    <xf numFmtId="1" fontId="39" fillId="0" borderId="33" xfId="0" applyNumberFormat="1" applyFont="1" applyBorder="1"/>
    <xf numFmtId="1" fontId="25" fillId="0" borderId="18" xfId="0" applyNumberFormat="1" applyFont="1" applyBorder="1"/>
    <xf numFmtId="1" fontId="39" fillId="0" borderId="18" xfId="0" applyNumberFormat="1" applyFont="1" applyBorder="1"/>
    <xf numFmtId="1" fontId="25" fillId="0" borderId="14" xfId="0" applyNumberFormat="1" applyFont="1" applyBorder="1"/>
    <xf numFmtId="0" fontId="22" fillId="0" borderId="0" xfId="0" applyFont="1"/>
    <xf numFmtId="0" fontId="43" fillId="0" borderId="14" xfId="7" applyFont="1" applyAlignment="1">
      <alignment horizontal="centerContinuous" vertical="center"/>
    </xf>
    <xf numFmtId="175" fontId="51" fillId="0" borderId="18" xfId="0" applyNumberFormat="1" applyFont="1" applyBorder="1" applyAlignment="1">
      <alignment horizontal="right"/>
    </xf>
    <xf numFmtId="1" fontId="49" fillId="0" borderId="18" xfId="0" applyNumberFormat="1" applyFont="1" applyBorder="1"/>
    <xf numFmtId="1" fontId="25" fillId="0" borderId="33" xfId="0" applyNumberFormat="1" applyFont="1" applyBorder="1"/>
    <xf numFmtId="3" fontId="25" fillId="9" borderId="14" xfId="0" applyNumberFormat="1" applyFont="1" applyFill="1" applyBorder="1"/>
    <xf numFmtId="0" fontId="25" fillId="9" borderId="14" xfId="0" applyFont="1" applyFill="1" applyBorder="1"/>
    <xf numFmtId="174" fontId="33" fillId="8" borderId="14" xfId="5" applyNumberFormat="1" applyFont="1" applyFill="1" applyAlignment="1">
      <alignment horizontal="left" vertical="center"/>
    </xf>
    <xf numFmtId="0" fontId="39" fillId="0" borderId="14" xfId="0" applyFont="1" applyBorder="1"/>
    <xf numFmtId="183" fontId="33" fillId="0" borderId="0" xfId="0" applyNumberFormat="1" applyFont="1" applyAlignment="1">
      <alignment horizontal="right"/>
    </xf>
    <xf numFmtId="0" fontId="39" fillId="0" borderId="28" xfId="0" applyFont="1" applyBorder="1"/>
    <xf numFmtId="0" fontId="55" fillId="0" borderId="0" xfId="0" applyFont="1"/>
    <xf numFmtId="0" fontId="34" fillId="0" borderId="0" xfId="0" applyFont="1"/>
    <xf numFmtId="0" fontId="56" fillId="0" borderId="0" xfId="0" applyFont="1"/>
    <xf numFmtId="0" fontId="57" fillId="0" borderId="0" xfId="0" applyFont="1" applyAlignment="1">
      <alignment horizontal="center"/>
    </xf>
    <xf numFmtId="175" fontId="48" fillId="10" borderId="14" xfId="8" applyNumberFormat="1" applyFont="1" applyFill="1" applyAlignment="1">
      <alignment horizontal="right" vertical="distributed"/>
    </xf>
    <xf numFmtId="0" fontId="34" fillId="0" borderId="0" xfId="0" applyFont="1" applyAlignment="1">
      <alignment vertical="top"/>
    </xf>
    <xf numFmtId="0" fontId="59" fillId="0" borderId="0" xfId="0" applyFont="1" applyAlignment="1">
      <alignment horizontal="center"/>
    </xf>
    <xf numFmtId="0" fontId="57" fillId="0" borderId="0" xfId="0" applyFont="1"/>
    <xf numFmtId="174" fontId="48" fillId="0" borderId="0" xfId="0" applyNumberFormat="1" applyFont="1"/>
    <xf numFmtId="9" fontId="48" fillId="0" borderId="14" xfId="5" applyNumberFormat="1" applyFont="1" applyAlignment="1">
      <alignment horizontal="right" vertical="distributed"/>
    </xf>
    <xf numFmtId="175" fontId="34" fillId="0" borderId="14" xfId="8" applyNumberFormat="1" applyFont="1" applyAlignment="1">
      <alignment horizontal="right" vertical="distributed"/>
    </xf>
    <xf numFmtId="174" fontId="42" fillId="0" borderId="34" xfId="0" applyNumberFormat="1" applyFont="1" applyBorder="1"/>
    <xf numFmtId="175" fontId="25" fillId="0" borderId="0" xfId="0" applyNumberFormat="1" applyFont="1"/>
    <xf numFmtId="40" fontId="56" fillId="0" borderId="0" xfId="0" applyNumberFormat="1" applyFont="1"/>
    <xf numFmtId="164" fontId="56" fillId="0" borderId="0" xfId="0" applyNumberFormat="1" applyFont="1"/>
    <xf numFmtId="185" fontId="42" fillId="0" borderId="0" xfId="0" applyNumberFormat="1" applyFont="1"/>
    <xf numFmtId="0" fontId="60" fillId="0" borderId="0" xfId="0" applyFont="1"/>
    <xf numFmtId="0" fontId="61" fillId="0" borderId="0" xfId="0" applyFont="1"/>
    <xf numFmtId="175" fontId="39" fillId="0" borderId="34" xfId="8" applyNumberFormat="1" applyFont="1" applyBorder="1" applyAlignment="1">
      <alignment horizontal="right" vertical="distributed"/>
    </xf>
    <xf numFmtId="0" fontId="63" fillId="0" borderId="0" xfId="0" applyFont="1" applyAlignment="1">
      <alignment textRotation="90"/>
    </xf>
    <xf numFmtId="0" fontId="64" fillId="0" borderId="0" xfId="0" quotePrefix="1" applyFont="1"/>
    <xf numFmtId="10" fontId="63" fillId="0" borderId="0" xfId="0" applyNumberFormat="1" applyFont="1"/>
    <xf numFmtId="183" fontId="25" fillId="0" borderId="10" xfId="0" applyNumberFormat="1" applyFont="1" applyBorder="1" applyAlignment="1">
      <alignment horizontal="center"/>
    </xf>
    <xf numFmtId="183" fontId="25" fillId="0" borderId="17" xfId="0" applyNumberFormat="1" applyFont="1" applyBorder="1" applyAlignment="1">
      <alignment horizontal="center"/>
    </xf>
    <xf numFmtId="183" fontId="25" fillId="0" borderId="11" xfId="0" applyNumberFormat="1" applyFont="1" applyBorder="1" applyAlignment="1">
      <alignment horizontal="center"/>
    </xf>
    <xf numFmtId="183" fontId="25" fillId="0" borderId="6" xfId="0" applyNumberFormat="1" applyFont="1" applyBorder="1" applyAlignment="1">
      <alignment horizontal="center"/>
    </xf>
    <xf numFmtId="183" fontId="25" fillId="0" borderId="7" xfId="0" applyNumberFormat="1" applyFont="1" applyBorder="1" applyAlignment="1">
      <alignment horizontal="center"/>
    </xf>
    <xf numFmtId="175" fontId="49" fillId="10" borderId="14" xfId="8" applyNumberFormat="1" applyFont="1" applyFill="1" applyAlignment="1">
      <alignment horizontal="right" vertical="distributed"/>
    </xf>
    <xf numFmtId="183" fontId="39" fillId="0" borderId="36" xfId="0" applyNumberFormat="1" applyFont="1" applyBorder="1" applyAlignment="1">
      <alignment horizontal="center"/>
    </xf>
    <xf numFmtId="183" fontId="25" fillId="0" borderId="8" xfId="0" applyNumberFormat="1" applyFont="1" applyBorder="1" applyAlignment="1">
      <alignment horizontal="center"/>
    </xf>
    <xf numFmtId="183" fontId="25" fillId="0" borderId="5" xfId="0" applyNumberFormat="1" applyFont="1" applyBorder="1" applyAlignment="1">
      <alignment horizontal="center"/>
    </xf>
    <xf numFmtId="183" fontId="25" fillId="0" borderId="9" xfId="0" applyNumberFormat="1" applyFont="1" applyBorder="1" applyAlignment="1">
      <alignment horizontal="center"/>
    </xf>
    <xf numFmtId="174" fontId="34" fillId="10" borderId="14" xfId="8" applyNumberFormat="1" applyFont="1" applyFill="1" applyAlignment="1">
      <alignment horizontal="right" vertical="distributed"/>
    </xf>
    <xf numFmtId="175" fontId="25" fillId="0" borderId="14" xfId="8" applyNumberFormat="1" applyFont="1" applyAlignment="1">
      <alignment horizontal="right" vertical="distributed"/>
    </xf>
    <xf numFmtId="175" fontId="65" fillId="0" borderId="0" xfId="0" applyNumberFormat="1" applyFont="1"/>
    <xf numFmtId="174" fontId="39" fillId="0" borderId="0" xfId="0" applyNumberFormat="1" applyFont="1" applyAlignment="1">
      <alignment horizontal="center"/>
    </xf>
    <xf numFmtId="174" fontId="42" fillId="0" borderId="0" xfId="0" applyNumberFormat="1" applyFont="1" applyAlignment="1">
      <alignment horizontal="center"/>
    </xf>
    <xf numFmtId="175" fontId="39" fillId="0" borderId="14" xfId="9" applyNumberFormat="1" applyFont="1"/>
    <xf numFmtId="183" fontId="25" fillId="0" borderId="27" xfId="0" applyNumberFormat="1" applyFont="1" applyBorder="1" applyAlignment="1">
      <alignment horizontal="center"/>
    </xf>
    <xf numFmtId="183" fontId="25" fillId="0" borderId="28" xfId="0" applyNumberFormat="1" applyFont="1" applyBorder="1" applyAlignment="1">
      <alignment horizontal="center"/>
    </xf>
    <xf numFmtId="183" fontId="25" fillId="0" borderId="30" xfId="0" applyNumberFormat="1" applyFont="1" applyBorder="1" applyAlignment="1">
      <alignment horizontal="center"/>
    </xf>
    <xf numFmtId="183" fontId="25" fillId="0" borderId="29" xfId="0" applyNumberFormat="1" applyFont="1" applyBorder="1" applyAlignment="1">
      <alignment horizontal="center"/>
    </xf>
    <xf numFmtId="183" fontId="25" fillId="0" borderId="0" xfId="0" applyNumberFormat="1" applyFont="1" applyAlignment="1">
      <alignment horizontal="center"/>
    </xf>
    <xf numFmtId="175" fontId="42" fillId="0" borderId="14" xfId="9" applyNumberFormat="1" applyFont="1"/>
    <xf numFmtId="183" fontId="39" fillId="0" borderId="34" xfId="0" applyNumberFormat="1" applyFont="1" applyBorder="1" applyAlignment="1">
      <alignment horizontal="center"/>
    </xf>
    <xf numFmtId="183" fontId="25" fillId="0" borderId="18" xfId="0" applyNumberFormat="1" applyFont="1" applyBorder="1" applyAlignment="1">
      <alignment horizontal="center"/>
    </xf>
    <xf numFmtId="0" fontId="34" fillId="0" borderId="32" xfId="0" applyFont="1" applyBorder="1"/>
    <xf numFmtId="183" fontId="25" fillId="0" borderId="31" xfId="0" applyNumberFormat="1" applyFont="1" applyBorder="1" applyAlignment="1">
      <alignment horizontal="center"/>
    </xf>
    <xf numFmtId="183" fontId="25" fillId="0" borderId="32" xfId="0" applyNumberFormat="1" applyFont="1" applyBorder="1" applyAlignment="1">
      <alignment horizontal="center"/>
    </xf>
    <xf numFmtId="183" fontId="25" fillId="0" borderId="33" xfId="0" applyNumberFormat="1" applyFont="1" applyBorder="1" applyAlignment="1">
      <alignment horizontal="center"/>
    </xf>
    <xf numFmtId="0" fontId="54" fillId="5" borderId="0" xfId="0" applyFont="1" applyFill="1" applyAlignment="1">
      <alignment horizontal="left" vertical="center"/>
    </xf>
    <xf numFmtId="0" fontId="43" fillId="5" borderId="0" xfId="0" applyFont="1" applyFill="1" applyAlignment="1">
      <alignment horizontal="left"/>
    </xf>
    <xf numFmtId="0" fontId="47" fillId="5" borderId="14" xfId="6" applyFont="1" applyFill="1" applyAlignment="1">
      <alignment horizontal="left" vertical="center"/>
    </xf>
    <xf numFmtId="0" fontId="43" fillId="5" borderId="14" xfId="6" applyFont="1" applyFill="1" applyAlignment="1">
      <alignment horizontal="left" vertical="center"/>
    </xf>
    <xf numFmtId="0" fontId="30" fillId="0" borderId="14" xfId="4"/>
    <xf numFmtId="0" fontId="18" fillId="0" borderId="14" xfId="4" applyFont="1"/>
    <xf numFmtId="187" fontId="20" fillId="4" borderId="14" xfId="4" applyNumberFormat="1" applyFont="1" applyFill="1" applyAlignment="1">
      <alignment horizontal="right"/>
    </xf>
    <xf numFmtId="186" fontId="30" fillId="4" borderId="14" xfId="4" applyNumberFormat="1" applyFill="1" applyAlignment="1">
      <alignment horizontal="right"/>
    </xf>
    <xf numFmtId="187" fontId="20" fillId="0" borderId="14" xfId="4" applyNumberFormat="1" applyFont="1" applyAlignment="1">
      <alignment horizontal="right"/>
    </xf>
    <xf numFmtId="186" fontId="30" fillId="0" borderId="14" xfId="4" applyNumberFormat="1" applyAlignment="1">
      <alignment horizontal="right"/>
    </xf>
    <xf numFmtId="43" fontId="39" fillId="0" borderId="14" xfId="2" applyFont="1" applyBorder="1" applyAlignment="1">
      <alignment vertical="center"/>
    </xf>
    <xf numFmtId="178" fontId="42" fillId="0" borderId="14" xfId="6" applyNumberFormat="1" applyFont="1" applyAlignment="1">
      <alignment vertical="center"/>
    </xf>
    <xf numFmtId="164" fontId="42" fillId="0" borderId="14" xfId="1" applyNumberFormat="1" applyFont="1" applyFill="1" applyBorder="1" applyAlignment="1">
      <alignment horizontal="left" vertical="center"/>
    </xf>
    <xf numFmtId="177" fontId="42" fillId="0" borderId="14" xfId="6" applyNumberFormat="1" applyFont="1" applyAlignment="1">
      <alignment vertical="center"/>
    </xf>
    <xf numFmtId="44" fontId="34" fillId="0" borderId="14" xfId="3" applyFont="1" applyBorder="1" applyAlignment="1">
      <alignment vertical="center"/>
    </xf>
    <xf numFmtId="164" fontId="42" fillId="0" borderId="22" xfId="1" applyNumberFormat="1" applyFont="1" applyFill="1" applyBorder="1" applyAlignment="1">
      <alignment horizontal="left" vertical="center"/>
    </xf>
    <xf numFmtId="179" fontId="34" fillId="0" borderId="23" xfId="6" applyNumberFormat="1" applyFont="1" applyBorder="1" applyAlignment="1">
      <alignment horizontal="center" vertical="center"/>
    </xf>
    <xf numFmtId="164" fontId="42" fillId="0" borderId="26" xfId="1" applyNumberFormat="1" applyFont="1" applyFill="1" applyBorder="1" applyAlignment="1">
      <alignment horizontal="left" vertical="center"/>
    </xf>
    <xf numFmtId="179" fontId="34" fillId="0" borderId="25" xfId="6" applyNumberFormat="1" applyFont="1" applyBorder="1" applyAlignment="1">
      <alignment horizontal="center" vertical="center"/>
    </xf>
    <xf numFmtId="164" fontId="42" fillId="0" borderId="24" xfId="1" applyNumberFormat="1" applyFont="1" applyFill="1" applyBorder="1" applyAlignment="1">
      <alignment horizontal="left" vertical="center"/>
    </xf>
    <xf numFmtId="0" fontId="62" fillId="0" borderId="0" xfId="0" applyFont="1" applyAlignment="1">
      <alignment horizontal="center"/>
    </xf>
    <xf numFmtId="0" fontId="47" fillId="5" borderId="0" xfId="0" applyFont="1" applyFill="1" applyAlignment="1">
      <alignment horizontal="left" vertical="center"/>
    </xf>
    <xf numFmtId="0" fontId="33" fillId="0" borderId="0" xfId="0" applyFont="1" applyAlignment="1">
      <alignment vertical="center"/>
    </xf>
    <xf numFmtId="0" fontId="42" fillId="0" borderId="32" xfId="0" applyFont="1" applyBorder="1" applyAlignment="1">
      <alignment vertical="center"/>
    </xf>
    <xf numFmtId="0" fontId="34" fillId="0" borderId="32" xfId="0" applyFont="1" applyBorder="1" applyAlignment="1">
      <alignment vertical="center"/>
    </xf>
    <xf numFmtId="1" fontId="48" fillId="0" borderId="0" xfId="0" applyNumberFormat="1" applyFont="1" applyAlignment="1">
      <alignment vertical="center"/>
    </xf>
    <xf numFmtId="181" fontId="48" fillId="10" borderId="0" xfId="0" applyNumberFormat="1" applyFont="1" applyFill="1" applyAlignment="1">
      <alignment vertical="center"/>
    </xf>
    <xf numFmtId="174" fontId="48" fillId="10" borderId="0" xfId="0" applyNumberFormat="1" applyFont="1" applyFill="1" applyAlignment="1">
      <alignment vertical="center"/>
    </xf>
    <xf numFmtId="175" fontId="48" fillId="10" borderId="0" xfId="0" applyNumberFormat="1" applyFont="1" applyFill="1" applyAlignment="1">
      <alignment vertical="center"/>
    </xf>
    <xf numFmtId="0" fontId="38" fillId="7" borderId="0" xfId="0" applyFont="1" applyFill="1"/>
    <xf numFmtId="0" fontId="39" fillId="7" borderId="0" xfId="0" applyFont="1" applyFill="1"/>
    <xf numFmtId="0" fontId="39" fillId="7" borderId="0" xfId="0" applyFont="1" applyFill="1" applyAlignment="1">
      <alignment horizontal="center"/>
    </xf>
    <xf numFmtId="189" fontId="34" fillId="0" borderId="0" xfId="0" applyNumberFormat="1" applyFont="1" applyAlignment="1">
      <alignment horizontal="right"/>
    </xf>
    <xf numFmtId="0" fontId="25" fillId="0" borderId="32" xfId="0" applyFont="1" applyBorder="1" applyAlignment="1">
      <alignment horizontal="left" indent="1"/>
    </xf>
    <xf numFmtId="175" fontId="34" fillId="0" borderId="0" xfId="0" applyNumberFormat="1" applyFont="1" applyAlignment="1">
      <alignment horizontal="right"/>
    </xf>
    <xf numFmtId="181" fontId="42" fillId="0" borderId="28" xfId="0" applyNumberFormat="1" applyFont="1" applyBorder="1" applyAlignment="1">
      <alignment horizontal="right"/>
    </xf>
    <xf numFmtId="0" fontId="67" fillId="0" borderId="0" xfId="0" applyFont="1"/>
    <xf numFmtId="181" fontId="25" fillId="0" borderId="0" xfId="0" applyNumberFormat="1" applyFont="1"/>
    <xf numFmtId="174" fontId="25" fillId="0" borderId="0" xfId="0" applyNumberFormat="1" applyFont="1"/>
    <xf numFmtId="188" fontId="25" fillId="0" borderId="0" xfId="0" applyNumberFormat="1" applyFont="1"/>
    <xf numFmtId="173" fontId="25" fillId="0" borderId="0" xfId="0" applyNumberFormat="1" applyFont="1"/>
    <xf numFmtId="175" fontId="42" fillId="0" borderId="28" xfId="0" applyNumberFormat="1" applyFont="1" applyBorder="1" applyAlignment="1">
      <alignment vertical="center"/>
    </xf>
    <xf numFmtId="0" fontId="67" fillId="0" borderId="32" xfId="0" applyFont="1" applyBorder="1"/>
    <xf numFmtId="181" fontId="25" fillId="0" borderId="32" xfId="0" applyNumberFormat="1" applyFont="1" applyBorder="1"/>
    <xf numFmtId="9" fontId="39" fillId="0" borderId="0" xfId="0" applyNumberFormat="1" applyFont="1"/>
    <xf numFmtId="0" fontId="68" fillId="0" borderId="0" xfId="0" applyFont="1"/>
    <xf numFmtId="181" fontId="39" fillId="0" borderId="0" xfId="0" applyNumberFormat="1" applyFont="1"/>
    <xf numFmtId="0" fontId="68" fillId="0" borderId="28" xfId="0" applyFont="1" applyBorder="1"/>
    <xf numFmtId="0" fontId="25" fillId="0" borderId="28" xfId="0" applyFont="1" applyBorder="1"/>
    <xf numFmtId="181" fontId="39" fillId="0" borderId="28" xfId="0" applyNumberFormat="1" applyFont="1" applyBorder="1"/>
    <xf numFmtId="0" fontId="38" fillId="0" borderId="0" xfId="0" applyFont="1"/>
    <xf numFmtId="0" fontId="39" fillId="0" borderId="0" xfId="0" applyFont="1" applyAlignment="1">
      <alignment horizontal="center"/>
    </xf>
    <xf numFmtId="173" fontId="39" fillId="0" borderId="32" xfId="5" applyNumberFormat="1" applyFont="1" applyBorder="1" applyAlignment="1">
      <alignment horizontal="center"/>
    </xf>
    <xf numFmtId="173" fontId="46" fillId="0" borderId="32" xfId="5" applyNumberFormat="1" applyFont="1" applyBorder="1" applyAlignment="1">
      <alignment horizontal="center"/>
    </xf>
    <xf numFmtId="175" fontId="39" fillId="0" borderId="35" xfId="9" applyNumberFormat="1" applyFont="1" applyBorder="1"/>
    <xf numFmtId="175" fontId="46" fillId="0" borderId="35" xfId="9" applyNumberFormat="1" applyFont="1" applyBorder="1"/>
    <xf numFmtId="0" fontId="69" fillId="0" borderId="0" xfId="0" applyFont="1"/>
    <xf numFmtId="0" fontId="57" fillId="0" borderId="0" xfId="0" applyFont="1" applyAlignment="1">
      <alignment horizontal="right" vertical="distributed" textRotation="90"/>
    </xf>
    <xf numFmtId="181" fontId="39" fillId="0" borderId="32" xfId="0" applyNumberFormat="1" applyFont="1" applyBorder="1" applyAlignment="1">
      <alignment horizontal="center"/>
    </xf>
    <xf numFmtId="181" fontId="46" fillId="0" borderId="32" xfId="0" applyNumberFormat="1" applyFont="1" applyBorder="1" applyAlignment="1">
      <alignment horizontal="center"/>
    </xf>
    <xf numFmtId="180" fontId="49" fillId="10" borderId="0" xfId="0" applyNumberFormat="1" applyFont="1" applyFill="1" applyAlignment="1">
      <alignment vertical="center"/>
    </xf>
    <xf numFmtId="188" fontId="49" fillId="10" borderId="0" xfId="0" applyNumberFormat="1" applyFont="1" applyFill="1" applyAlignment="1">
      <alignment vertical="center"/>
    </xf>
    <xf numFmtId="177" fontId="48" fillId="10" borderId="0" xfId="0" applyNumberFormat="1" applyFont="1" applyFill="1" applyAlignment="1">
      <alignment vertical="center"/>
    </xf>
    <xf numFmtId="0" fontId="39" fillId="5" borderId="0" xfId="0" applyFont="1" applyFill="1" applyAlignment="1">
      <alignment horizontal="center"/>
    </xf>
    <xf numFmtId="0" fontId="38" fillId="5" borderId="0" xfId="0" applyFont="1" applyFill="1"/>
    <xf numFmtId="0" fontId="39" fillId="5" borderId="0" xfId="0" applyFont="1" applyFill="1"/>
    <xf numFmtId="0" fontId="38" fillId="5" borderId="0" xfId="0" applyFont="1" applyFill="1" applyAlignment="1">
      <alignment horizontal="center"/>
    </xf>
    <xf numFmtId="0" fontId="68" fillId="0" borderId="14" xfId="0" applyFont="1" applyBorder="1"/>
    <xf numFmtId="181" fontId="0" fillId="0" borderId="0" xfId="0" applyNumberFormat="1"/>
    <xf numFmtId="183" fontId="48" fillId="10" borderId="0" xfId="0" applyNumberFormat="1" applyFont="1" applyFill="1" applyAlignment="1">
      <alignment vertical="center"/>
    </xf>
    <xf numFmtId="181" fontId="25" fillId="0" borderId="14" xfId="0" applyNumberFormat="1" applyFont="1" applyBorder="1"/>
    <xf numFmtId="180" fontId="25" fillId="0" borderId="0" xfId="0" applyNumberFormat="1" applyFont="1"/>
    <xf numFmtId="175" fontId="42" fillId="0" borderId="14" xfId="0" applyNumberFormat="1" applyFont="1" applyBorder="1" applyAlignment="1">
      <alignment vertical="center"/>
    </xf>
    <xf numFmtId="188" fontId="25" fillId="0" borderId="32" xfId="0" applyNumberFormat="1" applyFont="1" applyBorder="1"/>
    <xf numFmtId="181" fontId="0" fillId="0" borderId="32" xfId="0" applyNumberFormat="1" applyBorder="1"/>
    <xf numFmtId="44" fontId="25" fillId="0" borderId="28" xfId="3" applyFont="1" applyBorder="1" applyAlignment="1">
      <alignment horizontal="center"/>
    </xf>
    <xf numFmtId="44" fontId="25" fillId="0" borderId="0" xfId="3" applyFont="1" applyAlignment="1">
      <alignment horizontal="center"/>
    </xf>
    <xf numFmtId="44" fontId="25" fillId="0" borderId="27" xfId="3" applyFont="1" applyBorder="1" applyAlignment="1">
      <alignment horizontal="center"/>
    </xf>
    <xf numFmtId="44" fontId="25" fillId="0" borderId="29" xfId="3" applyFont="1" applyBorder="1" applyAlignment="1">
      <alignment horizontal="center"/>
    </xf>
    <xf numFmtId="44" fontId="25" fillId="0" borderId="30" xfId="3" applyFont="1" applyBorder="1" applyAlignment="1">
      <alignment horizontal="center"/>
    </xf>
    <xf numFmtId="44" fontId="39" fillId="0" borderId="34" xfId="3" applyFont="1" applyBorder="1" applyAlignment="1">
      <alignment horizontal="center"/>
    </xf>
    <xf numFmtId="44" fontId="25" fillId="0" borderId="18" xfId="3" applyFont="1" applyBorder="1" applyAlignment="1">
      <alignment horizontal="center"/>
    </xf>
    <xf numFmtId="44" fontId="25" fillId="0" borderId="31" xfId="3" applyFont="1" applyBorder="1" applyAlignment="1">
      <alignment horizontal="center"/>
    </xf>
    <xf numFmtId="44" fontId="25" fillId="0" borderId="32" xfId="3" applyFont="1" applyBorder="1" applyAlignment="1">
      <alignment horizontal="center"/>
    </xf>
    <xf numFmtId="44" fontId="25" fillId="0" borderId="33" xfId="3" applyFont="1" applyBorder="1" applyAlignment="1">
      <alignment horizontal="center"/>
    </xf>
    <xf numFmtId="44" fontId="25" fillId="0" borderId="37" xfId="3" applyFont="1" applyBorder="1" applyAlignment="1">
      <alignment horizontal="center"/>
    </xf>
    <xf numFmtId="44" fontId="25" fillId="0" borderId="38" xfId="3" applyFont="1" applyBorder="1" applyAlignment="1">
      <alignment horizontal="center"/>
    </xf>
    <xf numFmtId="44" fontId="25" fillId="0" borderId="39" xfId="3" applyFont="1" applyBorder="1" applyAlignment="1">
      <alignment horizontal="center"/>
    </xf>
    <xf numFmtId="44" fontId="25" fillId="0" borderId="40" xfId="3" applyFont="1" applyBorder="1" applyAlignment="1">
      <alignment horizontal="center"/>
    </xf>
    <xf numFmtId="44" fontId="25" fillId="0" borderId="41" xfId="3" applyFont="1" applyBorder="1" applyAlignment="1">
      <alignment horizontal="center"/>
    </xf>
    <xf numFmtId="44" fontId="25" fillId="0" borderId="42" xfId="3" applyFont="1" applyBorder="1" applyAlignment="1">
      <alignment horizontal="center"/>
    </xf>
    <xf numFmtId="44" fontId="25" fillId="0" borderId="43" xfId="3" applyFont="1" applyBorder="1" applyAlignment="1">
      <alignment horizontal="center"/>
    </xf>
    <xf numFmtId="44" fontId="25" fillId="0" borderId="44" xfId="3" applyFont="1" applyBorder="1" applyAlignment="1">
      <alignment horizontal="center"/>
    </xf>
    <xf numFmtId="10" fontId="46" fillId="0" borderId="32" xfId="1" applyNumberFormat="1" applyFont="1" applyBorder="1" applyAlignment="1">
      <alignment horizontal="center"/>
    </xf>
    <xf numFmtId="10" fontId="39" fillId="0" borderId="32" xfId="1" applyNumberFormat="1" applyFont="1" applyBorder="1" applyAlignment="1">
      <alignment horizontal="center"/>
    </xf>
    <xf numFmtId="181" fontId="42" fillId="0" borderId="14" xfId="0" applyNumberFormat="1" applyFont="1" applyBorder="1" applyAlignment="1">
      <alignment horizontal="right"/>
    </xf>
    <xf numFmtId="175" fontId="34" fillId="0" borderId="14" xfId="0" applyNumberFormat="1" applyFont="1" applyBorder="1" applyAlignment="1">
      <alignment horizontal="right"/>
    </xf>
    <xf numFmtId="0" fontId="11" fillId="0" borderId="14" xfId="0" applyFont="1" applyBorder="1" applyAlignment="1">
      <alignment horizontal="center"/>
    </xf>
    <xf numFmtId="0" fontId="12" fillId="0" borderId="14" xfId="0" applyFont="1" applyBorder="1"/>
    <xf numFmtId="166" fontId="14" fillId="0" borderId="14" xfId="0" applyNumberFormat="1" applyFont="1" applyBorder="1"/>
    <xf numFmtId="9" fontId="16" fillId="0" borderId="14" xfId="0" applyNumberFormat="1" applyFont="1" applyBorder="1"/>
    <xf numFmtId="0" fontId="14" fillId="0" borderId="14" xfId="0" applyFont="1" applyBorder="1"/>
    <xf numFmtId="0" fontId="13" fillId="0" borderId="14" xfId="0" applyFont="1" applyBorder="1"/>
    <xf numFmtId="166" fontId="10" fillId="0" borderId="14" xfId="0" applyNumberFormat="1" applyFont="1" applyBorder="1"/>
    <xf numFmtId="10" fontId="13" fillId="0" borderId="14" xfId="0" applyNumberFormat="1" applyFont="1" applyBorder="1"/>
    <xf numFmtId="7" fontId="10" fillId="0" borderId="14" xfId="0" applyNumberFormat="1" applyFont="1" applyBorder="1"/>
    <xf numFmtId="10" fontId="10" fillId="0" borderId="14" xfId="0" applyNumberFormat="1" applyFont="1" applyBorder="1"/>
    <xf numFmtId="0" fontId="9" fillId="0" borderId="14" xfId="0" applyFont="1" applyBorder="1"/>
    <xf numFmtId="0" fontId="14" fillId="0" borderId="14" xfId="0" applyFont="1" applyBorder="1" applyAlignment="1">
      <alignment horizontal="right"/>
    </xf>
    <xf numFmtId="9" fontId="14" fillId="0" borderId="14" xfId="0" applyNumberFormat="1" applyFont="1" applyBorder="1"/>
    <xf numFmtId="168" fontId="14" fillId="0" borderId="14" xfId="0" applyNumberFormat="1" applyFont="1" applyBorder="1"/>
    <xf numFmtId="9" fontId="12" fillId="0" borderId="14" xfId="0" applyNumberFormat="1" applyFont="1" applyBorder="1"/>
    <xf numFmtId="169" fontId="10" fillId="0" borderId="14" xfId="0" applyNumberFormat="1" applyFont="1" applyBorder="1"/>
    <xf numFmtId="0" fontId="11" fillId="0" borderId="14" xfId="0" applyFont="1" applyBorder="1" applyAlignment="1">
      <alignment horizontal="left"/>
    </xf>
    <xf numFmtId="165" fontId="11" fillId="0" borderId="14" xfId="0" applyNumberFormat="1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7" fontId="13" fillId="0" borderId="14" xfId="0" applyNumberFormat="1" applyFont="1" applyBorder="1"/>
    <xf numFmtId="9" fontId="13" fillId="0" borderId="14" xfId="0" applyNumberFormat="1" applyFont="1" applyBorder="1"/>
    <xf numFmtId="8" fontId="10" fillId="0" borderId="14" xfId="0" applyNumberFormat="1" applyFont="1" applyBorder="1"/>
    <xf numFmtId="171" fontId="10" fillId="0" borderId="14" xfId="0" applyNumberFormat="1" applyFont="1" applyBorder="1"/>
    <xf numFmtId="166" fontId="12" fillId="0" borderId="14" xfId="0" applyNumberFormat="1" applyFont="1" applyBorder="1"/>
    <xf numFmtId="7" fontId="14" fillId="0" borderId="14" xfId="0" applyNumberFormat="1" applyFont="1" applyBorder="1"/>
    <xf numFmtId="168" fontId="13" fillId="0" borderId="14" xfId="0" applyNumberFormat="1" applyFont="1" applyBorder="1"/>
    <xf numFmtId="10" fontId="12" fillId="0" borderId="14" xfId="0" applyNumberFormat="1" applyFont="1" applyBorder="1"/>
    <xf numFmtId="0" fontId="13" fillId="0" borderId="14" xfId="0" applyFont="1" applyBorder="1" applyAlignment="1">
      <alignment horizontal="right"/>
    </xf>
    <xf numFmtId="168" fontId="10" fillId="0" borderId="14" xfId="0" applyNumberFormat="1" applyFont="1" applyBorder="1"/>
    <xf numFmtId="168" fontId="12" fillId="0" borderId="14" xfId="0" applyNumberFormat="1" applyFont="1" applyBorder="1"/>
    <xf numFmtId="0" fontId="28" fillId="0" borderId="0" xfId="0" applyFont="1"/>
    <xf numFmtId="0" fontId="2" fillId="0" borderId="14" xfId="10"/>
    <xf numFmtId="0" fontId="2" fillId="0" borderId="32" xfId="10" applyBorder="1"/>
    <xf numFmtId="172" fontId="0" fillId="0" borderId="0" xfId="0" applyNumberFormat="1"/>
    <xf numFmtId="0" fontId="42" fillId="0" borderId="0" xfId="0" applyFont="1" applyAlignment="1">
      <alignment vertical="center"/>
    </xf>
    <xf numFmtId="44" fontId="0" fillId="0" borderId="0" xfId="3" applyFont="1"/>
    <xf numFmtId="44" fontId="0" fillId="0" borderId="32" xfId="0" applyNumberFormat="1" applyBorder="1"/>
    <xf numFmtId="172" fontId="70" fillId="0" borderId="14" xfId="10" applyNumberFormat="1" applyFont="1" applyAlignment="1">
      <alignment horizontal="left"/>
    </xf>
    <xf numFmtId="9" fontId="70" fillId="0" borderId="14" xfId="10" applyNumberFormat="1" applyFont="1"/>
    <xf numFmtId="172" fontId="70" fillId="0" borderId="32" xfId="10" applyNumberFormat="1" applyFont="1" applyBorder="1" applyAlignment="1">
      <alignment horizontal="left"/>
    </xf>
    <xf numFmtId="44" fontId="0" fillId="0" borderId="0" xfId="0" applyNumberFormat="1"/>
    <xf numFmtId="0" fontId="2" fillId="0" borderId="14" xfId="14"/>
    <xf numFmtId="44" fontId="0" fillId="0" borderId="14" xfId="0" applyNumberFormat="1" applyBorder="1"/>
    <xf numFmtId="44" fontId="28" fillId="0" borderId="0" xfId="0" applyNumberFormat="1" applyFont="1"/>
    <xf numFmtId="172" fontId="3" fillId="0" borderId="14" xfId="14" applyNumberFormat="1" applyFont="1" applyAlignment="1">
      <alignment horizontal="left"/>
    </xf>
    <xf numFmtId="0" fontId="28" fillId="0" borderId="32" xfId="0" applyFont="1" applyBorder="1"/>
    <xf numFmtId="0" fontId="3" fillId="0" borderId="14" xfId="14" applyFont="1"/>
    <xf numFmtId="0" fontId="3" fillId="0" borderId="32" xfId="14" applyFont="1" applyBorder="1"/>
    <xf numFmtId="9" fontId="3" fillId="0" borderId="14" xfId="14" applyNumberFormat="1" applyFont="1"/>
    <xf numFmtId="172" fontId="3" fillId="0" borderId="14" xfId="14" applyNumberFormat="1" applyFont="1" applyAlignment="1">
      <alignment horizontal="right"/>
    </xf>
    <xf numFmtId="9" fontId="3" fillId="0" borderId="32" xfId="14" applyNumberFormat="1" applyFont="1" applyBorder="1"/>
    <xf numFmtId="0" fontId="3" fillId="0" borderId="14" xfId="14" applyFont="1" applyAlignment="1">
      <alignment horizontal="left"/>
    </xf>
    <xf numFmtId="0" fontId="28" fillId="0" borderId="32" xfId="14" applyFont="1" applyBorder="1"/>
    <xf numFmtId="0" fontId="2" fillId="0" borderId="32" xfId="14" applyBorder="1"/>
    <xf numFmtId="44" fontId="2" fillId="0" borderId="14" xfId="14" applyNumberFormat="1"/>
    <xf numFmtId="0" fontId="34" fillId="0" borderId="14" xfId="0" applyFont="1" applyBorder="1" applyAlignment="1">
      <alignment vertical="center"/>
    </xf>
    <xf numFmtId="0" fontId="3" fillId="0" borderId="32" xfId="14" applyFont="1" applyBorder="1" applyAlignment="1">
      <alignment horizontal="right"/>
    </xf>
    <xf numFmtId="1" fontId="28" fillId="0" borderId="0" xfId="0" applyNumberFormat="1" applyFont="1"/>
    <xf numFmtId="10" fontId="0" fillId="0" borderId="0" xfId="0" applyNumberFormat="1"/>
    <xf numFmtId="164" fontId="70" fillId="0" borderId="14" xfId="10" applyNumberFormat="1" applyFont="1"/>
    <xf numFmtId="164" fontId="70" fillId="0" borderId="32" xfId="10" applyNumberFormat="1" applyFont="1" applyBorder="1"/>
    <xf numFmtId="164" fontId="0" fillId="0" borderId="0" xfId="0" applyNumberFormat="1"/>
    <xf numFmtId="1" fontId="28" fillId="0" borderId="32" xfId="0" applyNumberFormat="1" applyFont="1" applyBorder="1"/>
    <xf numFmtId="0" fontId="28" fillId="0" borderId="14" xfId="0" applyFont="1" applyBorder="1"/>
    <xf numFmtId="1" fontId="0" fillId="0" borderId="32" xfId="0" applyNumberFormat="1" applyBorder="1"/>
    <xf numFmtId="0" fontId="25" fillId="0" borderId="0" xfId="0" applyFont="1" applyAlignment="1">
      <alignment horizontal="left"/>
    </xf>
    <xf numFmtId="190" fontId="25" fillId="0" borderId="0" xfId="0" applyNumberFormat="1" applyFont="1"/>
    <xf numFmtId="190" fontId="42" fillId="0" borderId="14" xfId="3" applyNumberFormat="1" applyFont="1" applyBorder="1" applyAlignment="1">
      <alignment vertical="center"/>
    </xf>
    <xf numFmtId="173" fontId="39" fillId="0" borderId="14" xfId="6" applyNumberFormat="1" applyFont="1" applyAlignment="1">
      <alignment horizontal="center" vertical="center"/>
    </xf>
    <xf numFmtId="0" fontId="49" fillId="0" borderId="0" xfId="0" applyFont="1" applyAlignment="1">
      <alignment horizontal="center"/>
    </xf>
    <xf numFmtId="190" fontId="49" fillId="0" borderId="14" xfId="3" applyNumberFormat="1" applyFont="1" applyBorder="1" applyAlignment="1">
      <alignment vertical="center"/>
    </xf>
    <xf numFmtId="173" fontId="49" fillId="0" borderId="14" xfId="6" applyNumberFormat="1" applyFont="1" applyAlignment="1">
      <alignment horizontal="center" vertical="center"/>
    </xf>
    <xf numFmtId="178" fontId="45" fillId="10" borderId="14" xfId="6" applyNumberFormat="1" applyFont="1" applyFill="1" applyAlignment="1">
      <alignment vertical="center"/>
    </xf>
    <xf numFmtId="0" fontId="28" fillId="10" borderId="0" xfId="0" applyFont="1" applyFill="1"/>
    <xf numFmtId="177" fontId="45" fillId="10" borderId="0" xfId="0" applyNumberFormat="1" applyFont="1" applyFill="1" applyAlignment="1">
      <alignment vertical="center"/>
    </xf>
    <xf numFmtId="172" fontId="70" fillId="0" borderId="14" xfId="10" applyNumberFormat="1" applyFont="1" applyAlignment="1">
      <alignment horizontal="right"/>
    </xf>
    <xf numFmtId="190" fontId="0" fillId="0" borderId="0" xfId="3" applyNumberFormat="1" applyFont="1"/>
    <xf numFmtId="0" fontId="71" fillId="0" borderId="14" xfId="0" applyFont="1" applyBorder="1"/>
    <xf numFmtId="190" fontId="0" fillId="0" borderId="32" xfId="0" applyNumberFormat="1" applyBorder="1"/>
    <xf numFmtId="190" fontId="0" fillId="0" borderId="0" xfId="0" applyNumberFormat="1"/>
    <xf numFmtId="9" fontId="71" fillId="0" borderId="0" xfId="0" applyNumberFormat="1" applyFont="1"/>
    <xf numFmtId="0" fontId="1" fillId="0" borderId="0" xfId="0" applyFont="1"/>
    <xf numFmtId="0" fontId="1" fillId="0" borderId="14" xfId="0" applyFont="1" applyBorder="1"/>
    <xf numFmtId="0" fontId="1" fillId="0" borderId="32" xfId="0" applyFont="1" applyBorder="1"/>
    <xf numFmtId="190" fontId="28" fillId="0" borderId="0" xfId="0" applyNumberFormat="1" applyFont="1"/>
    <xf numFmtId="190" fontId="0" fillId="0" borderId="0" xfId="1" applyNumberFormat="1" applyFont="1"/>
    <xf numFmtId="0" fontId="28" fillId="0" borderId="45" xfId="0" applyFont="1" applyBorder="1"/>
    <xf numFmtId="0" fontId="28" fillId="0" borderId="31" xfId="0" applyFont="1" applyBorder="1"/>
    <xf numFmtId="9" fontId="28" fillId="0" borderId="33" xfId="1" applyFont="1" applyBorder="1"/>
    <xf numFmtId="0" fontId="28" fillId="0" borderId="46" xfId="0" applyFont="1" applyBorder="1"/>
    <xf numFmtId="43" fontId="72" fillId="0" borderId="47" xfId="2" applyFont="1" applyBorder="1" applyAlignment="1">
      <alignment horizontal="right"/>
    </xf>
    <xf numFmtId="0" fontId="73" fillId="0" borderId="14" xfId="0" applyFont="1" applyBorder="1"/>
    <xf numFmtId="0" fontId="73" fillId="0" borderId="0" xfId="0" applyFont="1"/>
    <xf numFmtId="9" fontId="73" fillId="0" borderId="0" xfId="1" applyFont="1"/>
    <xf numFmtId="167" fontId="3" fillId="0" borderId="0" xfId="0" applyNumberFormat="1" applyFont="1"/>
    <xf numFmtId="1" fontId="3" fillId="0" borderId="0" xfId="0" applyNumberFormat="1" applyFont="1"/>
    <xf numFmtId="0" fontId="9" fillId="0" borderId="28" xfId="0" applyFont="1" applyBorder="1"/>
    <xf numFmtId="0" fontId="3" fillId="0" borderId="28" xfId="0" applyFont="1" applyBorder="1"/>
    <xf numFmtId="167" fontId="3" fillId="0" borderId="28" xfId="0" applyNumberFormat="1" applyFont="1" applyBorder="1"/>
    <xf numFmtId="9" fontId="3" fillId="0" borderId="14" xfId="17" applyNumberFormat="1" applyFont="1"/>
    <xf numFmtId="0" fontId="3" fillId="10" borderId="0" xfId="0" applyFont="1" applyFill="1"/>
    <xf numFmtId="9" fontId="74" fillId="0" borderId="14" xfId="17" applyNumberFormat="1" applyFont="1"/>
    <xf numFmtId="9" fontId="9" fillId="0" borderId="14" xfId="17" applyNumberFormat="1" applyFont="1"/>
    <xf numFmtId="173" fontId="9" fillId="0" borderId="14" xfId="17" applyNumberFormat="1" applyFont="1"/>
    <xf numFmtId="173" fontId="3" fillId="0" borderId="14" xfId="17" applyNumberFormat="1" applyFont="1"/>
    <xf numFmtId="9" fontId="3" fillId="0" borderId="18" xfId="17" applyNumberFormat="1" applyFont="1" applyBorder="1"/>
    <xf numFmtId="9" fontId="3" fillId="0" borderId="32" xfId="17" applyNumberFormat="1" applyFont="1" applyBorder="1"/>
    <xf numFmtId="9" fontId="3" fillId="0" borderId="33" xfId="17" applyNumberFormat="1" applyFont="1" applyBorder="1"/>
    <xf numFmtId="9" fontId="3" fillId="0" borderId="27" xfId="17" applyNumberFormat="1" applyFont="1" applyBorder="1"/>
    <xf numFmtId="9" fontId="3" fillId="0" borderId="28" xfId="17" applyNumberFormat="1" applyFont="1" applyBorder="1"/>
    <xf numFmtId="9" fontId="3" fillId="0" borderId="29" xfId="17" applyNumberFormat="1" applyFont="1" applyBorder="1"/>
    <xf numFmtId="9" fontId="3" fillId="0" borderId="30" xfId="17" applyNumberFormat="1" applyFont="1" applyBorder="1"/>
    <xf numFmtId="9" fontId="3" fillId="0" borderId="31" xfId="17" applyNumberFormat="1" applyFont="1" applyBorder="1"/>
    <xf numFmtId="174" fontId="33" fillId="0" borderId="14" xfId="5" applyNumberFormat="1" applyFont="1" applyFill="1" applyBorder="1" applyAlignment="1">
      <alignment horizontal="left" vertical="center"/>
    </xf>
    <xf numFmtId="1" fontId="50" fillId="0" borderId="14" xfId="0" applyNumberFormat="1" applyFont="1" applyBorder="1"/>
    <xf numFmtId="175" fontId="51" fillId="0" borderId="14" xfId="0" applyNumberFormat="1" applyFont="1" applyBorder="1"/>
    <xf numFmtId="174" fontId="39" fillId="0" borderId="14" xfId="0" applyNumberFormat="1" applyFont="1" applyBorder="1" applyAlignment="1">
      <alignment horizontal="center"/>
    </xf>
    <xf numFmtId="174" fontId="38" fillId="0" borderId="14" xfId="0" applyNumberFormat="1" applyFont="1" applyBorder="1"/>
    <xf numFmtId="174" fontId="39" fillId="0" borderId="14" xfId="0" applyNumberFormat="1" applyFont="1" applyBorder="1"/>
    <xf numFmtId="174" fontId="40" fillId="0" borderId="14" xfId="0" applyNumberFormat="1" applyFont="1" applyBorder="1" applyAlignment="1">
      <alignment horizontal="left" indent="3"/>
    </xf>
    <xf numFmtId="0" fontId="50" fillId="0" borderId="14" xfId="0" applyFont="1" applyBorder="1"/>
    <xf numFmtId="175" fontId="45" fillId="11" borderId="32" xfId="0" applyNumberFormat="1" applyFont="1" applyFill="1" applyBorder="1"/>
    <xf numFmtId="175" fontId="49" fillId="11" borderId="0" xfId="0" applyNumberFormat="1" applyFont="1" applyFill="1"/>
    <xf numFmtId="175" fontId="75" fillId="0" borderId="14" xfId="0" applyNumberFormat="1" applyFont="1" applyBorder="1"/>
    <xf numFmtId="175" fontId="75" fillId="0" borderId="18" xfId="0" applyNumberFormat="1" applyFont="1" applyBorder="1"/>
    <xf numFmtId="175" fontId="40" fillId="0" borderId="0" xfId="0" applyNumberFormat="1" applyFont="1" applyAlignment="1">
      <alignment horizontal="right"/>
    </xf>
    <xf numFmtId="175" fontId="40" fillId="0" borderId="18" xfId="0" applyNumberFormat="1" applyFont="1" applyBorder="1" applyAlignment="1">
      <alignment horizontal="right"/>
    </xf>
    <xf numFmtId="1" fontId="48" fillId="0" borderId="32" xfId="0" applyNumberFormat="1" applyFont="1" applyBorder="1"/>
    <xf numFmtId="1" fontId="48" fillId="0" borderId="33" xfId="0" applyNumberFormat="1" applyFont="1" applyBorder="1"/>
    <xf numFmtId="1" fontId="50" fillId="0" borderId="0" xfId="0" applyNumberFormat="1" applyFont="1"/>
    <xf numFmtId="1" fontId="1" fillId="0" borderId="14" xfId="0" applyNumberFormat="1" applyFont="1" applyBorder="1"/>
    <xf numFmtId="1" fontId="1" fillId="0" borderId="18" xfId="0" applyNumberFormat="1" applyFont="1" applyBorder="1"/>
    <xf numFmtId="174" fontId="40" fillId="8" borderId="14" xfId="5" applyNumberFormat="1" applyFont="1" applyFill="1" applyBorder="1" applyAlignment="1">
      <alignment horizontal="left" vertical="center"/>
    </xf>
    <xf numFmtId="175" fontId="40" fillId="0" borderId="14" xfId="0" applyNumberFormat="1" applyFont="1" applyBorder="1"/>
    <xf numFmtId="175" fontId="40" fillId="0" borderId="18" xfId="0" applyNumberFormat="1" applyFont="1" applyBorder="1"/>
    <xf numFmtId="0" fontId="1" fillId="0" borderId="18" xfId="0" applyFont="1" applyBorder="1"/>
    <xf numFmtId="175" fontId="75" fillId="0" borderId="32" xfId="0" applyNumberFormat="1" applyFont="1" applyBorder="1" applyAlignment="1">
      <alignment horizontal="right"/>
    </xf>
    <xf numFmtId="175" fontId="75" fillId="0" borderId="14" xfId="0" applyNumberFormat="1" applyFont="1" applyBorder="1" applyAlignment="1">
      <alignment horizontal="right"/>
    </xf>
    <xf numFmtId="191" fontId="49" fillId="11" borderId="0" xfId="2" applyNumberFormat="1" applyFont="1" applyFill="1"/>
    <xf numFmtId="191" fontId="45" fillId="11" borderId="32" xfId="2" applyNumberFormat="1" applyFont="1" applyFill="1" applyBorder="1"/>
    <xf numFmtId="164" fontId="49" fillId="11" borderId="0" xfId="1" applyNumberFormat="1" applyFont="1" applyFill="1"/>
    <xf numFmtId="164" fontId="45" fillId="11" borderId="32" xfId="1" applyNumberFormat="1" applyFont="1" applyFill="1" applyBorder="1"/>
    <xf numFmtId="175" fontId="75" fillId="0" borderId="0" xfId="0" applyNumberFormat="1" applyFont="1"/>
    <xf numFmtId="44" fontId="1" fillId="0" borderId="0" xfId="0" applyNumberFormat="1" applyFont="1"/>
    <xf numFmtId="0" fontId="5" fillId="2" borderId="1" xfId="0" applyFont="1" applyFill="1" applyBorder="1" applyAlignment="1">
      <alignment horizontal="center"/>
    </xf>
    <xf numFmtId="0" fontId="63" fillId="0" borderId="18" xfId="0" applyFont="1" applyBorder="1" applyAlignment="1">
      <alignment textRotation="90" wrapText="1"/>
    </xf>
    <xf numFmtId="0" fontId="63" fillId="0" borderId="18" xfId="0" applyFont="1" applyBorder="1" applyAlignment="1">
      <alignment textRotation="90"/>
    </xf>
    <xf numFmtId="0" fontId="13" fillId="0" borderId="14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63" fillId="0" borderId="18" xfId="0" applyFont="1" applyBorder="1" applyAlignment="1">
      <alignment vertical="center" textRotation="90"/>
    </xf>
    <xf numFmtId="0" fontId="42" fillId="0" borderId="32" xfId="0" applyFont="1" applyBorder="1" applyAlignment="1">
      <alignment horizontal="center"/>
    </xf>
    <xf numFmtId="0" fontId="57" fillId="0" borderId="18" xfId="0" applyFont="1" applyBorder="1" applyAlignment="1">
      <alignment horizontal="right" vertical="center" textRotation="90"/>
    </xf>
    <xf numFmtId="44" fontId="46" fillId="0" borderId="0" xfId="3" applyFont="1" applyAlignment="1">
      <alignment horizontal="center" vertical="center"/>
    </xf>
    <xf numFmtId="177" fontId="46" fillId="0" borderId="14" xfId="6" applyNumberFormat="1" applyFont="1" applyAlignment="1">
      <alignment horizontal="center" vertical="center"/>
    </xf>
    <xf numFmtId="0" fontId="46" fillId="0" borderId="14" xfId="6" applyFont="1" applyAlignment="1">
      <alignment horizontal="center" vertical="center"/>
    </xf>
    <xf numFmtId="178" fontId="46" fillId="0" borderId="14" xfId="6" applyNumberFormat="1" applyFont="1" applyAlignment="1">
      <alignment horizontal="center" vertical="center"/>
    </xf>
    <xf numFmtId="173" fontId="46" fillId="0" borderId="14" xfId="6" applyNumberFormat="1" applyFont="1" applyAlignment="1">
      <alignment horizontal="center" vertical="center"/>
    </xf>
    <xf numFmtId="43" fontId="46" fillId="0" borderId="14" xfId="2" applyFont="1" applyBorder="1" applyAlignment="1">
      <alignment horizontal="center" vertical="center"/>
    </xf>
    <xf numFmtId="9" fontId="46" fillId="0" borderId="14" xfId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44" fontId="34" fillId="0" borderId="0" xfId="3" applyFont="1" applyAlignment="1">
      <alignment horizontal="center" vertical="center"/>
    </xf>
    <xf numFmtId="164" fontId="34" fillId="0" borderId="0" xfId="1" applyNumberFormat="1" applyFont="1" applyAlignment="1">
      <alignment horizontal="center" vertical="center"/>
    </xf>
    <xf numFmtId="173" fontId="34" fillId="0" borderId="0" xfId="1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3" fillId="5" borderId="14" xfId="6" applyFont="1" applyFill="1" applyAlignment="1">
      <alignment horizontal="center" vertical="center"/>
    </xf>
    <xf numFmtId="44" fontId="43" fillId="5" borderId="0" xfId="3" applyFont="1" applyFill="1" applyAlignment="1">
      <alignment horizontal="center" vertical="center"/>
    </xf>
    <xf numFmtId="44" fontId="48" fillId="0" borderId="0" xfId="3" applyFont="1" applyAlignment="1">
      <alignment horizontal="center" vertical="center"/>
    </xf>
    <xf numFmtId="177" fontId="48" fillId="0" borderId="14" xfId="6" applyNumberFormat="1" applyFont="1" applyAlignment="1">
      <alignment horizontal="center" vertical="center"/>
    </xf>
    <xf numFmtId="0" fontId="48" fillId="0" borderId="14" xfId="6" applyFont="1" applyAlignment="1">
      <alignment horizontal="center" vertical="center"/>
    </xf>
    <xf numFmtId="173" fontId="48" fillId="0" borderId="14" xfId="6" applyNumberFormat="1" applyFont="1" applyAlignment="1">
      <alignment horizontal="center" vertical="center"/>
    </xf>
    <xf numFmtId="173" fontId="42" fillId="0" borderId="14" xfId="6" applyNumberFormat="1" applyFont="1" applyAlignment="1">
      <alignment horizontal="center" vertical="center"/>
    </xf>
    <xf numFmtId="9" fontId="42" fillId="0" borderId="14" xfId="6" applyNumberFormat="1" applyFont="1" applyAlignment="1">
      <alignment horizontal="center" vertical="center"/>
    </xf>
    <xf numFmtId="0" fontId="47" fillId="5" borderId="14" xfId="6" applyFont="1" applyFill="1" applyAlignment="1">
      <alignment horizontal="center" vertical="center"/>
    </xf>
    <xf numFmtId="0" fontId="34" fillId="0" borderId="14" xfId="6" applyFont="1" applyAlignment="1">
      <alignment horizontal="center" vertical="center"/>
    </xf>
    <xf numFmtId="38" fontId="34" fillId="0" borderId="14" xfId="6" applyNumberFormat="1" applyFont="1" applyAlignment="1">
      <alignment horizontal="center" vertical="center"/>
    </xf>
    <xf numFmtId="9" fontId="34" fillId="0" borderId="14" xfId="6" applyNumberFormat="1" applyFont="1" applyAlignment="1">
      <alignment horizontal="center" vertical="center"/>
    </xf>
    <xf numFmtId="164" fontId="34" fillId="0" borderId="14" xfId="6" applyNumberFormat="1" applyFont="1" applyAlignment="1">
      <alignment horizontal="center" vertical="center"/>
    </xf>
    <xf numFmtId="44" fontId="42" fillId="0" borderId="23" xfId="3" applyFont="1" applyBorder="1" applyAlignment="1">
      <alignment horizontal="center" vertical="center"/>
    </xf>
    <xf numFmtId="9" fontId="42" fillId="0" borderId="23" xfId="1" applyFont="1" applyBorder="1" applyAlignment="1">
      <alignment horizontal="center" vertical="center"/>
    </xf>
    <xf numFmtId="0" fontId="42" fillId="0" borderId="23" xfId="6" applyFont="1" applyBorder="1" applyAlignment="1">
      <alignment horizontal="center" vertical="center"/>
    </xf>
    <xf numFmtId="178" fontId="42" fillId="0" borderId="23" xfId="6" applyNumberFormat="1" applyFont="1" applyBorder="1" applyAlignment="1">
      <alignment horizontal="center" vertical="center"/>
    </xf>
    <xf numFmtId="173" fontId="42" fillId="0" borderId="23" xfId="6" applyNumberFormat="1" applyFont="1" applyBorder="1" applyAlignment="1">
      <alignment horizontal="center" vertical="center"/>
    </xf>
    <xf numFmtId="43" fontId="39" fillId="0" borderId="23" xfId="2" applyFont="1" applyBorder="1" applyAlignment="1">
      <alignment horizontal="center" vertical="center"/>
    </xf>
    <xf numFmtId="178" fontId="42" fillId="0" borderId="19" xfId="6" applyNumberFormat="1" applyFont="1" applyBorder="1" applyAlignment="1">
      <alignment horizontal="center" vertical="center"/>
    </xf>
    <xf numFmtId="44" fontId="42" fillId="0" borderId="25" xfId="3" applyFont="1" applyBorder="1" applyAlignment="1">
      <alignment horizontal="center" vertical="center"/>
    </xf>
    <xf numFmtId="9" fontId="42" fillId="0" borderId="25" xfId="1" applyFont="1" applyBorder="1" applyAlignment="1">
      <alignment horizontal="center" vertical="center"/>
    </xf>
    <xf numFmtId="0" fontId="42" fillId="0" borderId="25" xfId="6" applyFont="1" applyBorder="1" applyAlignment="1">
      <alignment horizontal="center" vertical="center"/>
    </xf>
    <xf numFmtId="178" fontId="42" fillId="0" borderId="25" xfId="6" applyNumberFormat="1" applyFont="1" applyBorder="1" applyAlignment="1">
      <alignment horizontal="center" vertical="center"/>
    </xf>
    <xf numFmtId="173" fontId="42" fillId="0" borderId="25" xfId="6" applyNumberFormat="1" applyFont="1" applyBorder="1" applyAlignment="1">
      <alignment horizontal="center" vertical="center"/>
    </xf>
    <xf numFmtId="43" fontId="39" fillId="0" borderId="25" xfId="2" applyFont="1" applyBorder="1" applyAlignment="1">
      <alignment horizontal="center" vertical="center"/>
    </xf>
    <xf numFmtId="178" fontId="42" fillId="0" borderId="21" xfId="6" applyNumberFormat="1" applyFont="1" applyBorder="1" applyAlignment="1">
      <alignment horizontal="center" vertical="center"/>
    </xf>
    <xf numFmtId="44" fontId="34" fillId="0" borderId="14" xfId="3" applyFont="1" applyBorder="1" applyAlignment="1">
      <alignment horizontal="center" vertical="center"/>
    </xf>
    <xf numFmtId="9" fontId="34" fillId="0" borderId="14" xfId="1" applyFont="1" applyBorder="1" applyAlignment="1">
      <alignment horizontal="center" vertical="center"/>
    </xf>
    <xf numFmtId="44" fontId="42" fillId="0" borderId="14" xfId="3" applyFont="1" applyBorder="1" applyAlignment="1">
      <alignment horizontal="center" vertical="center"/>
    </xf>
    <xf numFmtId="9" fontId="42" fillId="0" borderId="14" xfId="1" applyFont="1" applyBorder="1" applyAlignment="1">
      <alignment horizontal="center" vertical="center"/>
    </xf>
    <xf numFmtId="178" fontId="42" fillId="0" borderId="14" xfId="3" applyNumberFormat="1" applyFont="1" applyBorder="1" applyAlignment="1">
      <alignment horizontal="center" vertical="center"/>
    </xf>
    <xf numFmtId="43" fontId="39" fillId="0" borderId="14" xfId="2" applyFont="1" applyBorder="1" applyAlignment="1">
      <alignment horizontal="center" vertical="center"/>
    </xf>
    <xf numFmtId="178" fontId="42" fillId="0" borderId="20" xfId="3" applyNumberFormat="1" applyFont="1" applyBorder="1" applyAlignment="1">
      <alignment horizontal="center" vertical="center"/>
    </xf>
    <xf numFmtId="44" fontId="42" fillId="0" borderId="0" xfId="3" applyFont="1" applyAlignment="1">
      <alignment horizontal="center" vertical="center"/>
    </xf>
    <xf numFmtId="179" fontId="34" fillId="0" borderId="14" xfId="6" applyNumberFormat="1" applyFont="1" applyBorder="1" applyAlignment="1">
      <alignment horizontal="center" vertical="center"/>
    </xf>
    <xf numFmtId="0" fontId="42" fillId="0" borderId="14" xfId="6" applyFont="1" applyBorder="1" applyAlignment="1">
      <alignment horizontal="center" vertical="center"/>
    </xf>
    <xf numFmtId="178" fontId="42" fillId="0" borderId="14" xfId="6" applyNumberFormat="1" applyFont="1" applyBorder="1" applyAlignment="1">
      <alignment horizontal="center" vertical="center"/>
    </xf>
    <xf numFmtId="173" fontId="42" fillId="0" borderId="14" xfId="6" applyNumberFormat="1" applyFont="1" applyBorder="1" applyAlignment="1">
      <alignment horizontal="center" vertical="center"/>
    </xf>
    <xf numFmtId="177" fontId="42" fillId="0" borderId="14" xfId="6" applyNumberFormat="1" applyFont="1" applyBorder="1" applyAlignment="1">
      <alignment horizontal="center" vertical="center"/>
    </xf>
    <xf numFmtId="40" fontId="34" fillId="0" borderId="14" xfId="6" applyNumberFormat="1" applyFont="1" applyBorder="1" applyAlignment="1">
      <alignment horizontal="center" vertical="center"/>
    </xf>
    <xf numFmtId="38" fontId="34" fillId="0" borderId="14" xfId="6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/>
    </xf>
    <xf numFmtId="2" fontId="46" fillId="0" borderId="14" xfId="1" applyNumberFormat="1" applyFont="1" applyBorder="1" applyAlignment="1">
      <alignment horizontal="center" vertical="center"/>
    </xf>
    <xf numFmtId="43" fontId="39" fillId="0" borderId="0" xfId="2" applyFont="1" applyAlignment="1">
      <alignment horizontal="center" vertical="center"/>
    </xf>
    <xf numFmtId="9" fontId="42" fillId="0" borderId="0" xfId="1" applyFont="1" applyAlignment="1">
      <alignment horizontal="center" vertical="center"/>
    </xf>
    <xf numFmtId="164" fontId="42" fillId="0" borderId="0" xfId="1" applyNumberFormat="1" applyFont="1" applyAlignment="1">
      <alignment horizontal="left" vertical="center"/>
    </xf>
    <xf numFmtId="178" fontId="42" fillId="0" borderId="0" xfId="3" applyNumberFormat="1" applyFont="1" applyAlignment="1">
      <alignment horizontal="center" vertical="center"/>
    </xf>
    <xf numFmtId="43" fontId="46" fillId="0" borderId="0" xfId="2" applyFont="1" applyAlignment="1">
      <alignment horizontal="center" vertical="center"/>
    </xf>
    <xf numFmtId="9" fontId="46" fillId="0" borderId="0" xfId="1" applyFont="1" applyAlignment="1">
      <alignment horizontal="center" vertical="center"/>
    </xf>
    <xf numFmtId="43" fontId="46" fillId="0" borderId="0" xfId="2" applyFont="1" applyAlignment="1">
      <alignment vertical="center"/>
    </xf>
    <xf numFmtId="0" fontId="6" fillId="0" borderId="1" xfId="0" applyFont="1" applyBorder="1" applyAlignment="1"/>
    <xf numFmtId="0" fontId="6" fillId="0" borderId="14" xfId="0" applyFont="1" applyBorder="1" applyAlignment="1"/>
    <xf numFmtId="0" fontId="0" fillId="0" borderId="14" xfId="0" applyBorder="1" applyAlignment="1"/>
    <xf numFmtId="0" fontId="1" fillId="0" borderId="27" xfId="0" applyFont="1" applyBorder="1"/>
    <xf numFmtId="0" fontId="1" fillId="0" borderId="30" xfId="0" applyFont="1" applyBorder="1"/>
    <xf numFmtId="177" fontId="46" fillId="0" borderId="14" xfId="6" applyNumberFormat="1" applyFont="1" applyBorder="1" applyAlignment="1">
      <alignment horizontal="center" vertical="center"/>
    </xf>
    <xf numFmtId="173" fontId="46" fillId="0" borderId="14" xfId="6" applyNumberFormat="1" applyFont="1" applyBorder="1" applyAlignment="1">
      <alignment horizontal="center" vertical="center"/>
    </xf>
    <xf numFmtId="0" fontId="43" fillId="5" borderId="14" xfId="6" applyFont="1" applyFill="1" applyBorder="1" applyAlignment="1">
      <alignment horizontal="center" vertical="center"/>
    </xf>
    <xf numFmtId="0" fontId="47" fillId="5" borderId="14" xfId="6" applyFont="1" applyFill="1" applyBorder="1" applyAlignment="1">
      <alignment horizontal="center" vertical="center"/>
    </xf>
    <xf numFmtId="9" fontId="42" fillId="0" borderId="14" xfId="6" applyNumberFormat="1" applyFont="1" applyBorder="1" applyAlignment="1">
      <alignment horizontal="center" vertical="center"/>
    </xf>
  </cellXfs>
  <cellStyles count="18">
    <cellStyle name="Comma" xfId="2" builtinId="3"/>
    <cellStyle name="Comma 2 2 2 2" xfId="5" xr:uid="{673E032D-CF5C-4EEA-BB6C-94C377457D1A}"/>
    <cellStyle name="Currency" xfId="3" builtinId="4"/>
    <cellStyle name="Currency 2 2" xfId="13" xr:uid="{B2CFB6F6-D2F9-4C94-B0AD-661C37793AF9}"/>
    <cellStyle name="Normal" xfId="0" builtinId="0"/>
    <cellStyle name="Normal 2" xfId="4" xr:uid="{7D98200B-FE68-49CC-AA78-451BB0D99673}"/>
    <cellStyle name="Normal 3" xfId="14" xr:uid="{6DC71C98-72EE-4B44-8754-D2053692307F}"/>
    <cellStyle name="Normal 3 2" xfId="17" xr:uid="{5F3C138D-72B9-4747-9FE6-BF1BCABF6981}"/>
    <cellStyle name="Normal 4" xfId="12" xr:uid="{D7367518-A06E-4BE0-BCBE-35751F524552}"/>
    <cellStyle name="Normal 5" xfId="10" xr:uid="{C03DA602-181F-4985-81F8-27FA09AEC302}"/>
    <cellStyle name="Normal 6" xfId="15" xr:uid="{167F8B31-88B8-48AA-90BF-5E7B6E32E578}"/>
    <cellStyle name="Normal_Ch03 Pics v1.0" xfId="6" xr:uid="{8D2E80FF-C0FB-4EAC-81E3-5CE31CA0C246}"/>
    <cellStyle name="Normal_PT" xfId="7" xr:uid="{E7FFDD59-CAF6-4757-9652-48FE81AF0A4C}"/>
    <cellStyle name="Pctg" xfId="8" xr:uid="{76873DCB-5814-41D1-B46D-1A78954CD239}"/>
    <cellStyle name="Percent" xfId="1" builtinId="5"/>
    <cellStyle name="Percent 2" xfId="9" xr:uid="{ED50A572-6FF3-4998-821E-F5607E03414C}"/>
    <cellStyle name="Percent 3" xfId="11" xr:uid="{B0E61E9C-2203-4DB7-AC83-A5FF78920C41}"/>
    <cellStyle name="Percent 4" xfId="16" xr:uid="{38F673B0-9D7A-4E2C-969C-2147172B17E6}"/>
  </cellStyles>
  <dxfs count="0"/>
  <tableStyles count="0" defaultTableStyle="TableStyleMedium2" defaultPivotStyle="PivotStyleLight16"/>
  <colors>
    <mruColors>
      <color rgb="FF006600"/>
      <color rgb="FF0000FF"/>
      <color rgb="FF181E9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customXml" Target="../customXml/item2.xml"/><Relationship Id="rId21" Type="http://schemas.openxmlformats.org/officeDocument/2006/relationships/externalLink" Target="externalLinks/externalLink6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29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285393</xdr:colOff>
      <xdr:row>4</xdr:row>
      <xdr:rowOff>152302</xdr:rowOff>
    </xdr:from>
    <xdr:to>
      <xdr:col>13</xdr:col>
      <xdr:colOff>168096</xdr:colOff>
      <xdr:row>8</xdr:row>
      <xdr:rowOff>128568</xdr:rowOff>
    </xdr:to>
    <xdr:pic>
      <xdr:nvPicPr>
        <xdr:cNvPr id="2" name="Picture 1" descr="Luckin Coffee Inc. (LKNCY) Stock Price, Quote, News ...">
          <a:extLst>
            <a:ext uri="{FF2B5EF4-FFF2-40B4-BE49-F238E27FC236}">
              <a16:creationId xmlns:a16="http://schemas.microsoft.com/office/drawing/2014/main" id="{B03BA4FD-B018-A7A8-803C-95CC77AD8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1460" y="1008482"/>
          <a:ext cx="2915007" cy="775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arjunbakre/Downloads/ACQ397SM.xls" TargetMode="External"/><Relationship Id="rId1" Type="http://schemas.openxmlformats.org/officeDocument/2006/relationships/externalLinkPath" Target="/C:/C:/C:/Users/arjunbakre/Downloads/ACQ397SM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LD_Valuation%20v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michaelreiss/Desktop/Charlotte-files/charlotte-files/San%20Francisco/HealthCare/One-Page%20Summaries/DP%20Template/DP%20One%20Pager%20Template.xls" TargetMode="External"/><Relationship Id="rId1" Type="http://schemas.openxmlformats.org/officeDocument/2006/relationships/externalLinkPath" Target="/C:/C:/C:/Users/michaelreiss/Desktop/Charlotte-files/charlotte-files/San%20Francisco/HealthCare/One-Page%20Summaries/DP%20Template/DP%20One%20Pager%20Template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schembrim.LAZARD/Desktop/Barracuda%20Financial%20Model_DRAFT_v108.xlsx" TargetMode="External"/><Relationship Id="rId1" Type="http://schemas.openxmlformats.org/officeDocument/2006/relationships/externalLinkPath" Target="/C:/C:/C:/Users/schembrim.LAZARD/Desktop/Barracuda%20Financial%20Model_DRAFT_v108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BUS-tradingflooruser/Downloads/Garritsen_Model_changes_after_presentation.xlsx" TargetMode="External"/><Relationship Id="rId1" Type="http://schemas.openxmlformats.org/officeDocument/2006/relationships/externalLinkPath" Target="/C:/C:/C:/Users/BUS-tradingflooruser/Downloads/Garritsen_Model_changes_after_presentation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ab%20Equity%20Comps%202009%2002%20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AHM%20Financial%20Excel_v2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High%20Growth%20Summary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arjunbakre/Downloads/Compsv1.xls" TargetMode="External"/><Relationship Id="rId1" Type="http://schemas.openxmlformats.org/officeDocument/2006/relationships/externalLinkPath" Target="/C:/C:/C:/Users/arjunbakre/Downloads/Compsv1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arjunbakre/Downloads/CCS_Equity%20Comps.xls" TargetMode="External"/><Relationship Id="rId1" Type="http://schemas.openxmlformats.org/officeDocument/2006/relationships/externalLinkPath" Target="/C:/C:/C:/Users/arjunbakre/Downloads/CCS_Equity%20Comps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BUS-tradingflooruser/Downloads/Pitch%20Model%20Base_FactSet_v2.xlsx" TargetMode="External"/><Relationship Id="rId1" Type="http://schemas.openxmlformats.org/officeDocument/2006/relationships/externalLinkPath" Target="/C:/C:/C:/Users/BUS-tradingflooruser/Downloads/Pitch%20Model%20Base_FactSet_v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SMD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schembrim.LAZARD/Desktop/Valuation_Biotix.xlsx" TargetMode="External"/><Relationship Id="rId1" Type="http://schemas.openxmlformats.org/officeDocument/2006/relationships/externalLinkPath" Target="/C:/C:/C:/Users/schembrim.LAZARD/Desktop/Valuation_Biotix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engin-labs.m.storage.umich.edu/anshulr/Users/murrayrobertgreen%201/Downloads/MDLZ%20CPB%20vF.xlsx" TargetMode="External"/><Relationship Id="rId1" Type="http://schemas.openxmlformats.org/officeDocument/2006/relationships/externalLinkPath" Target="/C:/engin-labs.m.storage.umich.edu/anshulr/Users/murrayrobertgreen%201/Downloads/MDLZ%20CPB%20vF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BUS-tradingflooruser/Downloads/US_His_Population.xlsx" TargetMode="External"/><Relationship Id="rId1" Type="http://schemas.openxmlformats.org/officeDocument/2006/relationships/externalLinkPath" Target="/C:/C:/C:/Users/BUS-tradingflooruser/Downloads/US_His_Population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michaelreiss/Desktop/cibna.msds.wachovia.net/root/HealthCare%20IB/Healthcare%20CF/Clients%20&amp;%20Prospects/Ameritox/November%202008/Excel/OLD/Ameritox%20Comps_November08_v1.xls" TargetMode="External"/><Relationship Id="rId1" Type="http://schemas.openxmlformats.org/officeDocument/2006/relationships/externalLinkPath" Target="/C:/C:/C:/Users/michaelreiss/Desktop/cibna.msds.wachovia.net/root/HealthCare%20IB/Healthcare%20CF/Clients%20&amp;%20Prospects/Ameritox/November%202008/Excel/OLD/Ameritox%20Comps_November08_v1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Users/BUS-tradingflooruser/Downloads/Transaction%20Comps_05.20.12.xls" TargetMode="External"/><Relationship Id="rId1" Type="http://schemas.openxmlformats.org/officeDocument/2006/relationships/externalLinkPath" Target="/C:/C:/C:/Users/BUS-tradingflooruser/Downloads/Transaction%20Comps_05.20.12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:/C:/C:/Applications/Microsoft%20Excel.app/A:/COMPS.xls" TargetMode="External"/><Relationship Id="rId1" Type="http://schemas.openxmlformats.org/officeDocument/2006/relationships/externalLinkPath" Target="/C:/C:/C:/Applications/Microsoft%20Excel.app/A:/COMP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1601 Detail information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Precedent Transactions"/>
      <sheetName val="Public Comparables"/>
      <sheetName val="Football Field"/>
      <sheetName val="Financials"/>
      <sheetName val="AVP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Output"/>
      <sheetName val="Sheet1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_FDSCACHE__"/>
      <sheetName val="Summary"/>
      <sheetName val="IS"/>
      <sheetName val="Income Statement"/>
      <sheetName val="Revenue Build"/>
      <sheetName val="Medicare Waterfall"/>
      <sheetName val="Medicaid Waterfall"/>
      <sheetName val="STAR Ratings Waterfall"/>
      <sheetName val="Employee Model"/>
      <sheetName val="Enrollment Projections"/>
      <sheetName val="Drivers"/>
      <sheetName val="2015 Drivers"/>
      <sheetName val="2016-2020 Drivers"/>
      <sheetName val="Driver Models"/>
      <sheetName val="CVS 2015B"/>
      <sheetName val="Aetna 2015B"/>
      <sheetName val="2016-2020 CVS.Aetna Contract"/>
      <sheetName val="Other"/>
      <sheetName val="Pipeline"/>
      <sheetName val="Medicare"/>
      <sheetName val="WellCare.MTM"/>
      <sheetName val="PT.MTM"/>
      <sheetName val="Carefirst.MTM"/>
      <sheetName val="CDPHP.MTM"/>
      <sheetName val="Geis.MTM"/>
      <sheetName val="USS.MTM"/>
      <sheetName val="USC.MTM"/>
      <sheetName val="Viva.MTM"/>
      <sheetName val="1.MTM"/>
      <sheetName val="2.MTM"/>
      <sheetName val="3.MTM"/>
      <sheetName val="4.MTM"/>
      <sheetName val="5.MTM"/>
      <sheetName val="Cigna.MTM"/>
      <sheetName val="6.MTM"/>
      <sheetName val="7.MTM"/>
      <sheetName val="8.MTM"/>
      <sheetName val="9.MTM"/>
      <sheetName val="10.MTM"/>
      <sheetName val="11.MTM"/>
      <sheetName val="12.MTM"/>
      <sheetName val="13.MTM"/>
      <sheetName val="14.MTM"/>
      <sheetName val="15.MTM"/>
      <sheetName val="16.MTM"/>
      <sheetName val="Medicaid"/>
      <sheetName val="CDPHP.Med"/>
      <sheetName val="ESI.Med"/>
      <sheetName val="RxR.Med"/>
      <sheetName val="USS.Med"/>
      <sheetName val="UNH.Med"/>
      <sheetName val="1.Med"/>
      <sheetName val="2.Med"/>
      <sheetName val="3.Med"/>
      <sheetName val="4.Med"/>
      <sheetName val="5.Med"/>
      <sheetName val="6.Med"/>
      <sheetName val="7.Med"/>
      <sheetName val="8.Med"/>
      <sheetName val="9.Med"/>
      <sheetName val="10.Med"/>
      <sheetName val="11.Med"/>
      <sheetName val="12.Med"/>
      <sheetName val="13.Med"/>
      <sheetName val="14.Med"/>
      <sheetName val="15.Med"/>
      <sheetName val="16.Med"/>
      <sheetName val="17.Med"/>
      <sheetName val="18.Med"/>
      <sheetName val="19.Med"/>
      <sheetName val="20.Med"/>
      <sheetName val="21.Med"/>
      <sheetName val="22.Med"/>
      <sheetName val="23.Med"/>
      <sheetName val="24.Med"/>
      <sheetName val="25.Med"/>
      <sheetName val="26.Med"/>
      <sheetName val="27.Med"/>
      <sheetName val="28.Med"/>
      <sheetName val="29.Med"/>
      <sheetName val="STAR"/>
      <sheetName val="CVS.STAR"/>
      <sheetName val="AET.STAR"/>
      <sheetName val="BCBS-TN.STAR"/>
      <sheetName val="HS.STAR"/>
      <sheetName val="WC.STAR"/>
      <sheetName val="UNH.STAR"/>
      <sheetName val="USS.STAR"/>
      <sheetName val="ESI.STAR"/>
      <sheetName val="Viva.STAR"/>
      <sheetName val="HEB.STAR"/>
      <sheetName val="SC.STAR"/>
      <sheetName val="Aus.STAR"/>
      <sheetName val="Other.STAR"/>
      <sheetName val="1.STAR"/>
      <sheetName val="2.STAR"/>
      <sheetName val="3.STAR"/>
      <sheetName val="4.STAR"/>
      <sheetName val="5.STAR"/>
      <sheetName val="6.STAR"/>
      <sheetName val="7.STAR"/>
      <sheetName val="8.STAR"/>
      <sheetName val="9.STAR"/>
      <sheetName val="10.STAR"/>
      <sheetName val="11.STAR"/>
      <sheetName val="12.STAR"/>
      <sheetName val="13.STAR"/>
      <sheetName val="14.STAR"/>
      <sheetName val="15.STAR"/>
      <sheetName val="16.STAR"/>
      <sheetName val="17.STAR"/>
      <sheetName val="18.STAR"/>
      <sheetName val="19.STAR"/>
      <sheetName val="20.STAR"/>
      <sheetName val="21.STAR"/>
      <sheetName val="22.STAR"/>
      <sheetName val="15-16 Bridge"/>
      <sheetName val="16-17 Bridge"/>
      <sheetName val="Client Data"/>
      <sheetName val="MP Charts 1.0"/>
      <sheetName val="MP Charts 2.0"/>
      <sheetName val="MP Charts 3.0"/>
      <sheetName val="Customer Concentration"/>
      <sheetName val="Valuation"/>
      <sheetName val="Football Field"/>
      <sheetName val="AVP"/>
      <sheetName val="DCF"/>
      <sheetName val="LBO Summary"/>
      <sheetName val="LBO Statements"/>
      <sheetName val="Valuation Charts"/>
      <sheetName val="Strat. Alt."/>
      <sheetName val="Merger"/>
      <sheetName val="Cash Flow"/>
      <sheetName val="WACC"/>
      <sheetName val="M&amp;A Comps"/>
      <sheetName val="M&amp;A Comps (2)"/>
      <sheetName val="Comps.2"/>
      <sheetName val="Summary P.L"/>
      <sheetName val="Charts"/>
      <sheetName val="Public Comp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_FDSCACHE__"/>
      <sheetName val="inputs"/>
      <sheetName val="Valuation--&gt;"/>
      <sheetName val="FF"/>
      <sheetName val="AVP"/>
      <sheetName val="LBO"/>
      <sheetName val="LBO Output"/>
      <sheetName val="DCF_2015"/>
      <sheetName val="WACC"/>
      <sheetName val="Comps--&gt;"/>
      <sheetName val="Public Comps"/>
      <sheetName val="M&amp;A"/>
      <sheetName val="Financials--&gt;"/>
      <sheetName val="rough_IS"/>
      <sheetName val="WorkingCap"/>
      <sheetName val="Depr."/>
      <sheetName val="Formatted P&amp;L"/>
      <sheetName val="opening_bs"/>
      <sheetName val="Charts--&gt;"/>
      <sheetName val="Revenue Chart"/>
      <sheetName val="Industry"/>
      <sheetName val="M&amp;A Chart"/>
      <sheetName val="Comp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IQ_ChartParameters"/>
      <sheetName val="Inputs"/>
      <sheetName val="Output"/>
      <sheetName val="Template"/>
      <sheetName val="LH"/>
      <sheetName val="DGX"/>
      <sheetName val="SHL"/>
      <sheetName val="BRLI"/>
      <sheetName val="CLRT"/>
      <sheetName val="GHDX"/>
      <sheetName val="GXDX"/>
      <sheetName val="MYGN"/>
      <sheetName val="MDAS"/>
      <sheetName val="ATHN"/>
      <sheetName val="IPCM"/>
      <sheetName val="HMSY"/>
      <sheetName val="ghdx_gxdx output OLD"/>
      <sheetName val="ghdx_gxdx output NEW"/>
      <sheetName val="Cha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harts"/>
      <sheetName val="Fin Profile"/>
      <sheetName val="IS"/>
      <sheetName val="DCF"/>
      <sheetName val="FF"/>
      <sheetName val="LBO Summary"/>
      <sheetName val="LBO Statements"/>
      <sheetName val="Public Compar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ghdx_gxdx output"/>
      <sheetName val="financial charts"/>
      <sheetName val="GHDX"/>
      <sheetName val="GXDX"/>
      <sheetName val="BRLI"/>
      <sheetName val="LH"/>
      <sheetName val="DGX"/>
      <sheetName val="SHL"/>
      <sheetName val="GXDX_IPO"/>
      <sheetName val="MDAS"/>
      <sheetName val="ATHN"/>
      <sheetName val="GTS"/>
      <sheetName val="AHII"/>
      <sheetName val="IPCM"/>
      <sheetName val="SKH"/>
      <sheetName val="WX"/>
      <sheetName val="template_1"/>
      <sheetName val="ENSG"/>
      <sheetName val="VRAD"/>
      <sheetName val="range"/>
      <sheetName val="Template"/>
      <sheetName val="MDRX"/>
      <sheetName val="ECLP"/>
      <sheetName val="HLEX"/>
      <sheetName val="NHWK"/>
      <sheetName val="QSII"/>
      <sheetName val="PSYS"/>
      <sheetName val="HWA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pec. Pharma M&amp;A Precedents"/>
      <sheetName val="SP Comps"/>
      <sheetName val="EB Comps"/>
      <sheetName val="Deal Comps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har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_FDSCACHE__"/>
      <sheetName val="_CIQHiddenCacheSheet"/>
      <sheetName val="Public Comps"/>
      <sheetName val="M&amp;A Transactions Details "/>
      <sheetName val="WACC Calculation"/>
      <sheetName val="WACC"/>
      <sheetName val="M&amp;A Transactions"/>
      <sheetName val="Buyer Strip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mt."/>
      <sheetName val="Balance Sheet"/>
      <sheetName val="Revenue Break-up Pie charts"/>
      <sheetName val="Acquiror Mults"/>
      <sheetName val="Ability to Pay- Summary"/>
      <sheetName val="Football Field"/>
      <sheetName val="Future SP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_FDSCACHE__"/>
      <sheetName val="EV.EBITDA Chart"/>
      <sheetName val="M&amp;A Comps"/>
      <sheetName val="Public Comps"/>
      <sheetName val="DCF"/>
      <sheetName val="WACC"/>
      <sheetName val="AVP"/>
    </sheetNames>
    <sheetDataSet>
      <sheetData sheetId="0" refreshError="1"/>
      <sheetData sheetId="1" refreshError="1"/>
      <sheetData sheetId="2"/>
      <sheetData sheetId="3" refreshError="1"/>
      <sheetData sheetId="4"/>
      <sheetData sheetId="5"/>
      <sheetData sheetId="6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CF"/>
      <sheetName val="Revenue"/>
    </sheetNames>
    <sheetDataSet>
      <sheetData sheetId="0" refreshError="1"/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S HIS POP"/>
      <sheetName val="Fin Profile"/>
      <sheetName val="Rev Breakdown"/>
    </sheetNames>
    <sheetDataSet>
      <sheetData sheetId="0"/>
      <sheetData sheetId="1"/>
      <sheetData sheetId="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dex Chart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Nyco_Brad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UNIVERSE-AF"/>
      <sheetName val="UNIVERSE-MB"/>
      <sheetName val="JM - Coverage List"/>
      <sheetName val="Infrastructure"/>
      <sheetName val="JR-esolutions"/>
      <sheetName val="IT-eSolutions"/>
      <sheetName val="IT Newsletter"/>
      <sheetName val="Value per Consultant"/>
      <sheetName val="JR-FYII"/>
      <sheetName val="Forward Revenue"/>
      <sheetName val="Forward EBITDA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showGridLines="0" zoomScale="89" workbookViewId="0">
      <selection activeCell="P9" sqref="P9"/>
    </sheetView>
  </sheetViews>
  <sheetFormatPr defaultColWidth="14.42578125" defaultRowHeight="15" customHeight="1"/>
  <cols>
    <col min="1" max="1" width="7.42578125" customWidth="1"/>
    <col min="2" max="14" width="8.5703125" customWidth="1"/>
    <col min="15" max="26" width="7.42578125" customWidth="1"/>
    <col min="27" max="28" width="13.5703125" customWidth="1"/>
  </cols>
  <sheetData>
    <row r="1" spans="1:28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2"/>
      <c r="AB1" s="2"/>
    </row>
    <row r="2" spans="1:28" ht="15.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2"/>
    </row>
    <row r="3" spans="1:28" ht="20.45">
      <c r="A3" s="1"/>
      <c r="B3" s="7"/>
      <c r="C3" s="8"/>
      <c r="D3" s="9"/>
      <c r="E3" s="433"/>
      <c r="F3" s="504"/>
      <c r="G3" s="504"/>
      <c r="H3" s="504"/>
      <c r="I3" s="504"/>
      <c r="J3" s="9"/>
      <c r="K3" s="9"/>
      <c r="L3" s="9"/>
      <c r="M3" s="8"/>
      <c r="N3" s="10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2"/>
      <c r="AB3" s="2"/>
    </row>
    <row r="4" spans="1:28" ht="15.6">
      <c r="A4" s="1"/>
      <c r="B4" s="1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2"/>
      <c r="AB4" s="2"/>
    </row>
    <row r="5" spans="1:28" ht="15.6">
      <c r="A5" s="1"/>
      <c r="B5" s="11"/>
      <c r="C5" s="1" t="s">
        <v>0</v>
      </c>
      <c r="D5" s="13" t="s">
        <v>1</v>
      </c>
      <c r="E5" s="1"/>
      <c r="F5" s="1"/>
      <c r="G5" s="1"/>
      <c r="H5" s="1"/>
      <c r="I5" s="1"/>
      <c r="J5" s="1"/>
      <c r="K5" s="1"/>
      <c r="L5" s="1"/>
      <c r="M5" s="1"/>
      <c r="N5" s="1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2"/>
      <c r="AB5" s="2"/>
    </row>
    <row r="6" spans="1:28" ht="15.6">
      <c r="A6" s="1"/>
      <c r="B6" s="1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  <c r="AB6" s="2"/>
    </row>
    <row r="7" spans="1:28" ht="15.6">
      <c r="A7" s="1"/>
      <c r="B7" s="11"/>
      <c r="C7" s="1" t="s">
        <v>2</v>
      </c>
      <c r="D7" s="1" t="s">
        <v>3</v>
      </c>
      <c r="E7" s="1"/>
      <c r="F7" s="1"/>
      <c r="G7" s="1"/>
      <c r="H7" s="1"/>
      <c r="I7" s="1"/>
      <c r="J7" s="1"/>
      <c r="K7" s="1"/>
      <c r="L7" s="1"/>
      <c r="M7" s="1"/>
      <c r="N7" s="1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  <c r="AB7" s="2"/>
    </row>
    <row r="8" spans="1:28" ht="15.6">
      <c r="A8" s="1"/>
      <c r="B8" s="11"/>
      <c r="C8" s="2"/>
      <c r="D8" s="2"/>
      <c r="E8" s="1"/>
      <c r="F8" s="1"/>
      <c r="G8" s="1"/>
      <c r="H8" s="1"/>
      <c r="I8" s="1"/>
      <c r="J8" s="1"/>
      <c r="K8" s="1"/>
      <c r="L8" s="1"/>
      <c r="M8" s="1"/>
      <c r="N8" s="1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  <c r="AB8" s="2"/>
    </row>
    <row r="9" spans="1:28" ht="15.6">
      <c r="A9" s="1"/>
      <c r="B9" s="11"/>
      <c r="C9" s="1" t="s">
        <v>4</v>
      </c>
      <c r="D9" s="1"/>
      <c r="E9" s="1"/>
      <c r="F9" s="389">
        <v>2</v>
      </c>
      <c r="I9" s="1"/>
      <c r="J9" s="1"/>
      <c r="K9" s="1"/>
      <c r="L9" s="1"/>
      <c r="M9" s="1"/>
      <c r="N9" s="1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2"/>
      <c r="AB9" s="2"/>
    </row>
    <row r="10" spans="1:28" ht="15.6">
      <c r="A10" s="1"/>
      <c r="B10" s="11"/>
      <c r="C10" s="1" t="s">
        <v>5</v>
      </c>
      <c r="D10" s="1" t="s">
        <v>6</v>
      </c>
      <c r="E10" s="1" t="s">
        <v>7</v>
      </c>
      <c r="F10" s="1"/>
      <c r="G10" s="1"/>
      <c r="H10" s="1"/>
      <c r="I10" s="1"/>
      <c r="J10" s="1"/>
      <c r="K10" s="1"/>
      <c r="L10" s="1"/>
      <c r="M10" s="1"/>
      <c r="N10" s="1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2"/>
      <c r="AB10" s="2"/>
    </row>
    <row r="11" spans="1:28" ht="15.6">
      <c r="A11" s="1"/>
      <c r="B11" s="11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12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2"/>
      <c r="AB11" s="2"/>
    </row>
    <row r="12" spans="1:28" ht="15.6">
      <c r="A12" s="1"/>
      <c r="B12" s="11"/>
      <c r="C12" s="2"/>
      <c r="D12" s="2"/>
      <c r="E12" s="1"/>
      <c r="F12" s="1"/>
      <c r="G12" s="1"/>
      <c r="H12" s="1"/>
      <c r="I12" s="1"/>
      <c r="J12" s="1"/>
      <c r="K12" s="1"/>
      <c r="L12" s="1"/>
      <c r="M12" s="1"/>
      <c r="N12" s="1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2"/>
      <c r="AB12" s="2"/>
    </row>
    <row r="13" spans="1:28" ht="15.6">
      <c r="A13" s="1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2"/>
      <c r="AB13" s="2"/>
    </row>
    <row r="14" spans="1:28" ht="15.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2"/>
      <c r="AB14" s="2"/>
    </row>
    <row r="15" spans="1:28" ht="15.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2"/>
      <c r="AB15" s="2"/>
    </row>
    <row r="16" spans="1:28" ht="15.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2"/>
      <c r="AB16" s="2"/>
    </row>
    <row r="17" spans="1:28" ht="15.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2"/>
      <c r="AB17" s="2"/>
    </row>
    <row r="18" spans="1:28" ht="15.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"/>
      <c r="AB18" s="2"/>
    </row>
    <row r="19" spans="1:28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2"/>
      <c r="AB19" s="2"/>
    </row>
    <row r="20" spans="1:28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"/>
      <c r="AB20" s="2"/>
    </row>
    <row r="21" spans="1:28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2"/>
      <c r="AB21" s="2"/>
    </row>
    <row r="22" spans="1:28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2"/>
      <c r="AB22" s="2"/>
    </row>
    <row r="23" spans="1:28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2"/>
      <c r="AB23" s="2"/>
    </row>
    <row r="24" spans="1:28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2"/>
      <c r="AB24" s="2"/>
    </row>
    <row r="25" spans="1:28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2"/>
      <c r="AB25" s="2"/>
    </row>
    <row r="26" spans="1:28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2"/>
      <c r="AB26" s="2"/>
    </row>
    <row r="27" spans="1:28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2"/>
      <c r="AB27" s="2"/>
    </row>
    <row r="28" spans="1: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2"/>
      <c r="AB28" s="2"/>
    </row>
    <row r="29" spans="1:28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2"/>
      <c r="AB29" s="2"/>
    </row>
    <row r="30" spans="1:28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2"/>
      <c r="AB30" s="2"/>
    </row>
    <row r="31" spans="1:28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2"/>
      <c r="AB31" s="2"/>
    </row>
    <row r="32" spans="1:28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2"/>
      <c r="AB32" s="2"/>
    </row>
    <row r="33" spans="1:28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2"/>
      <c r="AB33" s="2"/>
    </row>
    <row r="34" spans="1:28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2"/>
      <c r="AB34" s="2"/>
    </row>
    <row r="35" spans="1:28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2"/>
      <c r="AB35" s="2"/>
    </row>
    <row r="36" spans="1:28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2"/>
      <c r="AB36" s="2"/>
    </row>
    <row r="37" spans="1:28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2"/>
      <c r="AB37" s="2"/>
    </row>
    <row r="38" spans="1:2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2"/>
      <c r="AB38" s="2"/>
    </row>
    <row r="39" spans="1:28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2"/>
      <c r="AB39" s="2"/>
    </row>
    <row r="40" spans="1:28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2"/>
      <c r="AB40" s="2"/>
    </row>
    <row r="41" spans="1:28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2"/>
      <c r="AB41" s="2"/>
    </row>
    <row r="42" spans="1:28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2"/>
      <c r="AB42" s="2"/>
    </row>
    <row r="43" spans="1:28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2"/>
      <c r="AB43" s="2"/>
    </row>
    <row r="44" spans="1:28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2"/>
      <c r="AB44" s="2"/>
    </row>
    <row r="45" spans="1:28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2"/>
      <c r="AB45" s="2"/>
    </row>
    <row r="46" spans="1:28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2"/>
      <c r="AB46" s="2"/>
    </row>
    <row r="47" spans="1:28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2"/>
      <c r="AB47" s="2"/>
    </row>
    <row r="48" spans="1:2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2"/>
      <c r="AB48" s="2"/>
    </row>
    <row r="49" spans="1:28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2"/>
      <c r="AB49" s="2"/>
    </row>
    <row r="50" spans="1:28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2"/>
      <c r="AB50" s="2"/>
    </row>
    <row r="51" spans="1:28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2"/>
      <c r="AB51" s="2"/>
    </row>
    <row r="52" spans="1:28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2"/>
      <c r="AB52" s="2"/>
    </row>
    <row r="53" spans="1:28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2"/>
      <c r="AB53" s="2"/>
    </row>
    <row r="54" spans="1:28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2"/>
      <c r="AB54" s="2"/>
    </row>
    <row r="55" spans="1:28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2"/>
      <c r="AB55" s="2"/>
    </row>
    <row r="56" spans="1:28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2"/>
      <c r="AB56" s="2"/>
    </row>
    <row r="57" spans="1:28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2"/>
      <c r="AB57" s="2"/>
    </row>
    <row r="58" spans="1:2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2"/>
      <c r="AB58" s="2"/>
    </row>
    <row r="59" spans="1:28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2"/>
      <c r="AB59" s="2"/>
    </row>
    <row r="60" spans="1:28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2"/>
      <c r="AB60" s="2"/>
    </row>
    <row r="61" spans="1:28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2"/>
      <c r="AB61" s="2"/>
    </row>
    <row r="62" spans="1:28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2"/>
      <c r="AB62" s="2"/>
    </row>
    <row r="63" spans="1:28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2"/>
      <c r="AB63" s="2"/>
    </row>
    <row r="64" spans="1:28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2"/>
      <c r="AB64" s="2"/>
    </row>
    <row r="65" spans="1:28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2"/>
      <c r="AB65" s="2"/>
    </row>
    <row r="66" spans="1:28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2"/>
      <c r="AB66" s="2"/>
    </row>
    <row r="67" spans="1:28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2"/>
      <c r="AB67" s="2"/>
    </row>
    <row r="68" spans="1:2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2"/>
      <c r="AB68" s="2"/>
    </row>
    <row r="69" spans="1:28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2"/>
      <c r="AB69" s="2"/>
    </row>
    <row r="70" spans="1:28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2"/>
      <c r="AB70" s="2"/>
    </row>
    <row r="71" spans="1:28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2"/>
      <c r="AB71" s="2"/>
    </row>
    <row r="72" spans="1:28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2"/>
      <c r="AB72" s="2"/>
    </row>
    <row r="73" spans="1:28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2"/>
      <c r="AB73" s="2"/>
    </row>
    <row r="74" spans="1:28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2"/>
      <c r="AB74" s="2"/>
    </row>
    <row r="75" spans="1:28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2"/>
      <c r="AB75" s="2"/>
    </row>
    <row r="76" spans="1:28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2"/>
      <c r="AB76" s="2"/>
    </row>
    <row r="77" spans="1:28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2"/>
      <c r="AB77" s="2"/>
    </row>
    <row r="78" spans="1:2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2"/>
      <c r="AB78" s="2"/>
    </row>
    <row r="79" spans="1:28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2"/>
      <c r="AB79" s="2"/>
    </row>
    <row r="80" spans="1:28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2"/>
      <c r="AB80" s="2"/>
    </row>
    <row r="81" spans="1:28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2"/>
      <c r="AB81" s="2"/>
    </row>
    <row r="82" spans="1:28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2"/>
      <c r="AB82" s="2"/>
    </row>
    <row r="83" spans="1:28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2"/>
      <c r="AB83" s="2"/>
    </row>
    <row r="84" spans="1:28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2"/>
      <c r="AB84" s="2"/>
    </row>
    <row r="85" spans="1:28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2"/>
      <c r="AB85" s="2"/>
    </row>
    <row r="86" spans="1:28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2"/>
      <c r="AB86" s="2"/>
    </row>
    <row r="87" spans="1:28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2"/>
      <c r="AB87" s="2"/>
    </row>
    <row r="88" spans="1:2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2"/>
      <c r="AB88" s="2"/>
    </row>
    <row r="89" spans="1:28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2"/>
      <c r="AB89" s="2"/>
    </row>
    <row r="90" spans="1:28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2"/>
      <c r="AB90" s="2"/>
    </row>
    <row r="91" spans="1:28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2"/>
      <c r="AB91" s="2"/>
    </row>
    <row r="92" spans="1:28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2"/>
      <c r="AB92" s="2"/>
    </row>
    <row r="93" spans="1:28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2"/>
      <c r="AB93" s="2"/>
    </row>
    <row r="94" spans="1:28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2"/>
      <c r="AB94" s="2"/>
    </row>
    <row r="95" spans="1:28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2"/>
      <c r="AB95" s="2"/>
    </row>
    <row r="96" spans="1:28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2"/>
      <c r="AB96" s="2"/>
    </row>
    <row r="97" spans="1:28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2"/>
      <c r="AB97" s="2"/>
    </row>
    <row r="98" spans="1:2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2"/>
      <c r="AB98" s="2"/>
    </row>
    <row r="99" spans="1:28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2"/>
      <c r="AB99" s="2"/>
    </row>
    <row r="100" spans="1:28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2"/>
      <c r="AB100" s="2"/>
    </row>
    <row r="101" spans="1:28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2"/>
      <c r="AB101" s="2"/>
    </row>
    <row r="102" spans="1:28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2"/>
      <c r="AB102" s="2"/>
    </row>
    <row r="103" spans="1:28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2"/>
      <c r="AB103" s="2"/>
    </row>
    <row r="104" spans="1:28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2"/>
      <c r="AB104" s="2"/>
    </row>
    <row r="105" spans="1:28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2"/>
      <c r="AB105" s="2"/>
    </row>
    <row r="106" spans="1:28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2"/>
      <c r="AB106" s="2"/>
    </row>
    <row r="107" spans="1:28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2"/>
      <c r="AB107" s="2"/>
    </row>
    <row r="108" spans="1:2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2"/>
      <c r="AB108" s="2"/>
    </row>
    <row r="109" spans="1:28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2"/>
      <c r="AB109" s="2"/>
    </row>
    <row r="110" spans="1:28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2"/>
      <c r="AB110" s="2"/>
    </row>
    <row r="111" spans="1:28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2"/>
      <c r="AB111" s="2"/>
    </row>
    <row r="112" spans="1:28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2"/>
      <c r="AB112" s="2"/>
    </row>
    <row r="113" spans="1:28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2"/>
      <c r="AB113" s="2"/>
    </row>
    <row r="114" spans="1:28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2"/>
      <c r="AB114" s="2"/>
    </row>
    <row r="115" spans="1:28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2"/>
      <c r="AB115" s="2"/>
    </row>
    <row r="116" spans="1:28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2"/>
      <c r="AB116" s="2"/>
    </row>
    <row r="117" spans="1:28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2"/>
      <c r="AB117" s="2"/>
    </row>
    <row r="118" spans="1:2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2"/>
      <c r="AB118" s="2"/>
    </row>
    <row r="119" spans="1:28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2"/>
      <c r="AB119" s="2"/>
    </row>
    <row r="120" spans="1:28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2"/>
      <c r="AB120" s="2"/>
    </row>
    <row r="121" spans="1:28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2"/>
      <c r="AB121" s="2"/>
    </row>
    <row r="122" spans="1:28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2"/>
      <c r="AB122" s="2"/>
    </row>
    <row r="123" spans="1:28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2"/>
      <c r="AB123" s="2"/>
    </row>
    <row r="124" spans="1:28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2"/>
      <c r="AB124" s="2"/>
    </row>
    <row r="125" spans="1:28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2"/>
      <c r="AB125" s="2"/>
    </row>
    <row r="126" spans="1:28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2"/>
      <c r="AB126" s="2"/>
    </row>
    <row r="127" spans="1:28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2"/>
      <c r="AB127" s="2"/>
    </row>
    <row r="128" spans="1: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2"/>
      <c r="AB128" s="2"/>
    </row>
    <row r="129" spans="1:28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2"/>
      <c r="AB129" s="2"/>
    </row>
    <row r="130" spans="1:28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2"/>
      <c r="AB130" s="2"/>
    </row>
    <row r="131" spans="1:28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2"/>
      <c r="AB131" s="2"/>
    </row>
    <row r="132" spans="1:28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2"/>
      <c r="AB132" s="2"/>
    </row>
    <row r="133" spans="1:28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2"/>
      <c r="AB133" s="2"/>
    </row>
    <row r="134" spans="1:28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2"/>
      <c r="AB134" s="2"/>
    </row>
    <row r="135" spans="1:28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2"/>
      <c r="AB135" s="2"/>
    </row>
    <row r="136" spans="1:28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2"/>
      <c r="AB136" s="2"/>
    </row>
    <row r="137" spans="1:28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2"/>
      <c r="AB137" s="2"/>
    </row>
    <row r="138" spans="1:2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2"/>
      <c r="AB138" s="2"/>
    </row>
    <row r="139" spans="1:28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2"/>
      <c r="AB139" s="2"/>
    </row>
    <row r="140" spans="1:28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2"/>
      <c r="AB140" s="2"/>
    </row>
    <row r="141" spans="1:28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2"/>
      <c r="AB141" s="2"/>
    </row>
    <row r="142" spans="1:28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2"/>
      <c r="AB142" s="2"/>
    </row>
    <row r="143" spans="1:28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2"/>
      <c r="AB143" s="2"/>
    </row>
    <row r="144" spans="1:28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2"/>
      <c r="AB144" s="2"/>
    </row>
    <row r="145" spans="1:28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2"/>
      <c r="AB145" s="2"/>
    </row>
    <row r="146" spans="1:28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2"/>
      <c r="AB146" s="2"/>
    </row>
    <row r="147" spans="1:28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2"/>
      <c r="AB147" s="2"/>
    </row>
    <row r="148" spans="1:2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2"/>
      <c r="AB148" s="2"/>
    </row>
    <row r="149" spans="1:28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2"/>
      <c r="AB149" s="2"/>
    </row>
    <row r="150" spans="1:28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2"/>
      <c r="AB150" s="2"/>
    </row>
    <row r="151" spans="1:28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2"/>
      <c r="AB151" s="2"/>
    </row>
    <row r="152" spans="1:28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2"/>
      <c r="AB152" s="2"/>
    </row>
    <row r="153" spans="1:28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2"/>
      <c r="AB153" s="2"/>
    </row>
    <row r="154" spans="1:28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2"/>
      <c r="AB154" s="2"/>
    </row>
    <row r="155" spans="1:28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2"/>
      <c r="AB155" s="2"/>
    </row>
    <row r="156" spans="1:28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2"/>
      <c r="AB156" s="2"/>
    </row>
    <row r="157" spans="1:28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2"/>
      <c r="AB157" s="2"/>
    </row>
    <row r="158" spans="1:2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2"/>
      <c r="AB158" s="2"/>
    </row>
    <row r="159" spans="1:28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2"/>
      <c r="AB159" s="2"/>
    </row>
    <row r="160" spans="1:28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2"/>
      <c r="AB160" s="2"/>
    </row>
    <row r="161" spans="1:28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2"/>
      <c r="AB161" s="2"/>
    </row>
    <row r="162" spans="1:28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2"/>
      <c r="AB162" s="2"/>
    </row>
    <row r="163" spans="1:28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2"/>
      <c r="AB163" s="2"/>
    </row>
    <row r="164" spans="1:28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2"/>
      <c r="AB164" s="2"/>
    </row>
    <row r="165" spans="1:28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2"/>
      <c r="AB165" s="2"/>
    </row>
    <row r="166" spans="1:28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2"/>
      <c r="AB166" s="2"/>
    </row>
    <row r="167" spans="1:28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2"/>
      <c r="AB167" s="2"/>
    </row>
    <row r="168" spans="1:2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2"/>
      <c r="AB168" s="2"/>
    </row>
    <row r="169" spans="1:28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2"/>
      <c r="AB169" s="2"/>
    </row>
    <row r="170" spans="1:28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2"/>
      <c r="AB170" s="2"/>
    </row>
    <row r="171" spans="1:28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2"/>
      <c r="AB171" s="2"/>
    </row>
    <row r="172" spans="1:28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2"/>
      <c r="AB172" s="2"/>
    </row>
    <row r="173" spans="1:28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2"/>
      <c r="AB173" s="2"/>
    </row>
    <row r="174" spans="1:28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2"/>
      <c r="AB174" s="2"/>
    </row>
    <row r="175" spans="1:28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2"/>
      <c r="AB175" s="2"/>
    </row>
    <row r="176" spans="1:28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2"/>
      <c r="AB176" s="2"/>
    </row>
    <row r="177" spans="1:28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2"/>
      <c r="AB177" s="2"/>
    </row>
    <row r="178" spans="1:2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2"/>
      <c r="AB178" s="2"/>
    </row>
    <row r="179" spans="1:28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2"/>
      <c r="AB179" s="2"/>
    </row>
    <row r="180" spans="1:28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2"/>
      <c r="AB180" s="2"/>
    </row>
    <row r="181" spans="1:28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2"/>
      <c r="AB181" s="2"/>
    </row>
    <row r="182" spans="1:28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2"/>
      <c r="AB182" s="2"/>
    </row>
    <row r="183" spans="1:28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2"/>
      <c r="AB183" s="2"/>
    </row>
    <row r="184" spans="1:28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2"/>
      <c r="AB184" s="2"/>
    </row>
    <row r="185" spans="1:28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2"/>
      <c r="AB185" s="2"/>
    </row>
    <row r="186" spans="1:28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2"/>
      <c r="AB186" s="2"/>
    </row>
    <row r="187" spans="1:28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2"/>
      <c r="AB187" s="2"/>
    </row>
    <row r="188" spans="1:2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2"/>
      <c r="AB188" s="2"/>
    </row>
    <row r="189" spans="1:28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2"/>
      <c r="AB189" s="2"/>
    </row>
    <row r="190" spans="1:28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2"/>
      <c r="AB190" s="2"/>
    </row>
    <row r="191" spans="1:28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2"/>
      <c r="AB191" s="2"/>
    </row>
    <row r="192" spans="1:28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2"/>
      <c r="AB192" s="2"/>
    </row>
    <row r="193" spans="1:28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2"/>
      <c r="AB193" s="2"/>
    </row>
    <row r="194" spans="1:28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2"/>
      <c r="AB194" s="2"/>
    </row>
    <row r="195" spans="1:28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2"/>
      <c r="AB195" s="2"/>
    </row>
    <row r="196" spans="1:28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2"/>
      <c r="AB196" s="2"/>
    </row>
    <row r="197" spans="1:28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2"/>
      <c r="AB197" s="2"/>
    </row>
    <row r="198" spans="1:2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2"/>
      <c r="AB198" s="2"/>
    </row>
    <row r="199" spans="1:28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2"/>
      <c r="AB199" s="2"/>
    </row>
    <row r="200" spans="1:28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2"/>
      <c r="AB200" s="2"/>
    </row>
    <row r="201" spans="1:28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2"/>
      <c r="AB201" s="2"/>
    </row>
    <row r="202" spans="1:28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2"/>
      <c r="AB202" s="2"/>
    </row>
    <row r="203" spans="1:28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2"/>
      <c r="AB203" s="2"/>
    </row>
    <row r="204" spans="1:28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2"/>
      <c r="AB204" s="2"/>
    </row>
    <row r="205" spans="1:28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2"/>
      <c r="AB205" s="2"/>
    </row>
    <row r="206" spans="1:28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2"/>
      <c r="AB206" s="2"/>
    </row>
    <row r="207" spans="1:28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2"/>
      <c r="AB207" s="2"/>
    </row>
    <row r="208" spans="1:2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2"/>
      <c r="AB208" s="2"/>
    </row>
    <row r="209" spans="1:28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2"/>
      <c r="AB209" s="2"/>
    </row>
    <row r="210" spans="1:28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2"/>
      <c r="AB210" s="2"/>
    </row>
    <row r="211" spans="1:28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2"/>
      <c r="AB211" s="2"/>
    </row>
    <row r="212" spans="1:28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2"/>
      <c r="AB212" s="2"/>
    </row>
    <row r="213" spans="1:28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2"/>
      <c r="AB213" s="2"/>
    </row>
    <row r="214" spans="1:28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2"/>
      <c r="AB214" s="2"/>
    </row>
    <row r="215" spans="1:28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2"/>
      <c r="AB215" s="2"/>
    </row>
    <row r="216" spans="1:28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2"/>
      <c r="AB216" s="2"/>
    </row>
    <row r="217" spans="1:28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2"/>
      <c r="AB217" s="2"/>
    </row>
    <row r="218" spans="1:2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2"/>
      <c r="AB218" s="2"/>
    </row>
    <row r="219" spans="1:28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2"/>
      <c r="AB219" s="2"/>
    </row>
    <row r="220" spans="1:28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2"/>
      <c r="AB220" s="2"/>
    </row>
    <row r="221" spans="1:28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">
    <mergeCell ref="E3:I3"/>
  </mergeCells>
  <pageMargins left="0.7" right="0.7" top="0.75" bottom="0.75" header="0" footer="0"/>
  <pageSetup scale="76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B7188-00FE-9043-B58A-C11CCECFE497}">
  <dimension ref="A1:BC98"/>
  <sheetViews>
    <sheetView showGridLines="0" topLeftCell="A8" zoomScale="63" workbookViewId="0">
      <selection activeCell="S17" sqref="S17"/>
    </sheetView>
  </sheetViews>
  <sheetFormatPr defaultColWidth="11.42578125" defaultRowHeight="14.45"/>
  <cols>
    <col min="2" max="2" width="23.5703125" customWidth="1"/>
    <col min="3" max="3" width="11.42578125" customWidth="1"/>
    <col min="4" max="4" width="11.85546875" customWidth="1"/>
    <col min="6" max="6" width="12.42578125" bestFit="1" customWidth="1"/>
    <col min="7" max="7" width="11.42578125" customWidth="1"/>
    <col min="8" max="8" width="12.42578125" bestFit="1" customWidth="1"/>
    <col min="9" max="9" width="10.42578125" customWidth="1"/>
    <col min="10" max="10" width="11.42578125" bestFit="1" customWidth="1"/>
    <col min="12" max="12" width="13.5703125" customWidth="1"/>
    <col min="18" max="19" width="12.5703125" bestFit="1" customWidth="1"/>
  </cols>
  <sheetData>
    <row r="1" spans="2:55" ht="15.6"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</row>
    <row r="2" spans="2:55" ht="26.1"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</row>
    <row r="3" spans="2:55" ht="15.6">
      <c r="B3" s="61" t="s">
        <v>9</v>
      </c>
      <c r="C3" s="56"/>
      <c r="D3" s="56"/>
      <c r="E3" s="56"/>
      <c r="F3" s="56"/>
      <c r="G3" s="56"/>
      <c r="H3" s="56"/>
      <c r="I3" s="56"/>
      <c r="J3" s="56"/>
      <c r="K3" s="56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</row>
    <row r="4" spans="2:55" ht="15.6">
      <c r="B4" s="57" t="s">
        <v>10</v>
      </c>
      <c r="C4" s="56"/>
      <c r="D4" s="56"/>
      <c r="E4" s="56"/>
      <c r="F4" s="56"/>
      <c r="G4" s="56"/>
      <c r="H4" s="56"/>
      <c r="I4" s="56"/>
      <c r="J4" s="56"/>
      <c r="K4" s="56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</row>
    <row r="5" spans="2:55" ht="15.6"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</row>
    <row r="6" spans="2:55" ht="15.6">
      <c r="B6" s="58" t="s">
        <v>11</v>
      </c>
      <c r="C6" s="59"/>
      <c r="D6" s="59"/>
      <c r="E6" s="59"/>
      <c r="F6" s="59"/>
      <c r="G6" s="59"/>
      <c r="H6" s="59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</row>
    <row r="7" spans="2:55" ht="15.6"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</row>
    <row r="8" spans="2:55" ht="15.6">
      <c r="B8" s="256" t="s">
        <v>12</v>
      </c>
      <c r="C8" s="257"/>
      <c r="D8" s="257"/>
      <c r="E8" s="257"/>
      <c r="F8" s="257"/>
      <c r="G8" s="257"/>
      <c r="H8" s="255"/>
      <c r="I8" s="255"/>
      <c r="J8" s="255"/>
      <c r="L8" s="256" t="s">
        <v>13</v>
      </c>
      <c r="M8" s="257"/>
      <c r="N8" s="257"/>
      <c r="O8" s="257"/>
      <c r="P8" s="257"/>
      <c r="Q8" s="257"/>
      <c r="R8" s="255"/>
      <c r="S8" s="255"/>
      <c r="T8" s="255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</row>
    <row r="9" spans="2:55" ht="15.6"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</row>
    <row r="10" spans="2:55" ht="15.6">
      <c r="B10" s="62" t="s">
        <v>14</v>
      </c>
      <c r="C10" s="63"/>
      <c r="D10" s="64"/>
      <c r="E10" s="64"/>
      <c r="F10" s="64"/>
      <c r="G10" s="64"/>
      <c r="H10" s="64"/>
      <c r="I10" s="64"/>
      <c r="J10" s="64"/>
      <c r="L10" s="62" t="s">
        <v>15</v>
      </c>
      <c r="M10" s="63"/>
      <c r="N10" s="64"/>
      <c r="O10" s="64"/>
      <c r="P10" s="64"/>
      <c r="Q10" s="64"/>
      <c r="R10" s="64"/>
      <c r="S10" s="64"/>
      <c r="T10" s="6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</row>
    <row r="11" spans="2:55" ht="15.6"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</row>
    <row r="12" spans="2:55" ht="15.6">
      <c r="B12" s="86" t="s">
        <v>16</v>
      </c>
      <c r="C12" s="86"/>
      <c r="D12" s="362">
        <v>2026</v>
      </c>
      <c r="L12" s="86" t="s">
        <v>17</v>
      </c>
      <c r="O12" s="370">
        <f>DCF!D12</f>
        <v>320.8</v>
      </c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</row>
    <row r="13" spans="2:55" ht="15.6">
      <c r="B13" s="86" t="s">
        <v>18</v>
      </c>
      <c r="C13" s="86"/>
      <c r="D13" s="361">
        <f>Precedents!G13-3</f>
        <v>10.299999999999999</v>
      </c>
      <c r="E13" s="370" t="s">
        <v>19</v>
      </c>
      <c r="L13" s="86" t="s">
        <v>20</v>
      </c>
      <c r="O13" s="324">
        <f>DCF!D11</f>
        <v>31.7</v>
      </c>
      <c r="P13" s="329"/>
      <c r="Q13" s="432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</row>
    <row r="14" spans="2:55" ht="15.6">
      <c r="B14" s="86" t="s">
        <v>21</v>
      </c>
      <c r="C14" s="86"/>
      <c r="D14" s="363">
        <v>0.28000000000000003</v>
      </c>
      <c r="E14" s="370" t="s">
        <v>22</v>
      </c>
      <c r="L14" s="86" t="s">
        <v>23</v>
      </c>
      <c r="O14" s="327">
        <v>0.25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</row>
    <row r="15" spans="2:55" ht="15.6">
      <c r="L15" s="216" t="s">
        <v>24</v>
      </c>
      <c r="M15" s="100"/>
      <c r="N15" s="100"/>
      <c r="O15" s="325">
        <f>O13*(1+O14)</f>
        <v>39.625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</row>
    <row r="16" spans="2:55" ht="15.6">
      <c r="B16" s="62" t="s">
        <v>25</v>
      </c>
      <c r="C16" s="63"/>
      <c r="D16" s="64"/>
      <c r="E16" s="64"/>
      <c r="F16" s="64"/>
      <c r="G16" s="64"/>
      <c r="H16" s="64"/>
      <c r="I16" s="64"/>
      <c r="J16" s="64"/>
      <c r="L16" s="323" t="s">
        <v>26</v>
      </c>
      <c r="O16" s="332">
        <f>O12*O15</f>
        <v>12711.7</v>
      </c>
      <c r="P16" s="329"/>
      <c r="Q16" s="329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</row>
    <row r="17" spans="2:55" ht="15.6"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</row>
    <row r="18" spans="2:55" ht="15.6">
      <c r="B18" s="334" t="s">
        <v>27</v>
      </c>
      <c r="C18" s="100"/>
      <c r="D18" s="334" t="s">
        <v>28</v>
      </c>
      <c r="E18" s="334" t="s">
        <v>29</v>
      </c>
      <c r="L18" s="62" t="s">
        <v>30</v>
      </c>
      <c r="M18" s="63"/>
      <c r="N18" s="64"/>
      <c r="O18" s="64"/>
      <c r="P18" s="64"/>
      <c r="Q18" s="64"/>
      <c r="R18" s="64"/>
      <c r="S18" s="64"/>
      <c r="T18" s="6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</row>
    <row r="19" spans="2:55" ht="15.6">
      <c r="B19" s="86" t="s">
        <v>31</v>
      </c>
      <c r="D19" s="326">
        <v>0.5</v>
      </c>
      <c r="E19" s="348">
        <v>0.03</v>
      </c>
      <c r="F19" s="370" t="s">
        <v>32</v>
      </c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</row>
    <row r="20" spans="2:55" ht="15.6">
      <c r="B20" s="86" t="s">
        <v>33</v>
      </c>
      <c r="C20" s="320"/>
      <c r="D20" s="326">
        <v>1.5</v>
      </c>
      <c r="E20" s="348">
        <v>0.04</v>
      </c>
      <c r="F20" s="370" t="s">
        <v>34</v>
      </c>
      <c r="L20" s="86" t="s">
        <v>35</v>
      </c>
      <c r="O20" s="331">
        <f>BS!I6</f>
        <v>1174.4019519999999</v>
      </c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</row>
    <row r="21" spans="2:55" ht="15.6">
      <c r="B21" s="86" t="s">
        <v>36</v>
      </c>
      <c r="C21" s="320"/>
      <c r="D21" s="326">
        <v>2</v>
      </c>
      <c r="E21" s="348">
        <v>0.05</v>
      </c>
      <c r="F21" s="370" t="s">
        <v>37</v>
      </c>
      <c r="L21" s="216" t="s">
        <v>27</v>
      </c>
      <c r="M21" s="100"/>
      <c r="N21" s="100"/>
      <c r="O21" s="325">
        <f>-BS!I40-BS!I47</f>
        <v>-1039.4970060000001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</row>
    <row r="22" spans="2:55" ht="15.6">
      <c r="B22" s="216" t="s">
        <v>38</v>
      </c>
      <c r="C22" s="321"/>
      <c r="D22" s="328">
        <v>1</v>
      </c>
      <c r="E22" s="349">
        <v>0.06</v>
      </c>
      <c r="L22" s="323" t="s">
        <v>39</v>
      </c>
      <c r="O22" s="332">
        <f>O20+O21</f>
        <v>134.90494599999988</v>
      </c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</row>
    <row r="23" spans="2:55" ht="15.6">
      <c r="B23" s="319" t="s">
        <v>40</v>
      </c>
      <c r="D23" s="322">
        <f>SUM(D19:D22)</f>
        <v>5</v>
      </c>
      <c r="F23" s="370" t="s">
        <v>41</v>
      </c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</row>
    <row r="24" spans="2:55" ht="15.6"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</row>
    <row r="25" spans="2:55" ht="15.6">
      <c r="B25" s="256" t="s">
        <v>42</v>
      </c>
      <c r="C25" s="257"/>
      <c r="D25" s="257"/>
      <c r="E25" s="257"/>
      <c r="F25" s="257"/>
      <c r="G25" s="257"/>
      <c r="H25" s="255"/>
      <c r="I25" s="255"/>
      <c r="J25" s="255"/>
      <c r="L25" s="256" t="s">
        <v>43</v>
      </c>
      <c r="M25" s="257"/>
      <c r="N25" s="257"/>
      <c r="O25" s="60" t="s">
        <v>44</v>
      </c>
      <c r="P25" s="60" t="s">
        <v>45</v>
      </c>
      <c r="Q25" s="60" t="s">
        <v>46</v>
      </c>
      <c r="R25" s="60" t="s">
        <v>47</v>
      </c>
      <c r="S25" s="60" t="s">
        <v>48</v>
      </c>
      <c r="T25" s="60" t="s">
        <v>49</v>
      </c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</row>
    <row r="26" spans="2:55" ht="15.6">
      <c r="I26" s="25"/>
      <c r="J26" s="25"/>
      <c r="K26" s="25"/>
      <c r="L26" s="25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</row>
    <row r="27" spans="2:55" ht="15.6">
      <c r="B27" s="334" t="s">
        <v>50</v>
      </c>
      <c r="C27" s="334"/>
      <c r="D27" s="334"/>
      <c r="E27" s="334" t="s">
        <v>28</v>
      </c>
      <c r="F27" s="334" t="s">
        <v>51</v>
      </c>
      <c r="H27" s="341" t="s">
        <v>52</v>
      </c>
      <c r="I27" s="336"/>
      <c r="J27" s="342"/>
      <c r="K27" s="333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</row>
    <row r="28" spans="2:55" ht="15.6">
      <c r="B28" s="86" t="s">
        <v>31</v>
      </c>
      <c r="C28" s="330"/>
      <c r="D28" s="329">
        <f>E28*$O$30</f>
        <v>758.41162129919985</v>
      </c>
      <c r="E28" s="338">
        <f>D19</f>
        <v>0.5</v>
      </c>
      <c r="F28" s="337">
        <f>D28/$D$33</f>
        <v>5.6252850934221645E-2</v>
      </c>
      <c r="H28" s="330" t="s">
        <v>53</v>
      </c>
      <c r="I28" s="335"/>
      <c r="J28" s="343">
        <f>O16</f>
        <v>12711.7</v>
      </c>
      <c r="K28" s="333"/>
      <c r="L28" s="370" t="s">
        <v>54</v>
      </c>
      <c r="O28" s="67">
        <f>'Operating Model'!I46</f>
        <v>8638.5033285199988</v>
      </c>
      <c r="P28" s="67">
        <f>'Operating Model'!J46</f>
        <v>10500.0369146712</v>
      </c>
      <c r="Q28" s="67">
        <f>'Operating Model'!K46</f>
        <v>12430.608372368157</v>
      </c>
      <c r="R28" s="67">
        <f>'Operating Model'!L46</f>
        <v>14318.129250570972</v>
      </c>
      <c r="S28" s="67">
        <f>'Operating Model'!M46</f>
        <v>16037.067925710764</v>
      </c>
      <c r="T28" s="67">
        <f>'Operating Model'!N46</f>
        <v>17518.545942716042</v>
      </c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</row>
    <row r="29" spans="2:55" ht="15.6">
      <c r="B29" s="86" t="s">
        <v>33</v>
      </c>
      <c r="C29" s="330"/>
      <c r="D29" s="329">
        <f>E29*$O$30</f>
        <v>2275.2348638975996</v>
      </c>
      <c r="E29" s="338">
        <f t="shared" ref="E29:E31" si="0">D20</f>
        <v>1.5</v>
      </c>
      <c r="F29" s="337">
        <f t="shared" ref="F29:F32" si="1">D29/$D$33</f>
        <v>0.16875855280266491</v>
      </c>
      <c r="H29" s="330" t="s">
        <v>55</v>
      </c>
      <c r="I29" s="335"/>
      <c r="J29" s="343">
        <f>O22</f>
        <v>134.90494599999988</v>
      </c>
      <c r="K29" s="333"/>
      <c r="L29" s="370" t="s">
        <v>56</v>
      </c>
      <c r="O29" s="67">
        <f>'Operating Model'!I28</f>
        <v>725.77278292419976</v>
      </c>
      <c r="P29" s="67">
        <f>'Operating Model'!J28</f>
        <v>840.00295317369546</v>
      </c>
      <c r="Q29" s="67">
        <f>'Operating Model'!K28</f>
        <v>1019.3098865341882</v>
      </c>
      <c r="R29" s="67">
        <f>'Operating Model'!L28</f>
        <v>1245.6772447996734</v>
      </c>
      <c r="S29" s="67">
        <f>'Operating Model'!M28</f>
        <v>1411.2619774625466</v>
      </c>
      <c r="T29" s="67">
        <f>'Operating Model'!N28</f>
        <v>1629.2247726725907</v>
      </c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</row>
    <row r="30" spans="2:55" ht="15.6">
      <c r="B30" s="86" t="s">
        <v>36</v>
      </c>
      <c r="C30" s="330"/>
      <c r="D30" s="329">
        <f>E30*$O$30</f>
        <v>3033.6464851967994</v>
      </c>
      <c r="E30" s="338">
        <f t="shared" si="0"/>
        <v>2</v>
      </c>
      <c r="F30" s="337">
        <f t="shared" si="1"/>
        <v>0.22501140373688658</v>
      </c>
      <c r="H30" s="330" t="s">
        <v>57</v>
      </c>
      <c r="I30" s="330"/>
      <c r="J30" s="343">
        <f>J28*0.05</f>
        <v>635.58500000000004</v>
      </c>
      <c r="K30" s="333"/>
      <c r="L30" s="115" t="s">
        <v>58</v>
      </c>
      <c r="M30" s="334"/>
      <c r="N30" s="334"/>
      <c r="O30" s="351">
        <f>'Operating Model'!I41</f>
        <v>1516.8232425983997</v>
      </c>
      <c r="P30" s="351">
        <f>'Operating Model'!J41</f>
        <v>1790.4193212057476</v>
      </c>
      <c r="Q30" s="351">
        <f>'Operating Model'!K41</f>
        <v>2072.8300512143405</v>
      </c>
      <c r="R30" s="351">
        <f>'Operating Model'!L41</f>
        <v>2451.3805096338651</v>
      </c>
      <c r="S30" s="351">
        <f>'Operating Model'!M41</f>
        <v>2675.5000551751377</v>
      </c>
      <c r="T30" s="351">
        <f>'Operating Model'!N41</f>
        <v>3005.8028613262641</v>
      </c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</row>
    <row r="31" spans="2:55" ht="15.6">
      <c r="B31" s="344" t="s">
        <v>38</v>
      </c>
      <c r="C31" s="330"/>
      <c r="D31" s="329">
        <f>E31*$O$30</f>
        <v>1516.8232425983997</v>
      </c>
      <c r="E31" s="338">
        <f t="shared" si="0"/>
        <v>1</v>
      </c>
      <c r="F31" s="337">
        <f t="shared" si="1"/>
        <v>0.11250570186844329</v>
      </c>
      <c r="H31" s="330"/>
      <c r="I31" s="335"/>
      <c r="J31" s="335"/>
      <c r="K31" s="340"/>
      <c r="L31" s="111" t="s">
        <v>59</v>
      </c>
      <c r="M31" s="319"/>
      <c r="N31" s="319"/>
      <c r="O31" s="346">
        <f>DCF!F29</f>
        <v>531.65702540711845</v>
      </c>
      <c r="P31" s="346">
        <f>DCF!G29</f>
        <v>398.28353564299391</v>
      </c>
      <c r="Q31" s="346">
        <f>DCF!H29</f>
        <v>642.54860270109828</v>
      </c>
      <c r="R31" s="346">
        <f>DCF!I29</f>
        <v>875.55824002104828</v>
      </c>
      <c r="S31" s="346">
        <f>DCF!J29</f>
        <v>896.36472208459054</v>
      </c>
      <c r="T31" s="346">
        <f>DCF!K29</f>
        <v>1061.2957902883463</v>
      </c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</row>
    <row r="32" spans="2:55" ht="15.6">
      <c r="B32" s="216" t="s">
        <v>60</v>
      </c>
      <c r="C32" s="342"/>
      <c r="D32" s="325">
        <f>D33-SUM(D28:D31)</f>
        <v>5898.0737330080037</v>
      </c>
      <c r="E32" s="345"/>
      <c r="F32" s="339">
        <f t="shared" si="1"/>
        <v>0.43747149065778357</v>
      </c>
      <c r="H32" s="100"/>
      <c r="I32" s="100"/>
      <c r="J32" s="100"/>
      <c r="K32" s="25"/>
      <c r="L32" s="372" t="s">
        <v>61</v>
      </c>
      <c r="M32" s="100"/>
      <c r="N32" s="100"/>
      <c r="O32" s="100">
        <f>E63*(1-$D$14)</f>
        <v>0</v>
      </c>
      <c r="P32" s="353">
        <f t="shared" ref="P32:T32" si="2">F63*(1-$D$14)</f>
        <v>252.29643850064664</v>
      </c>
      <c r="Q32" s="353">
        <f t="shared" si="2"/>
        <v>245.24065875196862</v>
      </c>
      <c r="R32" s="353">
        <f t="shared" si="2"/>
        <v>236.57890820321236</v>
      </c>
      <c r="S32" s="353">
        <f t="shared" si="2"/>
        <v>221.94713442766712</v>
      </c>
      <c r="T32" s="353">
        <f t="shared" si="2"/>
        <v>203.03421878723057</v>
      </c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</row>
    <row r="33" spans="2:55" ht="15.6">
      <c r="B33" s="344" t="s">
        <v>62</v>
      </c>
      <c r="D33" s="329">
        <f>J33</f>
        <v>13482.189946000002</v>
      </c>
      <c r="H33" s="370" t="s">
        <v>62</v>
      </c>
      <c r="J33" s="329">
        <f>SUM(J28:J30)</f>
        <v>13482.189946000002</v>
      </c>
      <c r="L33" s="352" t="s">
        <v>63</v>
      </c>
      <c r="O33" s="67">
        <f>O31-O32</f>
        <v>531.65702540711845</v>
      </c>
      <c r="P33" s="67">
        <f t="shared" ref="P33:T33" si="3">P31-P32</f>
        <v>145.98709714234727</v>
      </c>
      <c r="Q33" s="67">
        <f t="shared" si="3"/>
        <v>397.30794394912965</v>
      </c>
      <c r="R33" s="67">
        <f t="shared" si="3"/>
        <v>638.97933181783594</v>
      </c>
      <c r="S33" s="67">
        <f t="shared" si="3"/>
        <v>674.41758765692339</v>
      </c>
      <c r="T33" s="67">
        <f t="shared" si="3"/>
        <v>858.26157150111578</v>
      </c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</row>
    <row r="34" spans="2:55" ht="15.6"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</row>
    <row r="35" spans="2:55" ht="15.6">
      <c r="B35" s="256" t="s">
        <v>64</v>
      </c>
      <c r="C35" s="257"/>
      <c r="D35" s="60" t="s">
        <v>29</v>
      </c>
      <c r="E35" s="60" t="s">
        <v>44</v>
      </c>
      <c r="F35" s="60" t="s">
        <v>45</v>
      </c>
      <c r="G35" s="60" t="s">
        <v>46</v>
      </c>
      <c r="H35" s="60" t="s">
        <v>47</v>
      </c>
      <c r="I35" s="60" t="s">
        <v>48</v>
      </c>
      <c r="J35" s="60" t="s">
        <v>49</v>
      </c>
      <c r="L35" s="256" t="s">
        <v>65</v>
      </c>
      <c r="M35" s="257"/>
      <c r="N35" s="257"/>
      <c r="O35" s="257"/>
      <c r="P35" s="257"/>
      <c r="Q35" s="257"/>
      <c r="R35" s="255"/>
      <c r="S35" s="255"/>
      <c r="T35" s="255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</row>
    <row r="36" spans="2:55" ht="15.6"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</row>
    <row r="37" spans="2:55" ht="15.6">
      <c r="B37" s="319" t="s">
        <v>31</v>
      </c>
      <c r="D37" s="350">
        <f>E19</f>
        <v>0.03</v>
      </c>
      <c r="L37" s="370" t="s">
        <v>66</v>
      </c>
      <c r="O37" s="67">
        <f>T30</f>
        <v>3005.8028613262641</v>
      </c>
      <c r="Q37" s="370" t="s">
        <v>66</v>
      </c>
      <c r="T37" s="67">
        <f>T30</f>
        <v>3005.8028613262641</v>
      </c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</row>
    <row r="38" spans="2:55" ht="15.6">
      <c r="B38" s="370" t="s">
        <v>67</v>
      </c>
      <c r="E38" s="6">
        <f>D28</f>
        <v>758.41162129919985</v>
      </c>
      <c r="F38" s="6">
        <f>E40</f>
        <v>758.41162129919985</v>
      </c>
      <c r="G38" s="6">
        <f t="shared" ref="G38:J38" si="4">F40</f>
        <v>226.7545958920814</v>
      </c>
      <c r="H38" s="6">
        <f t="shared" si="4"/>
        <v>80.767498749734131</v>
      </c>
      <c r="I38" s="6">
        <f t="shared" si="4"/>
        <v>0</v>
      </c>
      <c r="J38" s="6">
        <f t="shared" si="4"/>
        <v>0</v>
      </c>
      <c r="L38" s="370" t="s">
        <v>18</v>
      </c>
      <c r="O38" s="364">
        <f>D13</f>
        <v>10.299999999999999</v>
      </c>
      <c r="Q38" s="370" t="s">
        <v>18</v>
      </c>
      <c r="T38" s="364">
        <f>D13</f>
        <v>10.299999999999999</v>
      </c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</row>
    <row r="39" spans="2:55" ht="15.6">
      <c r="B39" s="370" t="s">
        <v>68</v>
      </c>
      <c r="F39" s="6">
        <f>-MIN(E40,O33)</f>
        <v>-531.65702540711845</v>
      </c>
      <c r="G39" s="6">
        <f t="shared" ref="G39:J39" si="5">-MIN(F40,P33)</f>
        <v>-145.98709714234727</v>
      </c>
      <c r="H39" s="6">
        <f t="shared" si="5"/>
        <v>-80.767498749734131</v>
      </c>
      <c r="I39" s="6">
        <f t="shared" si="5"/>
        <v>0</v>
      </c>
      <c r="J39" s="6">
        <f t="shared" si="5"/>
        <v>0</v>
      </c>
      <c r="L39" s="370" t="s">
        <v>69</v>
      </c>
      <c r="O39" s="365">
        <f>O37*O38</f>
        <v>30959.769471660518</v>
      </c>
      <c r="Q39" s="370" t="s">
        <v>69</v>
      </c>
      <c r="T39" s="365">
        <f>T37*T38</f>
        <v>30959.769471660518</v>
      </c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</row>
    <row r="40" spans="2:55" ht="15.6">
      <c r="B40" s="370" t="s">
        <v>70</v>
      </c>
      <c r="E40" s="6">
        <f>SUM(E38:E39)</f>
        <v>758.41162129919985</v>
      </c>
      <c r="F40" s="6">
        <f>SUM(F38:F39)</f>
        <v>226.7545958920814</v>
      </c>
      <c r="G40" s="6">
        <f t="shared" ref="G40:J40" si="6">SUM(G38:G39)</f>
        <v>80.767498749734131</v>
      </c>
      <c r="H40" s="6">
        <f t="shared" si="6"/>
        <v>0</v>
      </c>
      <c r="I40" s="6">
        <f t="shared" si="6"/>
        <v>0</v>
      </c>
      <c r="J40" s="6">
        <f t="shared" si="6"/>
        <v>0</v>
      </c>
      <c r="L40" s="372" t="s">
        <v>71</v>
      </c>
      <c r="M40" s="100"/>
      <c r="N40" s="100"/>
      <c r="O40" s="367">
        <f>J62</f>
        <v>5195.767227018644</v>
      </c>
      <c r="Q40" s="372" t="s">
        <v>71</v>
      </c>
      <c r="R40" s="100"/>
      <c r="S40" s="100"/>
      <c r="T40" s="367">
        <f>J62</f>
        <v>5195.767227018644</v>
      </c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</row>
    <row r="41" spans="2:55" ht="15.6">
      <c r="B41" s="370" t="s">
        <v>72</v>
      </c>
      <c r="F41" s="6">
        <f>AVERAGE(E40:F40)*$D$37</f>
        <v>14.777493257869217</v>
      </c>
      <c r="G41" s="6">
        <f t="shared" ref="G41:J41" si="7">AVERAGE(F40:G40)*$D$37</f>
        <v>4.6128314196272333</v>
      </c>
      <c r="H41" s="6">
        <f t="shared" si="7"/>
        <v>1.2115124812460119</v>
      </c>
      <c r="I41" s="6">
        <f t="shared" si="7"/>
        <v>0</v>
      </c>
      <c r="J41" s="6">
        <f t="shared" si="7"/>
        <v>0</v>
      </c>
      <c r="L41" s="319" t="s">
        <v>73</v>
      </c>
      <c r="O41" s="368">
        <f>O39-O40</f>
        <v>25764.002244641873</v>
      </c>
      <c r="Q41" s="319" t="s">
        <v>74</v>
      </c>
      <c r="T41" s="373">
        <f>T39-T40</f>
        <v>25764.002244641873</v>
      </c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</row>
    <row r="42" spans="2:55" ht="15.6">
      <c r="B42" s="370" t="s">
        <v>75</v>
      </c>
      <c r="D42" s="347">
        <v>2.5000000000000001E-3</v>
      </c>
      <c r="F42" s="6">
        <f>$D$42*(1000-F40)</f>
        <v>1.9331135102697965</v>
      </c>
      <c r="G42" s="6">
        <f>$D$42*(1000-G40)</f>
        <v>2.2980812531256647</v>
      </c>
      <c r="H42" s="6">
        <v>0</v>
      </c>
      <c r="I42" s="6">
        <v>0</v>
      </c>
      <c r="J42" s="6">
        <v>0</v>
      </c>
      <c r="L42" s="366" t="s">
        <v>76</v>
      </c>
      <c r="O42" s="369">
        <v>1</v>
      </c>
      <c r="Q42" s="366" t="s">
        <v>76</v>
      </c>
      <c r="T42" s="369">
        <v>1</v>
      </c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</row>
    <row r="43" spans="2:55" ht="15.6">
      <c r="L43" s="371" t="s">
        <v>77</v>
      </c>
      <c r="O43" s="368">
        <f>O41*O42</f>
        <v>25764.002244641873</v>
      </c>
      <c r="Q43" s="371" t="s">
        <v>78</v>
      </c>
      <c r="T43" s="368">
        <f>T41*T42</f>
        <v>25764.002244641873</v>
      </c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</row>
    <row r="44" spans="2:55" ht="15.6">
      <c r="B44" s="319" t="s">
        <v>79</v>
      </c>
      <c r="D44" s="350">
        <f>E20</f>
        <v>0.04</v>
      </c>
      <c r="L44" s="371" t="s">
        <v>78</v>
      </c>
      <c r="O44" s="368">
        <f>D32</f>
        <v>5898.0737330080037</v>
      </c>
      <c r="Q44" s="372" t="s">
        <v>80</v>
      </c>
      <c r="R44" s="100"/>
      <c r="S44" s="100"/>
      <c r="T44" s="367">
        <f>SUM(D29:D31)</f>
        <v>6825.7045916927991</v>
      </c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</row>
    <row r="45" spans="2:55" ht="15.6">
      <c r="B45" s="370" t="s">
        <v>67</v>
      </c>
      <c r="E45" s="6">
        <f>D29</f>
        <v>2275.2348638975996</v>
      </c>
      <c r="F45" s="6">
        <f>E47</f>
        <v>2275.2348638975996</v>
      </c>
      <c r="G45" s="6">
        <f t="shared" ref="G45:J45" si="8">F47</f>
        <v>2275.2348638975996</v>
      </c>
      <c r="H45" s="6">
        <f t="shared" si="8"/>
        <v>2275.2348638975996</v>
      </c>
      <c r="I45" s="6">
        <f t="shared" si="8"/>
        <v>1958.6944186982041</v>
      </c>
      <c r="J45" s="6">
        <f t="shared" si="8"/>
        <v>1319.7150868803683</v>
      </c>
      <c r="L45" s="378" t="s">
        <v>81</v>
      </c>
      <c r="M45" s="375"/>
      <c r="N45" s="375"/>
      <c r="O45" s="379">
        <f>O43/O44</f>
        <v>4.3682061993318442</v>
      </c>
      <c r="Q45" s="352" t="s">
        <v>82</v>
      </c>
      <c r="R45" s="319"/>
      <c r="S45" s="319"/>
      <c r="T45" s="373">
        <f>T43-T44</f>
        <v>18938.297652949073</v>
      </c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</row>
    <row r="46" spans="2:55" ht="15.6">
      <c r="B46" s="370" t="s">
        <v>68</v>
      </c>
      <c r="F46" s="6">
        <f>-MIN(F45,O33+F39)</f>
        <v>0</v>
      </c>
      <c r="G46" s="6">
        <f t="shared" ref="G46:J46" si="9">-MIN(G45,P33+G39)</f>
        <v>0</v>
      </c>
      <c r="H46" s="6">
        <f t="shared" si="9"/>
        <v>-316.54044519939555</v>
      </c>
      <c r="I46" s="6">
        <f t="shared" si="9"/>
        <v>-638.97933181783594</v>
      </c>
      <c r="J46" s="6">
        <f t="shared" si="9"/>
        <v>-674.41758765692339</v>
      </c>
      <c r="L46" s="376" t="s">
        <v>83</v>
      </c>
      <c r="M46" s="334"/>
      <c r="N46" s="334"/>
      <c r="O46" s="377">
        <f>O45^(1/6)-1</f>
        <v>0.27854844533706258</v>
      </c>
      <c r="Q46" s="371" t="s">
        <v>84</v>
      </c>
      <c r="T46" s="374">
        <f>O22</f>
        <v>134.90494599999988</v>
      </c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</row>
    <row r="47" spans="2:55" ht="15.6">
      <c r="B47" s="370" t="s">
        <v>70</v>
      </c>
      <c r="E47" s="6">
        <f>SUM(E45:E46)</f>
        <v>2275.2348638975996</v>
      </c>
      <c r="F47" s="6">
        <f>SUM(F45:F46)</f>
        <v>2275.2348638975996</v>
      </c>
      <c r="G47" s="6">
        <f t="shared" ref="G47:J47" si="10">SUM(G45:G46)</f>
        <v>2275.2348638975996</v>
      </c>
      <c r="H47" s="6">
        <f t="shared" si="10"/>
        <v>1958.6944186982041</v>
      </c>
      <c r="I47" s="6">
        <f t="shared" si="10"/>
        <v>1319.7150868803683</v>
      </c>
      <c r="J47" s="6">
        <f t="shared" si="10"/>
        <v>645.2974992234449</v>
      </c>
      <c r="Q47" s="371" t="s">
        <v>85</v>
      </c>
      <c r="T47" s="368">
        <f>J30</f>
        <v>635.58500000000004</v>
      </c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</row>
    <row r="48" spans="2:55" ht="15.6">
      <c r="B48" s="370" t="s">
        <v>86</v>
      </c>
      <c r="F48" s="6">
        <f>AVERAGE(E47:F47)*$D$44</f>
        <v>91.009394555903981</v>
      </c>
      <c r="G48" s="6">
        <f t="shared" ref="G48:J48" si="11">AVERAGE(F47:G47)*$D$44</f>
        <v>91.009394555903981</v>
      </c>
      <c r="H48" s="6">
        <f t="shared" si="11"/>
        <v>84.67858565191608</v>
      </c>
      <c r="I48" s="6">
        <f t="shared" si="11"/>
        <v>65.568190111571454</v>
      </c>
      <c r="J48" s="6">
        <f t="shared" si="11"/>
        <v>39.300251722076261</v>
      </c>
      <c r="Q48" s="371" t="s">
        <v>87</v>
      </c>
      <c r="T48" s="368">
        <f>(T45-O16)*0.07</f>
        <v>435.8618357064351</v>
      </c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</row>
    <row r="49" spans="2:55" ht="15.6">
      <c r="Q49" s="372" t="s">
        <v>15</v>
      </c>
      <c r="R49" s="100"/>
      <c r="S49" s="100"/>
      <c r="T49" s="367">
        <f>T45-T46-T47-T48</f>
        <v>17731.945871242642</v>
      </c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</row>
    <row r="50" spans="2:55" ht="15.6">
      <c r="B50" s="319" t="s">
        <v>88</v>
      </c>
      <c r="D50" s="350">
        <f>E21</f>
        <v>0.05</v>
      </c>
      <c r="Q50" s="371" t="s">
        <v>89</v>
      </c>
      <c r="T50">
        <f>O12</f>
        <v>320.8</v>
      </c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</row>
    <row r="51" spans="2:55" ht="15.6">
      <c r="B51" s="370" t="s">
        <v>67</v>
      </c>
      <c r="E51" s="6">
        <f>D30</f>
        <v>3033.6464851967994</v>
      </c>
      <c r="F51" s="6">
        <f>E53</f>
        <v>3033.6464851967994</v>
      </c>
      <c r="G51" s="6">
        <f t="shared" ref="G51:J51" si="12">F53</f>
        <v>3033.6464851967994</v>
      </c>
      <c r="H51" s="6">
        <f t="shared" si="12"/>
        <v>3033.6464851967994</v>
      </c>
      <c r="I51" s="6">
        <f t="shared" si="12"/>
        <v>3033.6464851967994</v>
      </c>
      <c r="J51" s="6">
        <f t="shared" si="12"/>
        <v>3033.6464851967994</v>
      </c>
      <c r="Q51" s="372" t="s">
        <v>90</v>
      </c>
      <c r="R51" s="100"/>
      <c r="S51" s="100"/>
      <c r="T51" s="325">
        <f>T49/T50</f>
        <v>55.274145483923448</v>
      </c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</row>
    <row r="52" spans="2:55" ht="15.6">
      <c r="B52" s="370" t="s">
        <v>68</v>
      </c>
      <c r="F52" s="6">
        <f>-MIN(F51,O33+F39+F46)</f>
        <v>0</v>
      </c>
      <c r="G52" s="6">
        <f t="shared" ref="G52:J52" si="13">-MIN(G51,P33+G39+G46)</f>
        <v>0</v>
      </c>
      <c r="H52" s="6">
        <f t="shared" si="13"/>
        <v>0</v>
      </c>
      <c r="I52" s="6">
        <f t="shared" si="13"/>
        <v>0</v>
      </c>
      <c r="J52" s="6">
        <f t="shared" si="13"/>
        <v>0</v>
      </c>
      <c r="Q52" s="380" t="s">
        <v>91</v>
      </c>
      <c r="R52" s="381"/>
      <c r="S52" s="381"/>
      <c r="T52" s="382">
        <f>(T51-O13)/O13</f>
        <v>0.74366389539190692</v>
      </c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</row>
    <row r="53" spans="2:55" ht="15.6">
      <c r="B53" s="370" t="s">
        <v>70</v>
      </c>
      <c r="E53" s="6">
        <f>SUM(E51:E52)</f>
        <v>3033.6464851967994</v>
      </c>
      <c r="F53" s="6">
        <f>SUM(F51:F52)</f>
        <v>3033.6464851967994</v>
      </c>
      <c r="G53" s="6">
        <f t="shared" ref="G53:J53" si="14">SUM(G51:G52)</f>
        <v>3033.6464851967994</v>
      </c>
      <c r="H53" s="6">
        <f t="shared" si="14"/>
        <v>3033.6464851967994</v>
      </c>
      <c r="I53" s="6">
        <f t="shared" si="14"/>
        <v>3033.6464851967994</v>
      </c>
      <c r="J53" s="6">
        <f t="shared" si="14"/>
        <v>3033.6464851967994</v>
      </c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</row>
    <row r="54" spans="2:55" ht="15.6">
      <c r="B54" s="370" t="s">
        <v>86</v>
      </c>
      <c r="E54" s="6"/>
      <c r="F54" s="6">
        <f>AVERAGE(E53:F53)*$D$50</f>
        <v>151.68232425983999</v>
      </c>
      <c r="G54" s="6">
        <f t="shared" ref="G54:J54" si="15">AVERAGE(F53:G53)*$D$50</f>
        <v>151.68232425983999</v>
      </c>
      <c r="H54" s="6">
        <f t="shared" si="15"/>
        <v>151.68232425983999</v>
      </c>
      <c r="I54" s="6">
        <f t="shared" si="15"/>
        <v>151.68232425983999</v>
      </c>
      <c r="J54" s="6">
        <f t="shared" si="15"/>
        <v>151.68232425983999</v>
      </c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</row>
    <row r="55" spans="2:55" ht="15.6">
      <c r="E55" s="6"/>
      <c r="F55" s="6"/>
      <c r="G55" s="6"/>
      <c r="H55" s="6"/>
      <c r="I55" s="6"/>
      <c r="J55" s="6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</row>
    <row r="56" spans="2:55" ht="15.6">
      <c r="B56" s="319" t="s">
        <v>38</v>
      </c>
      <c r="D56" s="350">
        <f>E22</f>
        <v>0.06</v>
      </c>
      <c r="E56" s="6"/>
      <c r="F56" s="6"/>
      <c r="G56" s="6"/>
      <c r="H56" s="6"/>
      <c r="I56" s="6"/>
      <c r="J56" s="6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</row>
    <row r="57" spans="2:55" ht="15.6">
      <c r="B57" s="370" t="s">
        <v>67</v>
      </c>
      <c r="E57" s="6">
        <f>D31</f>
        <v>1516.8232425983997</v>
      </c>
      <c r="F57" s="6">
        <f>E59</f>
        <v>1516.8232425983997</v>
      </c>
      <c r="G57" s="6">
        <f t="shared" ref="G57:J57" si="16">F59</f>
        <v>1516.8232425983997</v>
      </c>
      <c r="H57" s="6">
        <f t="shared" si="16"/>
        <v>1516.8232425983997</v>
      </c>
      <c r="I57" s="6">
        <f t="shared" si="16"/>
        <v>1516.8232425983997</v>
      </c>
      <c r="J57" s="6">
        <f t="shared" si="16"/>
        <v>1516.8232425983997</v>
      </c>
      <c r="U57" s="25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</row>
    <row r="58" spans="2:55" ht="15.6">
      <c r="B58" s="370" t="s">
        <v>68</v>
      </c>
      <c r="E58" s="6"/>
      <c r="F58" s="6">
        <f>-MIN(F57,O33+F39+F46+F52)</f>
        <v>0</v>
      </c>
      <c r="G58" s="6">
        <f t="shared" ref="G58:J58" si="17">-MIN(G57,P33+G39+G46+G52)</f>
        <v>0</v>
      </c>
      <c r="H58" s="6">
        <f t="shared" si="17"/>
        <v>0</v>
      </c>
      <c r="I58" s="6">
        <f t="shared" si="17"/>
        <v>0</v>
      </c>
      <c r="J58" s="6">
        <f t="shared" si="17"/>
        <v>0</v>
      </c>
      <c r="U58" s="25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</row>
    <row r="59" spans="2:55" ht="15.6">
      <c r="B59" s="370" t="s">
        <v>70</v>
      </c>
      <c r="E59" s="6">
        <f>SUM(E57:E58)</f>
        <v>1516.8232425983997</v>
      </c>
      <c r="F59" s="6">
        <f>SUM(F57:F58)</f>
        <v>1516.8232425983997</v>
      </c>
      <c r="G59" s="6">
        <f t="shared" ref="G59:J59" si="18">SUM(G57:G58)</f>
        <v>1516.8232425983997</v>
      </c>
      <c r="H59" s="6">
        <f t="shared" si="18"/>
        <v>1516.8232425983997</v>
      </c>
      <c r="I59" s="6">
        <f t="shared" si="18"/>
        <v>1516.8232425983997</v>
      </c>
      <c r="J59" s="6">
        <f t="shared" si="18"/>
        <v>1516.8232425983997</v>
      </c>
      <c r="U59" s="25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</row>
    <row r="60" spans="2:55" ht="15.6">
      <c r="B60" s="370" t="s">
        <v>86</v>
      </c>
      <c r="E60" s="6"/>
      <c r="F60" s="6">
        <f>AVERAGE(E59:F59)*$D$56</f>
        <v>91.009394555903981</v>
      </c>
      <c r="G60" s="6">
        <f t="shared" ref="G60:J60" si="19">AVERAGE(F59:G59)*$D$56</f>
        <v>91.009394555903981</v>
      </c>
      <c r="H60" s="6">
        <f t="shared" si="19"/>
        <v>91.009394555903981</v>
      </c>
      <c r="I60" s="6">
        <f t="shared" si="19"/>
        <v>91.009394555903981</v>
      </c>
      <c r="J60" s="6">
        <f t="shared" si="19"/>
        <v>91.009394555903981</v>
      </c>
      <c r="U60" s="25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</row>
    <row r="61" spans="2:55" ht="15.6">
      <c r="E61" s="6"/>
      <c r="F61" s="6"/>
      <c r="G61" s="6"/>
      <c r="H61" s="6"/>
      <c r="I61" s="6"/>
      <c r="J61" s="6"/>
      <c r="U61" s="25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</row>
    <row r="62" spans="2:55" ht="15.6">
      <c r="B62" s="319" t="s">
        <v>92</v>
      </c>
      <c r="C62" s="319"/>
      <c r="D62" s="319"/>
      <c r="E62" s="6">
        <f>E40+E47+E53+E59</f>
        <v>7584.1162129919985</v>
      </c>
      <c r="F62" s="6">
        <f t="shared" ref="F62:J62" si="20">F40+F47+F53+F59</f>
        <v>7052.4591875848801</v>
      </c>
      <c r="G62" s="6">
        <f t="shared" si="20"/>
        <v>6906.472090442533</v>
      </c>
      <c r="H62" s="6">
        <f t="shared" si="20"/>
        <v>6509.1641464934028</v>
      </c>
      <c r="I62" s="6">
        <f t="shared" si="20"/>
        <v>5870.1848146755674</v>
      </c>
      <c r="J62" s="6">
        <f t="shared" si="20"/>
        <v>5195.767227018644</v>
      </c>
      <c r="U62" s="25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</row>
    <row r="63" spans="2:55" ht="15.6">
      <c r="B63" s="319" t="s">
        <v>93</v>
      </c>
      <c r="C63" s="319"/>
      <c r="D63" s="319"/>
      <c r="E63" s="6">
        <f>E41+E42+E48+E54+E60</f>
        <v>0</v>
      </c>
      <c r="F63" s="6">
        <f t="shared" ref="F63:J63" si="21">F41+F42+F48+F54+F60</f>
        <v>350.41172013978701</v>
      </c>
      <c r="G63" s="6">
        <f t="shared" si="21"/>
        <v>340.61202604440086</v>
      </c>
      <c r="H63" s="6">
        <f t="shared" si="21"/>
        <v>328.58181694890607</v>
      </c>
      <c r="I63" s="6">
        <f t="shared" si="21"/>
        <v>308.25990892731545</v>
      </c>
      <c r="J63" s="6">
        <f t="shared" si="21"/>
        <v>281.99197053782024</v>
      </c>
      <c r="U63" s="25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</row>
    <row r="64" spans="2:55" ht="15.6">
      <c r="U64" s="25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</row>
    <row r="65" spans="1:55" ht="15.6">
      <c r="B65" s="256" t="s">
        <v>94</v>
      </c>
      <c r="C65" s="257"/>
      <c r="D65" s="60"/>
      <c r="E65" s="60" t="s">
        <v>44</v>
      </c>
      <c r="F65" s="60" t="s">
        <v>45</v>
      </c>
      <c r="G65" s="60" t="s">
        <v>46</v>
      </c>
      <c r="H65" s="60" t="s">
        <v>47</v>
      </c>
      <c r="I65" s="60" t="s">
        <v>48</v>
      </c>
      <c r="J65" s="60" t="s">
        <v>49</v>
      </c>
      <c r="L65" s="256" t="s">
        <v>95</v>
      </c>
      <c r="M65" s="257"/>
      <c r="N65" s="60"/>
      <c r="O65" s="60"/>
      <c r="P65" s="60"/>
      <c r="Q65" s="60"/>
      <c r="R65" s="60"/>
      <c r="S65" s="60"/>
      <c r="T65" s="60"/>
      <c r="U65" s="25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</row>
    <row r="66" spans="1:55" ht="15.6">
      <c r="U66" s="25"/>
      <c r="V66" s="1"/>
      <c r="W66" s="1"/>
      <c r="X66" s="1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</row>
    <row r="67" spans="1:55" ht="15.6">
      <c r="A67" s="1"/>
      <c r="B67" s="370" t="s">
        <v>56</v>
      </c>
      <c r="E67" s="67">
        <f>O29</f>
        <v>725.77278292419976</v>
      </c>
      <c r="F67" s="67">
        <f t="shared" ref="F67:J67" si="22">P29</f>
        <v>840.00295317369546</v>
      </c>
      <c r="G67" s="67">
        <f t="shared" si="22"/>
        <v>1019.3098865341882</v>
      </c>
      <c r="H67" s="67">
        <f t="shared" si="22"/>
        <v>1245.6772447996734</v>
      </c>
      <c r="I67" s="67">
        <f t="shared" si="22"/>
        <v>1411.2619774625466</v>
      </c>
      <c r="J67" s="67">
        <f t="shared" si="22"/>
        <v>1629.2247726725907</v>
      </c>
      <c r="L67" s="25"/>
      <c r="M67" s="25"/>
      <c r="N67" s="25"/>
      <c r="O67" s="25"/>
      <c r="P67" s="25"/>
      <c r="Q67" s="352" t="s">
        <v>18</v>
      </c>
      <c r="R67" s="25"/>
      <c r="S67" s="25"/>
      <c r="T67" s="25"/>
      <c r="U67" s="25"/>
      <c r="V67" s="1"/>
      <c r="W67" s="1"/>
      <c r="X67" s="1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</row>
    <row r="68" spans="1:55" ht="15.6">
      <c r="A68" s="1"/>
      <c r="B68" s="370" t="s">
        <v>86</v>
      </c>
      <c r="E68" s="67">
        <f>E63</f>
        <v>0</v>
      </c>
      <c r="F68" s="67">
        <f t="shared" ref="F68:J68" si="23">F63</f>
        <v>350.41172013978701</v>
      </c>
      <c r="G68" s="67">
        <f t="shared" si="23"/>
        <v>340.61202604440086</v>
      </c>
      <c r="H68" s="67">
        <f t="shared" si="23"/>
        <v>328.58181694890607</v>
      </c>
      <c r="I68" s="67">
        <f t="shared" si="23"/>
        <v>308.25990892731545</v>
      </c>
      <c r="J68" s="67">
        <f t="shared" si="23"/>
        <v>281.99197053782024</v>
      </c>
      <c r="L68" s="25"/>
      <c r="M68" s="390">
        <f>$O$46</f>
        <v>0.27854844533706258</v>
      </c>
      <c r="N68" s="393">
        <f>O68-0.5</f>
        <v>8.8000000000000007</v>
      </c>
      <c r="O68" s="393">
        <f>P68-0.5</f>
        <v>9.3000000000000007</v>
      </c>
      <c r="P68" s="393">
        <f>Q68-0.5</f>
        <v>9.8000000000000007</v>
      </c>
      <c r="Q68" s="392">
        <v>10.3</v>
      </c>
      <c r="R68" s="393">
        <f>Q68+0.5</f>
        <v>10.8</v>
      </c>
      <c r="S68" s="393">
        <f t="shared" ref="S68:T68" si="24">R68+0.5</f>
        <v>11.3</v>
      </c>
      <c r="T68" s="393">
        <f t="shared" si="24"/>
        <v>11.8</v>
      </c>
      <c r="U68" s="25"/>
      <c r="V68" s="1"/>
      <c r="W68" s="1"/>
      <c r="X68" s="1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</row>
    <row r="69" spans="1:55" ht="15.6">
      <c r="A69" s="1"/>
      <c r="C69" s="1" t="s">
        <v>31</v>
      </c>
      <c r="E69" s="67"/>
      <c r="F69" s="67">
        <f t="shared" ref="F69:J69" si="25">F41</f>
        <v>14.777493257869217</v>
      </c>
      <c r="G69" s="67">
        <f t="shared" si="25"/>
        <v>4.6128314196272333</v>
      </c>
      <c r="H69" s="67">
        <f t="shared" si="25"/>
        <v>1.2115124812460119</v>
      </c>
      <c r="I69" s="67">
        <f t="shared" si="25"/>
        <v>0</v>
      </c>
      <c r="J69" s="67">
        <f t="shared" si="25"/>
        <v>0</v>
      </c>
      <c r="L69" s="25"/>
      <c r="M69" s="388">
        <f>M70-5%</f>
        <v>0</v>
      </c>
      <c r="N69" s="397">
        <f t="dataTable" ref="N69:T79" dt2D="1" dtr="1" r1="D13" r2="O14"/>
        <v>0.36901576923800539</v>
      </c>
      <c r="O69" s="398">
        <v>0.38469322545817031</v>
      </c>
      <c r="P69" s="398">
        <v>0.39953039487011477</v>
      </c>
      <c r="Q69" s="398">
        <v>0.41362040645178477</v>
      </c>
      <c r="R69" s="398">
        <v>0.42704134238493618</v>
      </c>
      <c r="S69" s="398">
        <v>0.43985935062863057</v>
      </c>
      <c r="T69" s="399">
        <v>0.45213098703286181</v>
      </c>
      <c r="U69" s="25"/>
      <c r="V69" s="1"/>
      <c r="W69" s="1"/>
      <c r="X69" s="1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</row>
    <row r="70" spans="1:55" ht="15.6">
      <c r="A70" s="1"/>
      <c r="C70" s="114" t="s">
        <v>96</v>
      </c>
      <c r="E70" s="6"/>
      <c r="F70" s="6">
        <f t="shared" ref="F70:J70" si="26">IF(F69=0,0,F67/F69)</f>
        <v>56.843399520847854</v>
      </c>
      <c r="G70" s="6">
        <f t="shared" si="26"/>
        <v>220.97271584586966</v>
      </c>
      <c r="H70" s="6">
        <f t="shared" si="26"/>
        <v>1028.2000921018362</v>
      </c>
      <c r="I70" s="6">
        <f t="shared" si="26"/>
        <v>0</v>
      </c>
      <c r="J70" s="6">
        <f t="shared" si="26"/>
        <v>0</v>
      </c>
      <c r="L70" s="25"/>
      <c r="M70" s="388">
        <f>M71-5%</f>
        <v>5.0000000000000017E-2</v>
      </c>
      <c r="N70" s="400">
        <v>0.33454009095532244</v>
      </c>
      <c r="O70" s="388">
        <v>0.34982274461069429</v>
      </c>
      <c r="P70" s="388">
        <v>0.36428627224964716</v>
      </c>
      <c r="Q70" s="388">
        <v>0.37802145759979799</v>
      </c>
      <c r="R70" s="388">
        <v>0.39110441651334105</v>
      </c>
      <c r="S70" s="388">
        <v>0.40359963115716324</v>
      </c>
      <c r="T70" s="394">
        <v>0.41556223314544338</v>
      </c>
      <c r="V70" s="1"/>
      <c r="W70" s="1"/>
      <c r="X70" s="1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</row>
    <row r="71" spans="1:55" ht="15.6">
      <c r="A71" s="1"/>
      <c r="B71" s="1"/>
      <c r="C71" s="1" t="s">
        <v>97</v>
      </c>
      <c r="D71" s="1"/>
      <c r="E71" s="67"/>
      <c r="F71" s="67">
        <f t="shared" ref="F71:J71" si="27">F48</f>
        <v>91.009394555903981</v>
      </c>
      <c r="G71" s="67">
        <f t="shared" si="27"/>
        <v>91.009394555903981</v>
      </c>
      <c r="H71" s="67">
        <f t="shared" si="27"/>
        <v>84.67858565191608</v>
      </c>
      <c r="I71" s="67">
        <f t="shared" si="27"/>
        <v>65.568190111571454</v>
      </c>
      <c r="J71" s="67">
        <f t="shared" si="27"/>
        <v>39.300251722076261</v>
      </c>
      <c r="K71" s="1"/>
      <c r="L71" s="25"/>
      <c r="M71" s="388">
        <f>M72-5%</f>
        <v>0.10000000000000002</v>
      </c>
      <c r="N71" s="400">
        <v>0.30535034839168573</v>
      </c>
      <c r="O71" s="388">
        <v>0.32029873203979964</v>
      </c>
      <c r="P71" s="388">
        <v>0.33444590601414226</v>
      </c>
      <c r="Q71" s="388">
        <v>0.34788066837426679</v>
      </c>
      <c r="R71" s="388">
        <v>0.36067747012756768</v>
      </c>
      <c r="S71" s="388">
        <v>0.37289938305403969</v>
      </c>
      <c r="T71" s="394">
        <v>0.38460033290103501</v>
      </c>
      <c r="V71" s="1"/>
      <c r="W71" s="1"/>
      <c r="X71" s="1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</row>
    <row r="72" spans="1:55" ht="15.6">
      <c r="A72" s="1"/>
      <c r="B72" s="1"/>
      <c r="C72" s="114" t="s">
        <v>96</v>
      </c>
      <c r="D72" s="1"/>
      <c r="E72" s="6"/>
      <c r="F72" s="6">
        <f t="shared" ref="F72:J72" si="28">IF(F71=0,0,(F67-F69)/F71)</f>
        <v>9.0674755495589885</v>
      </c>
      <c r="G72" s="6">
        <f t="shared" si="28"/>
        <v>11.1493660634262</v>
      </c>
      <c r="H72" s="6">
        <f t="shared" si="28"/>
        <v>14.696345277116329</v>
      </c>
      <c r="I72" s="6">
        <f t="shared" si="28"/>
        <v>21.523576829879396</v>
      </c>
      <c r="J72" s="6">
        <f t="shared" si="28"/>
        <v>41.455835555307672</v>
      </c>
      <c r="K72" s="1"/>
      <c r="L72" s="25"/>
      <c r="M72" s="388">
        <f>M73-5%</f>
        <v>0.15000000000000002</v>
      </c>
      <c r="N72" s="400">
        <v>0.28011499432756648</v>
      </c>
      <c r="O72" s="388">
        <v>0.2947743921455459</v>
      </c>
      <c r="P72" s="388">
        <v>0.30864806947227263</v>
      </c>
      <c r="Q72" s="388">
        <v>0.32182310770136779</v>
      </c>
      <c r="R72" s="388">
        <v>0.33437251853503502</v>
      </c>
      <c r="S72" s="388">
        <v>0.34635815443410167</v>
      </c>
      <c r="T72" s="394">
        <v>0.35783289864010626</v>
      </c>
      <c r="V72" s="1"/>
      <c r="W72" s="1"/>
      <c r="X72" s="1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</row>
    <row r="73" spans="1:55" ht="15.6">
      <c r="A73" s="1"/>
      <c r="B73" s="1"/>
      <c r="C73" s="1" t="s">
        <v>98</v>
      </c>
      <c r="D73" s="1"/>
      <c r="E73" s="67"/>
      <c r="F73" s="67">
        <f t="shared" ref="F73:J73" si="29">F54</f>
        <v>151.68232425983999</v>
      </c>
      <c r="G73" s="67">
        <f t="shared" si="29"/>
        <v>151.68232425983999</v>
      </c>
      <c r="H73" s="67">
        <f t="shared" si="29"/>
        <v>151.68232425983999</v>
      </c>
      <c r="I73" s="67">
        <f t="shared" si="29"/>
        <v>151.68232425983999</v>
      </c>
      <c r="J73" s="67">
        <f t="shared" si="29"/>
        <v>151.68232425983999</v>
      </c>
      <c r="K73" s="1"/>
      <c r="L73" s="352" t="s">
        <v>23</v>
      </c>
      <c r="M73" s="388">
        <f>M74-5%</f>
        <v>0.2</v>
      </c>
      <c r="N73" s="400">
        <v>0.2579419809562431</v>
      </c>
      <c r="O73" s="388">
        <v>0.27234746172358704</v>
      </c>
      <c r="P73" s="388">
        <v>0.28598083155119225</v>
      </c>
      <c r="Q73" s="388">
        <v>0.29892766348623101</v>
      </c>
      <c r="R73" s="388">
        <v>0.3112597045871397</v>
      </c>
      <c r="S73" s="388">
        <v>0.32303773596143226</v>
      </c>
      <c r="T73" s="394">
        <v>0.3343137248541721</v>
      </c>
      <c r="V73" s="1"/>
      <c r="W73" s="1"/>
      <c r="X73" s="1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</row>
    <row r="74" spans="1:55" ht="15.6">
      <c r="A74" s="1"/>
      <c r="B74" s="1"/>
      <c r="C74" s="114" t="s">
        <v>96</v>
      </c>
      <c r="D74" s="1"/>
      <c r="E74" s="383"/>
      <c r="F74" s="383">
        <f t="shared" ref="F74:J74" si="30">IF(F73=0,0,(F67-F69-F71)/F73)</f>
        <v>4.840485329735392</v>
      </c>
      <c r="G74" s="6">
        <f t="shared" si="30"/>
        <v>6.0896196380557184</v>
      </c>
      <c r="H74" s="6">
        <f t="shared" si="30"/>
        <v>7.6461588542098911</v>
      </c>
      <c r="I74" s="6">
        <f t="shared" si="30"/>
        <v>8.8717903942830496</v>
      </c>
      <c r="J74" s="6">
        <f t="shared" si="30"/>
        <v>10.481936697033257</v>
      </c>
      <c r="K74" s="1"/>
      <c r="L74" s="25"/>
      <c r="M74" s="391">
        <v>0.25</v>
      </c>
      <c r="N74" s="400">
        <v>0.23820579797273544</v>
      </c>
      <c r="O74" s="388">
        <v>0.25238526735903521</v>
      </c>
      <c r="P74" s="388">
        <v>0.26580473965744345</v>
      </c>
      <c r="Q74" s="388">
        <v>0.2785484453370628</v>
      </c>
      <c r="R74" s="388">
        <v>0.29068700579783657</v>
      </c>
      <c r="S74" s="388">
        <v>0.30228024853647861</v>
      </c>
      <c r="T74" s="394">
        <v>0.31337932547025993</v>
      </c>
      <c r="V74" s="1"/>
      <c r="W74" s="1"/>
      <c r="X74" s="1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</row>
    <row r="75" spans="1:55" ht="15.6">
      <c r="A75" s="1"/>
      <c r="B75" s="1"/>
      <c r="C75" s="1" t="s">
        <v>99</v>
      </c>
      <c r="D75" s="1"/>
      <c r="E75" s="67"/>
      <c r="F75" s="67">
        <f t="shared" ref="F75:J75" si="31">F60</f>
        <v>91.009394555903981</v>
      </c>
      <c r="G75" s="67">
        <f t="shared" si="31"/>
        <v>91.009394555903981</v>
      </c>
      <c r="H75" s="67">
        <f t="shared" si="31"/>
        <v>91.009394555903981</v>
      </c>
      <c r="I75" s="67">
        <f t="shared" si="31"/>
        <v>91.009394555903981</v>
      </c>
      <c r="J75" s="67">
        <f t="shared" si="31"/>
        <v>91.009394555903981</v>
      </c>
      <c r="K75" s="1"/>
      <c r="L75" s="25"/>
      <c r="M75" s="388">
        <f>M74+5%</f>
        <v>0.3</v>
      </c>
      <c r="N75" s="400">
        <v>0.22045166989154419</v>
      </c>
      <c r="O75" s="388">
        <v>0.23442782564773501</v>
      </c>
      <c r="P75" s="388">
        <v>0.24765488160440263</v>
      </c>
      <c r="Q75" s="388">
        <v>0.26021586048429657</v>
      </c>
      <c r="R75" s="388">
        <v>0.27218037107590121</v>
      </c>
      <c r="S75" s="388">
        <v>0.28360738303384814</v>
      </c>
      <c r="T75" s="394">
        <v>0.29454731482892305</v>
      </c>
      <c r="V75" s="1"/>
      <c r="W75" s="1"/>
      <c r="X75" s="1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</row>
    <row r="76" spans="1:55" ht="15.6">
      <c r="A76" s="1"/>
      <c r="B76" s="1"/>
      <c r="C76" s="114" t="s">
        <v>96</v>
      </c>
      <c r="D76" s="1"/>
      <c r="E76" s="383"/>
      <c r="F76" s="383">
        <f>IF(F75=0,0,(F67-F69-F71-F73)/F75)</f>
        <v>6.4008088828923206</v>
      </c>
      <c r="G76" s="383">
        <f t="shared" ref="G76:J76" si="32">IF(G75=0,0,(G67-G69-G71-G73)/G75)</f>
        <v>8.4826993967595321</v>
      </c>
      <c r="H76" s="383">
        <f t="shared" si="32"/>
        <v>11.076931423683153</v>
      </c>
      <c r="I76" s="383">
        <f t="shared" si="32"/>
        <v>13.119650657138417</v>
      </c>
      <c r="J76" s="383">
        <f t="shared" si="32"/>
        <v>15.803227828388762</v>
      </c>
      <c r="K76" s="1"/>
      <c r="L76" s="25"/>
      <c r="M76" s="388">
        <f>M75+5%</f>
        <v>0.35</v>
      </c>
      <c r="N76" s="400">
        <v>0.20433907848237798</v>
      </c>
      <c r="O76" s="388">
        <v>0.21813071887206492</v>
      </c>
      <c r="P76" s="388">
        <v>0.23118314919345861</v>
      </c>
      <c r="Q76" s="388">
        <v>0.24357829609050241</v>
      </c>
      <c r="R76" s="388">
        <v>0.25538484936570605</v>
      </c>
      <c r="S76" s="388">
        <v>0.2666610001472145</v>
      </c>
      <c r="T76" s="394">
        <v>0.27745650127337673</v>
      </c>
      <c r="V76" s="1"/>
      <c r="W76" s="1"/>
      <c r="X76" s="1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</row>
    <row r="77" spans="1:55" ht="15.6">
      <c r="A77" s="1"/>
      <c r="B77" s="1"/>
      <c r="C77" s="1" t="s">
        <v>100</v>
      </c>
      <c r="D77" s="1"/>
      <c r="E77" s="384"/>
      <c r="F77" s="384">
        <f t="shared" ref="F77:J77" si="33">F69+F71+F73+F75</f>
        <v>348.47860662951723</v>
      </c>
      <c r="G77" s="384">
        <f t="shared" si="33"/>
        <v>338.31394479127516</v>
      </c>
      <c r="H77" s="384">
        <f t="shared" si="33"/>
        <v>328.58181694890607</v>
      </c>
      <c r="I77" s="384">
        <f t="shared" si="33"/>
        <v>308.25990892731545</v>
      </c>
      <c r="J77" s="384">
        <f t="shared" si="33"/>
        <v>281.99197053782024</v>
      </c>
      <c r="K77" s="1"/>
      <c r="L77" s="25"/>
      <c r="M77" s="388">
        <f>M76+5%</f>
        <v>0.39999999999999997</v>
      </c>
      <c r="N77" s="400">
        <v>0.18960675529906634</v>
      </c>
      <c r="O77" s="388">
        <v>0.20322968663739127</v>
      </c>
      <c r="P77" s="388">
        <v>0.21612245044521061</v>
      </c>
      <c r="Q77" s="388">
        <v>0.228365971182102</v>
      </c>
      <c r="R77" s="388">
        <v>0.24002809838856876</v>
      </c>
      <c r="S77" s="388">
        <v>0.25116631135792367</v>
      </c>
      <c r="T77" s="394">
        <v>0.26182975431678224</v>
      </c>
      <c r="V77" s="1"/>
      <c r="W77" s="1"/>
      <c r="X77" s="1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</row>
    <row r="78" spans="1:55" ht="15.6">
      <c r="A78" s="1"/>
      <c r="B78" s="1"/>
      <c r="C78" s="385" t="s">
        <v>101</v>
      </c>
      <c r="D78" s="386"/>
      <c r="E78" s="387"/>
      <c r="F78" s="387">
        <f t="shared" ref="F78:J78" si="34">IF(F77=0,0,F67/F68)</f>
        <v>2.3971885210877071</v>
      </c>
      <c r="G78" s="387">
        <f t="shared" si="34"/>
        <v>2.9925833752015407</v>
      </c>
      <c r="H78" s="387">
        <f t="shared" si="34"/>
        <v>3.7910717530464391</v>
      </c>
      <c r="I78" s="387">
        <f t="shared" si="34"/>
        <v>4.5781560838497093</v>
      </c>
      <c r="J78" s="387">
        <f t="shared" si="34"/>
        <v>5.7775573168459493</v>
      </c>
      <c r="K78" s="1"/>
      <c r="L78" s="25"/>
      <c r="M78" s="388">
        <f>M77+5%</f>
        <v>0.44999999999999996</v>
      </c>
      <c r="N78" s="400">
        <v>0.17605006740532581</v>
      </c>
      <c r="O78" s="388">
        <v>0.1895177526276306</v>
      </c>
      <c r="P78" s="388">
        <v>0.20226359126521909</v>
      </c>
      <c r="Q78" s="388">
        <v>0.21436758556733571</v>
      </c>
      <c r="R78" s="388">
        <v>0.22589681186515298</v>
      </c>
      <c r="S78" s="388">
        <v>0.23690809442137173</v>
      </c>
      <c r="T78" s="394">
        <v>0.24745001741792172</v>
      </c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</row>
    <row r="79" spans="1:55" ht="15.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25"/>
      <c r="M79" s="388">
        <f>M78+5%</f>
        <v>0.49999999999999994</v>
      </c>
      <c r="N79" s="401">
        <v>0.16350589415705508</v>
      </c>
      <c r="O79" s="395">
        <v>0.17682992820211507</v>
      </c>
      <c r="P79" s="395">
        <v>0.18943981513790464</v>
      </c>
      <c r="Q79" s="395">
        <v>0.20141470388088756</v>
      </c>
      <c r="R79" s="395">
        <v>0.21282095530194844</v>
      </c>
      <c r="S79" s="395">
        <v>0.22371478755575303</v>
      </c>
      <c r="T79" s="396">
        <v>0.23414426660786258</v>
      </c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</row>
    <row r="80" spans="1:55" ht="15.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</row>
    <row r="81" spans="1:35" ht="15.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</row>
    <row r="82" spans="1:35" ht="15.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</row>
    <row r="83" spans="1:35" ht="15.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</row>
    <row r="84" spans="1:35" ht="15.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</row>
    <row r="85" spans="1:35" ht="15.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</row>
    <row r="86" spans="1:35" ht="15.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</row>
    <row r="87" spans="1:35" ht="15.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</row>
    <row r="88" spans="1:35" ht="15.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</row>
    <row r="89" spans="1:35" ht="15.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</row>
    <row r="90" spans="1:35" ht="15.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</row>
    <row r="91" spans="1:35" ht="15.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</row>
    <row r="92" spans="1:35" ht="15.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</row>
    <row r="93" spans="1:35" ht="15.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</row>
    <row r="94" spans="1:35" ht="15.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</row>
    <row r="95" spans="1:35" ht="15.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</row>
    <row r="96" spans="1:35" ht="15.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</row>
    <row r="97" spans="1:35" ht="15.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spans="1:35" ht="15.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</sheetData>
  <conditionalFormatting sqref="BA19:BC30">
    <cfRule type="colorScale" priority="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69:T7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1013"/>
  <sheetViews>
    <sheetView showGridLines="0" topLeftCell="A6" zoomScale="69" workbookViewId="0">
      <selection activeCell="E42" sqref="E42"/>
    </sheetView>
  </sheetViews>
  <sheetFormatPr defaultColWidth="14.42578125" defaultRowHeight="15" customHeight="1"/>
  <cols>
    <col min="1" max="1" width="8.5703125" customWidth="1"/>
    <col min="2" max="2" width="21.85546875" customWidth="1"/>
    <col min="3" max="17" width="10.42578125" customWidth="1"/>
    <col min="18" max="26" width="8.5703125" customWidth="1"/>
  </cols>
  <sheetData>
    <row r="1" spans="2:38" ht="12.75" customHeight="1">
      <c r="T1" s="2"/>
      <c r="U1" s="2"/>
      <c r="V1" s="2"/>
      <c r="W1" s="2"/>
      <c r="X1" s="2"/>
      <c r="Y1" s="2"/>
      <c r="Z1" s="2"/>
    </row>
    <row r="2" spans="2:38" ht="26.1"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L2" s="2"/>
      <c r="R2" s="25"/>
      <c r="S2" s="25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spans="2:38" ht="12.75" customHeight="1">
      <c r="B3" s="61" t="s">
        <v>102</v>
      </c>
      <c r="C3" s="56"/>
      <c r="D3" s="56"/>
      <c r="E3" s="56"/>
      <c r="F3" s="56"/>
      <c r="G3" s="56"/>
      <c r="H3" s="56"/>
      <c r="I3" s="56"/>
      <c r="J3" s="56"/>
      <c r="K3" s="56"/>
      <c r="L3" s="2"/>
      <c r="R3" s="25"/>
      <c r="S3" s="25"/>
      <c r="T3" s="20"/>
      <c r="U3" s="299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</row>
    <row r="4" spans="2:38" ht="12.75" customHeight="1">
      <c r="B4" s="57" t="s">
        <v>10</v>
      </c>
      <c r="C4" s="56"/>
      <c r="D4" s="56"/>
      <c r="E4" s="56"/>
      <c r="F4" s="56"/>
      <c r="G4" s="56"/>
      <c r="H4" s="56"/>
      <c r="I4" s="56"/>
      <c r="J4" s="56"/>
      <c r="K4" s="56"/>
      <c r="L4" s="2"/>
      <c r="R4" s="25"/>
      <c r="S4" s="25"/>
      <c r="T4" s="20"/>
      <c r="U4" s="27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</row>
    <row r="5" spans="2:38" ht="12.75" customHeight="1">
      <c r="R5" s="25"/>
      <c r="S5" s="2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2:38" ht="12.75" customHeight="1">
      <c r="B6" s="58" t="s">
        <v>11</v>
      </c>
      <c r="C6" s="59"/>
      <c r="D6" s="59"/>
      <c r="E6" s="59"/>
      <c r="F6" s="59"/>
      <c r="G6" s="59"/>
      <c r="H6" s="59"/>
      <c r="I6" s="59"/>
      <c r="J6" s="59"/>
      <c r="K6" s="59"/>
      <c r="L6" s="86"/>
      <c r="R6" s="25"/>
      <c r="S6" s="25"/>
      <c r="T6" s="5"/>
      <c r="U6" s="437"/>
      <c r="V6" s="50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</row>
    <row r="7" spans="2:38" ht="12.75" customHeight="1">
      <c r="R7" s="25"/>
      <c r="S7" s="25"/>
      <c r="T7" s="5"/>
      <c r="U7" s="5"/>
      <c r="V7" s="300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</row>
    <row r="8" spans="2:38" ht="12.75" customHeight="1">
      <c r="B8" s="256" t="s">
        <v>12</v>
      </c>
      <c r="C8" s="257"/>
      <c r="D8" s="257"/>
      <c r="E8" s="257"/>
      <c r="F8" s="257"/>
      <c r="G8" s="257"/>
      <c r="H8" s="255"/>
      <c r="I8" s="255"/>
      <c r="J8" s="255"/>
      <c r="K8" s="255"/>
      <c r="L8" s="243"/>
      <c r="R8" s="25"/>
      <c r="S8" s="25"/>
      <c r="T8" s="5"/>
      <c r="U8" s="5"/>
      <c r="V8" s="301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</row>
    <row r="9" spans="2:38" ht="12.75" customHeight="1">
      <c r="B9" s="214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R9" s="25"/>
      <c r="S9" s="25"/>
      <c r="T9" s="5"/>
      <c r="U9" s="5"/>
      <c r="V9" s="301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</row>
    <row r="10" spans="2:38" ht="12.75" customHeight="1">
      <c r="B10" s="215" t="s">
        <v>103</v>
      </c>
      <c r="C10" s="216"/>
      <c r="D10" s="216"/>
      <c r="E10" s="216"/>
      <c r="F10" s="86"/>
      <c r="G10" s="86"/>
      <c r="H10" s="86"/>
      <c r="I10" s="86"/>
      <c r="J10" s="86"/>
      <c r="K10" s="86"/>
      <c r="L10" s="86"/>
      <c r="M10" s="86"/>
      <c r="N10" s="86"/>
      <c r="R10" s="25"/>
      <c r="S10" s="25"/>
      <c r="T10" s="5"/>
      <c r="U10" s="5"/>
      <c r="V10" s="302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</row>
    <row r="11" spans="2:38" ht="12.75" customHeight="1">
      <c r="B11" s="86" t="s">
        <v>104</v>
      </c>
      <c r="C11" s="86"/>
      <c r="D11" s="253">
        <v>31.7</v>
      </c>
      <c r="E11" s="86"/>
      <c r="F11" s="86"/>
      <c r="H11" s="217"/>
      <c r="I11" s="86"/>
      <c r="J11" s="86"/>
      <c r="K11" s="86"/>
      <c r="L11" s="86"/>
      <c r="M11" s="86"/>
      <c r="N11" s="86"/>
      <c r="R11" s="25"/>
      <c r="S11" s="25"/>
      <c r="T11" s="5"/>
      <c r="U11" s="5"/>
      <c r="V11" s="302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</row>
    <row r="12" spans="2:38" ht="12.75" customHeight="1">
      <c r="B12" s="86" t="s">
        <v>105</v>
      </c>
      <c r="C12" s="86"/>
      <c r="D12" s="252">
        <v>320.8</v>
      </c>
      <c r="E12" s="86"/>
      <c r="F12" s="86"/>
      <c r="G12" s="86"/>
      <c r="H12" s="86"/>
      <c r="I12" s="86"/>
      <c r="J12" s="86"/>
      <c r="K12" s="86"/>
      <c r="L12" s="86"/>
      <c r="M12" s="86"/>
      <c r="N12" s="86"/>
      <c r="R12" s="25"/>
      <c r="S12" s="25"/>
      <c r="T12" s="5"/>
      <c r="U12" s="5"/>
      <c r="V12" s="303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</row>
    <row r="13" spans="2:38" ht="12.75" customHeight="1">
      <c r="B13" s="86" t="s">
        <v>106</v>
      </c>
      <c r="C13" s="86"/>
      <c r="D13" s="218">
        <f>BS!I47-BS!I6</f>
        <v>-556.81246099999998</v>
      </c>
      <c r="E13" s="86"/>
      <c r="F13" s="86"/>
      <c r="G13" s="86"/>
      <c r="H13" s="86"/>
      <c r="I13" s="86"/>
      <c r="J13" s="86"/>
      <c r="K13" s="86"/>
      <c r="L13" s="86"/>
      <c r="M13" s="86"/>
      <c r="N13" s="86"/>
      <c r="R13" s="25"/>
      <c r="S13" s="2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</row>
    <row r="14" spans="2:38" ht="12.75" customHeight="1">
      <c r="B14" s="86" t="s">
        <v>18</v>
      </c>
      <c r="C14" s="86"/>
      <c r="D14" s="219">
        <f>AVERAGE(Comps!K29,Comps!K34)</f>
        <v>11.196000000000002</v>
      </c>
      <c r="E14" s="86" t="s">
        <v>107</v>
      </c>
      <c r="F14" s="86"/>
      <c r="G14" s="86"/>
      <c r="H14" s="86"/>
      <c r="I14" s="86"/>
      <c r="J14" s="86"/>
      <c r="K14" s="86"/>
      <c r="L14" s="86"/>
      <c r="M14" s="86"/>
      <c r="N14" s="86"/>
      <c r="R14" s="25"/>
      <c r="S14" s="25"/>
      <c r="T14" s="5"/>
      <c r="U14" s="437"/>
      <c r="V14" s="505"/>
      <c r="W14" s="505"/>
      <c r="X14" s="505"/>
      <c r="Y14" s="505"/>
      <c r="Z14" s="505"/>
      <c r="AA14" s="505"/>
      <c r="AB14" s="505"/>
      <c r="AC14" s="505"/>
      <c r="AD14" s="505"/>
      <c r="AE14" s="505"/>
      <c r="AF14" s="505"/>
      <c r="AG14" s="505"/>
      <c r="AH14" s="505"/>
      <c r="AI14" s="505"/>
      <c r="AJ14" s="5"/>
      <c r="AK14" s="5"/>
      <c r="AL14" s="5"/>
    </row>
    <row r="15" spans="2:38" ht="12.75" customHeight="1">
      <c r="B15" s="86" t="s">
        <v>108</v>
      </c>
      <c r="C15" s="86"/>
      <c r="D15" s="220">
        <f>WACC!D27</f>
        <v>6.8744187752440039E-2</v>
      </c>
      <c r="E15" s="86"/>
      <c r="F15" s="86"/>
      <c r="G15" s="86"/>
      <c r="H15" s="86"/>
      <c r="I15" s="86"/>
      <c r="J15" s="86"/>
      <c r="K15" s="86"/>
      <c r="L15" s="86"/>
      <c r="M15" s="86"/>
      <c r="N15" s="86"/>
      <c r="R15" s="25"/>
      <c r="S15" s="25"/>
      <c r="T15" s="5"/>
      <c r="U15" s="5"/>
      <c r="V15" s="304"/>
      <c r="W15" s="304"/>
      <c r="X15" s="304"/>
      <c r="Y15" s="304"/>
      <c r="Z15" s="304"/>
      <c r="AA15" s="304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</row>
    <row r="16" spans="2:38" ht="12.75" customHeight="1">
      <c r="B16" s="86" t="s">
        <v>21</v>
      </c>
      <c r="C16" s="86"/>
      <c r="D16" s="254">
        <v>0.28000000000000003</v>
      </c>
      <c r="E16" s="86"/>
      <c r="F16" s="86"/>
      <c r="G16" s="86"/>
      <c r="H16" s="86"/>
      <c r="I16" s="86"/>
      <c r="J16" s="86"/>
      <c r="K16" s="86"/>
      <c r="L16" s="86"/>
      <c r="M16" s="86"/>
      <c r="N16" s="86"/>
      <c r="R16" s="25"/>
      <c r="S16" s="25"/>
      <c r="T16" s="5"/>
      <c r="U16" s="5"/>
      <c r="V16" s="304"/>
      <c r="W16" s="304"/>
      <c r="X16" s="304"/>
      <c r="Y16" s="304"/>
      <c r="Z16" s="304"/>
      <c r="AA16" s="304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</row>
    <row r="17" spans="2:38" ht="12.75" customHeight="1">
      <c r="B17" s="86" t="s">
        <v>109</v>
      </c>
      <c r="C17" s="86"/>
      <c r="D17" s="261">
        <v>2.2499999999999999E-2</v>
      </c>
      <c r="E17" s="86"/>
      <c r="F17" s="86"/>
      <c r="G17" s="86"/>
      <c r="H17" s="86"/>
      <c r="I17" s="86"/>
      <c r="J17" s="86"/>
      <c r="K17" s="86"/>
      <c r="L17" s="86"/>
      <c r="M17" s="86"/>
      <c r="N17" s="86"/>
      <c r="R17" s="25"/>
      <c r="S17" s="25"/>
      <c r="T17" s="5"/>
      <c r="U17" s="5"/>
      <c r="V17" s="304"/>
      <c r="W17" s="304"/>
      <c r="X17" s="304"/>
      <c r="Y17" s="304"/>
      <c r="Z17" s="304"/>
      <c r="AA17" s="304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</row>
    <row r="18" spans="2:38" ht="12.75" customHeight="1">
      <c r="B18" s="104"/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R18" s="25"/>
      <c r="S18" s="25"/>
      <c r="T18" s="5"/>
      <c r="U18" s="305"/>
      <c r="V18" s="306"/>
      <c r="W18" s="306"/>
      <c r="X18" s="306"/>
      <c r="Y18" s="306"/>
      <c r="Z18" s="306"/>
      <c r="AA18" s="306"/>
      <c r="AB18" s="5"/>
      <c r="AC18" s="437"/>
      <c r="AD18" s="505"/>
      <c r="AE18" s="505"/>
      <c r="AF18" s="5"/>
      <c r="AG18" s="437"/>
      <c r="AH18" s="505"/>
      <c r="AI18" s="505"/>
      <c r="AJ18" s="5"/>
      <c r="AK18" s="5"/>
      <c r="AL18" s="5"/>
    </row>
    <row r="19" spans="2:38" ht="12.75" customHeight="1">
      <c r="B19" s="119" t="s">
        <v>110</v>
      </c>
      <c r="C19" s="256"/>
      <c r="D19" s="256"/>
      <c r="E19" s="256"/>
      <c r="F19" s="258" t="s">
        <v>44</v>
      </c>
      <c r="G19" s="258" t="s">
        <v>45</v>
      </c>
      <c r="H19" s="258" t="s">
        <v>46</v>
      </c>
      <c r="I19" s="258" t="s">
        <v>47</v>
      </c>
      <c r="J19" s="258" t="s">
        <v>48</v>
      </c>
      <c r="K19" s="258" t="s">
        <v>49</v>
      </c>
      <c r="R19" s="25"/>
      <c r="S19" s="25"/>
      <c r="T19" s="5"/>
      <c r="U19" s="5"/>
      <c r="V19" s="290"/>
      <c r="W19" s="290"/>
      <c r="X19" s="290"/>
      <c r="Y19" s="290"/>
      <c r="Z19" s="290"/>
      <c r="AA19" s="290"/>
      <c r="AB19" s="5"/>
      <c r="AC19" s="5"/>
      <c r="AD19" s="5"/>
      <c r="AE19" s="295"/>
      <c r="AF19" s="5"/>
      <c r="AG19" s="5"/>
      <c r="AH19" s="5"/>
      <c r="AI19" s="295"/>
      <c r="AJ19" s="5"/>
      <c r="AK19" s="5"/>
      <c r="AL19" s="5"/>
    </row>
    <row r="20" spans="2:38" ht="12.75" customHeight="1"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R20" s="25"/>
      <c r="S20" s="25"/>
      <c r="T20" s="5"/>
      <c r="U20" s="5"/>
      <c r="V20" s="291"/>
      <c r="W20" s="291"/>
      <c r="X20" s="291"/>
      <c r="Y20" s="291"/>
      <c r="Z20" s="291"/>
      <c r="AA20" s="291"/>
      <c r="AB20" s="5"/>
      <c r="AC20" s="5"/>
      <c r="AD20" s="5"/>
      <c r="AE20" s="295"/>
      <c r="AF20" s="5"/>
      <c r="AG20" s="5"/>
      <c r="AH20" s="5"/>
      <c r="AI20" s="295"/>
      <c r="AJ20" s="5"/>
      <c r="AK20" s="5"/>
      <c r="AL20" s="5"/>
    </row>
    <row r="21" spans="2:38" ht="12.75" customHeight="1">
      <c r="B21" s="221" t="s">
        <v>111</v>
      </c>
      <c r="C21" s="222"/>
      <c r="D21" s="222"/>
      <c r="E21" s="222"/>
      <c r="F21" s="222"/>
      <c r="G21" s="222"/>
      <c r="H21" s="223"/>
      <c r="I21" s="223"/>
      <c r="J21" s="223"/>
      <c r="K21" s="223"/>
      <c r="L21" s="243"/>
      <c r="M21" s="243"/>
      <c r="N21" s="243"/>
      <c r="R21" s="25"/>
      <c r="S21" s="25"/>
      <c r="T21" s="5"/>
      <c r="U21" s="307"/>
      <c r="V21" s="292"/>
      <c r="W21" s="292"/>
      <c r="X21" s="292"/>
      <c r="Y21" s="292"/>
      <c r="Z21" s="292"/>
      <c r="AA21" s="292"/>
      <c r="AB21" s="5"/>
      <c r="AC21" s="5"/>
      <c r="AD21" s="5"/>
      <c r="AE21" s="295"/>
      <c r="AF21" s="5"/>
      <c r="AG21" s="5"/>
      <c r="AH21" s="5"/>
      <c r="AI21" s="295"/>
      <c r="AJ21" s="5"/>
      <c r="AK21" s="5"/>
      <c r="AL21" s="5"/>
    </row>
    <row r="22" spans="2:38" ht="12.75" customHeight="1">
      <c r="B22" s="104"/>
      <c r="C22" s="104"/>
      <c r="D22" s="104"/>
      <c r="E22" s="104"/>
      <c r="F22" s="104"/>
      <c r="G22" s="104"/>
      <c r="H22" s="104"/>
      <c r="I22" s="104"/>
      <c r="J22" s="104"/>
      <c r="K22" s="104"/>
      <c r="L22" s="104"/>
      <c r="M22" s="104"/>
      <c r="N22" s="104"/>
      <c r="R22" s="25"/>
      <c r="S22" s="25"/>
      <c r="T22" s="5"/>
      <c r="U22" s="5"/>
      <c r="V22" s="293"/>
      <c r="W22" s="293"/>
      <c r="X22" s="293"/>
      <c r="Y22" s="293"/>
      <c r="Z22" s="293"/>
      <c r="AA22" s="293"/>
      <c r="AB22" s="5"/>
      <c r="AC22" s="5"/>
      <c r="AD22" s="5"/>
      <c r="AE22" s="295"/>
      <c r="AF22" s="5"/>
      <c r="AG22" s="5"/>
      <c r="AH22" s="5"/>
      <c r="AI22" s="295"/>
      <c r="AJ22" s="5"/>
      <c r="AK22" s="5"/>
      <c r="AL22" s="5"/>
    </row>
    <row r="23" spans="2:38" ht="12.75" customHeight="1">
      <c r="B23" s="104" t="s">
        <v>56</v>
      </c>
      <c r="C23" s="104"/>
      <c r="D23" s="104"/>
      <c r="E23" s="104"/>
      <c r="F23" s="118">
        <f>'Operating Model'!I28</f>
        <v>725.77278292419976</v>
      </c>
      <c r="G23" s="118">
        <f>'Operating Model'!J28</f>
        <v>840.00295317369546</v>
      </c>
      <c r="H23" s="118">
        <f>'Operating Model'!K28</f>
        <v>1019.3098865341882</v>
      </c>
      <c r="I23" s="118">
        <f>'Operating Model'!L28</f>
        <v>1245.6772447996734</v>
      </c>
      <c r="J23" s="118">
        <f>'Operating Model'!M28</f>
        <v>1411.2619774625466</v>
      </c>
      <c r="K23" s="118">
        <f>'Operating Model'!N28</f>
        <v>1629.2247726725907</v>
      </c>
      <c r="L23" s="104"/>
      <c r="M23" s="104"/>
      <c r="N23" s="104"/>
      <c r="R23" s="25"/>
      <c r="S23" s="25"/>
      <c r="T23" s="5"/>
      <c r="U23" s="5"/>
      <c r="V23" s="293"/>
      <c r="W23" s="293"/>
      <c r="X23" s="293"/>
      <c r="Y23" s="293"/>
      <c r="Z23" s="293"/>
      <c r="AA23" s="293"/>
      <c r="AB23" s="5"/>
      <c r="AC23" s="5"/>
      <c r="AD23" s="5"/>
      <c r="AE23" s="295"/>
      <c r="AF23" s="5"/>
      <c r="AG23" s="5"/>
      <c r="AH23" s="5"/>
      <c r="AI23" s="295"/>
      <c r="AJ23" s="5"/>
      <c r="AK23" s="5"/>
      <c r="AL23" s="5"/>
    </row>
    <row r="24" spans="2:38" ht="12.75" customHeight="1">
      <c r="B24" s="225" t="s">
        <v>112</v>
      </c>
      <c r="C24" s="116"/>
      <c r="D24" s="116"/>
      <c r="E24" s="116"/>
      <c r="F24" s="121">
        <f>F23*$D$16</f>
        <v>203.21637921877596</v>
      </c>
      <c r="G24" s="121">
        <f t="shared" ref="G24:K24" si="0">G23*$D$16</f>
        <v>235.20082688863477</v>
      </c>
      <c r="H24" s="121">
        <f t="shared" si="0"/>
        <v>285.40676822957272</v>
      </c>
      <c r="I24" s="121">
        <f t="shared" si="0"/>
        <v>348.78962854390858</v>
      </c>
      <c r="J24" s="121">
        <f t="shared" si="0"/>
        <v>395.1533536895131</v>
      </c>
      <c r="K24" s="121">
        <f t="shared" si="0"/>
        <v>456.18293634832543</v>
      </c>
      <c r="L24" s="104"/>
      <c r="M24" s="104"/>
      <c r="N24" s="104"/>
      <c r="R24" s="25"/>
      <c r="S24" s="25"/>
      <c r="T24" s="5"/>
      <c r="U24" s="5"/>
      <c r="V24" s="293"/>
      <c r="W24" s="293"/>
      <c r="X24" s="293"/>
      <c r="Y24" s="293"/>
      <c r="Z24" s="293"/>
      <c r="AA24" s="293"/>
      <c r="AB24" s="5"/>
      <c r="AC24" s="5"/>
      <c r="AD24" s="5"/>
      <c r="AE24" s="295"/>
      <c r="AF24" s="5"/>
      <c r="AG24" s="5"/>
      <c r="AH24" s="5"/>
      <c r="AI24" s="295"/>
      <c r="AJ24" s="5"/>
      <c r="AK24" s="5"/>
      <c r="AL24" s="5"/>
    </row>
    <row r="25" spans="2:38" ht="12.75" customHeight="1">
      <c r="B25" s="111" t="s">
        <v>113</v>
      </c>
      <c r="C25" s="104"/>
      <c r="D25" s="104"/>
      <c r="E25" s="104"/>
      <c r="F25" s="123">
        <f>F23-F24</f>
        <v>522.5564037054238</v>
      </c>
      <c r="G25" s="123">
        <f t="shared" ref="G25:K25" si="1">G23-G24</f>
        <v>604.80212628506069</v>
      </c>
      <c r="H25" s="123">
        <f t="shared" si="1"/>
        <v>733.90311830461542</v>
      </c>
      <c r="I25" s="123">
        <f t="shared" si="1"/>
        <v>896.8876162557649</v>
      </c>
      <c r="J25" s="123">
        <f t="shared" si="1"/>
        <v>1016.1086237730335</v>
      </c>
      <c r="K25" s="123">
        <f t="shared" si="1"/>
        <v>1173.0418363242652</v>
      </c>
      <c r="L25" s="104"/>
      <c r="M25" s="104"/>
      <c r="N25" s="104"/>
      <c r="R25" s="25"/>
      <c r="S25" s="25"/>
      <c r="T25" s="5"/>
      <c r="U25" s="5"/>
      <c r="V25" s="293"/>
      <c r="W25" s="293"/>
      <c r="X25" s="293"/>
      <c r="Y25" s="293"/>
      <c r="Z25" s="293"/>
      <c r="AA25" s="293"/>
      <c r="AB25" s="5"/>
      <c r="AC25" s="5"/>
      <c r="AD25" s="5"/>
      <c r="AE25" s="295"/>
      <c r="AF25" s="5"/>
      <c r="AG25" s="5"/>
      <c r="AH25" s="5"/>
      <c r="AI25" s="295"/>
      <c r="AJ25" s="5"/>
      <c r="AK25" s="5"/>
      <c r="AL25" s="5"/>
    </row>
    <row r="26" spans="2:38" ht="12.75" customHeight="1">
      <c r="B26" s="113" t="s">
        <v>114</v>
      </c>
      <c r="C26" s="104"/>
      <c r="D26" s="104"/>
      <c r="E26" s="104"/>
      <c r="F26" s="117">
        <f>'Operating Model'!I23</f>
        <v>734.27278292419999</v>
      </c>
      <c r="G26" s="117">
        <f>'Operating Model'!J23</f>
        <v>892.50313774705205</v>
      </c>
      <c r="H26" s="117">
        <f>'Operating Model'!K23</f>
        <v>994.44866978945254</v>
      </c>
      <c r="I26" s="117">
        <f>'Operating Model'!L23</f>
        <v>1145.4503400456776</v>
      </c>
      <c r="J26" s="117">
        <f>'Operating Model'!M23</f>
        <v>1202.7800944283072</v>
      </c>
      <c r="K26" s="117">
        <f>'Operating Model'!N23</f>
        <v>1313.8909457037032</v>
      </c>
      <c r="L26" s="104"/>
      <c r="M26" s="104"/>
      <c r="N26" s="104"/>
      <c r="R26" s="25"/>
      <c r="S26" s="25"/>
      <c r="T26" s="5"/>
      <c r="U26" s="5"/>
      <c r="V26" s="293"/>
      <c r="W26" s="293"/>
      <c r="X26" s="293"/>
      <c r="Y26" s="293"/>
      <c r="Z26" s="293"/>
      <c r="AA26" s="293"/>
      <c r="AB26" s="5"/>
      <c r="AC26" s="5"/>
      <c r="AD26" s="5"/>
      <c r="AE26" s="295"/>
      <c r="AF26" s="5"/>
      <c r="AG26" s="5"/>
      <c r="AH26" s="5"/>
      <c r="AI26" s="295"/>
      <c r="AJ26" s="5"/>
      <c r="AK26" s="5"/>
      <c r="AL26" s="5"/>
    </row>
    <row r="27" spans="2:38" ht="12.75" customHeight="1">
      <c r="B27" s="113" t="s">
        <v>115</v>
      </c>
      <c r="C27" s="104"/>
      <c r="D27" s="104"/>
      <c r="E27" s="104"/>
      <c r="F27" s="117">
        <f>'Operating Model'!I67</f>
        <v>-302.8097348713743</v>
      </c>
      <c r="G27" s="117">
        <f>'Operating Model'!J67</f>
        <v>59.518073836670169</v>
      </c>
      <c r="H27" s="117">
        <f>'Operating Model'!K67</f>
        <v>103.78512397588543</v>
      </c>
      <c r="I27" s="117">
        <f>'Operating Model'!L67</f>
        <v>42.806570110573148</v>
      </c>
      <c r="J27" s="117">
        <f>'Operating Model'!M67</f>
        <v>63.614163948454916</v>
      </c>
      <c r="K27" s="117">
        <f>'Operating Model'!N67</f>
        <v>50.431135236412956</v>
      </c>
      <c r="L27" s="104"/>
      <c r="M27" s="104"/>
      <c r="N27" s="104"/>
      <c r="R27" s="25"/>
      <c r="S27" s="25"/>
      <c r="T27" s="5"/>
      <c r="U27" s="5"/>
      <c r="V27" s="293"/>
      <c r="W27" s="293"/>
      <c r="X27" s="293"/>
      <c r="Y27" s="293"/>
      <c r="Z27" s="293"/>
      <c r="AA27" s="293"/>
      <c r="AB27" s="5"/>
      <c r="AC27" s="5"/>
      <c r="AD27" s="5"/>
      <c r="AE27" s="295"/>
      <c r="AF27" s="5"/>
      <c r="AG27" s="5"/>
      <c r="AH27" s="5"/>
      <c r="AI27" s="295"/>
      <c r="AJ27" s="5"/>
      <c r="AK27" s="5"/>
      <c r="AL27" s="5"/>
    </row>
    <row r="28" spans="2:38" ht="12.75" customHeight="1">
      <c r="B28" s="225" t="s">
        <v>116</v>
      </c>
      <c r="C28" s="116"/>
      <c r="D28" s="116"/>
      <c r="E28" s="116"/>
      <c r="F28" s="121">
        <f>'Operating Model'!I78*-1</f>
        <v>1027.9818960938796</v>
      </c>
      <c r="G28" s="121">
        <f>'Operating Model'!J78*-1</f>
        <v>1039.5036545524488</v>
      </c>
      <c r="H28" s="121">
        <f>'Operating Model'!K78*-1</f>
        <v>982.01806141708437</v>
      </c>
      <c r="I28" s="121">
        <f>'Operating Model'!L78*-1</f>
        <v>1123.9731461698211</v>
      </c>
      <c r="J28" s="121">
        <f>'Operating Model'!M78*-1</f>
        <v>1258.909832168295</v>
      </c>
      <c r="K28" s="121">
        <f>'Operating Model'!N78*-1</f>
        <v>1375.2058565032094</v>
      </c>
      <c r="L28" s="104"/>
      <c r="M28" s="104"/>
      <c r="N28" s="104"/>
      <c r="R28" s="25"/>
      <c r="S28" s="25"/>
      <c r="T28" s="5"/>
      <c r="U28" s="5"/>
      <c r="V28" s="293"/>
      <c r="W28" s="293"/>
      <c r="X28" s="293"/>
      <c r="Y28" s="293"/>
      <c r="Z28" s="293"/>
      <c r="AA28" s="293"/>
      <c r="AB28" s="5"/>
      <c r="AC28" s="5"/>
      <c r="AD28" s="5"/>
      <c r="AE28" s="295"/>
      <c r="AF28" s="5"/>
      <c r="AG28" s="5"/>
      <c r="AH28" s="5"/>
      <c r="AI28" s="295"/>
      <c r="AJ28" s="5"/>
      <c r="AK28" s="5"/>
      <c r="AL28" s="5"/>
    </row>
    <row r="29" spans="2:38" ht="12.75" customHeight="1">
      <c r="B29" s="111" t="s">
        <v>59</v>
      </c>
      <c r="C29" s="104"/>
      <c r="D29" s="104"/>
      <c r="E29" s="104"/>
      <c r="F29" s="123">
        <f>F25+F26-F27-F28</f>
        <v>531.65702540711845</v>
      </c>
      <c r="G29" s="123">
        <f t="shared" ref="G29:K29" si="2">G25+G26-G27-G28</f>
        <v>398.28353564299391</v>
      </c>
      <c r="H29" s="123">
        <f t="shared" si="2"/>
        <v>642.54860270109828</v>
      </c>
      <c r="I29" s="123">
        <f t="shared" si="2"/>
        <v>875.55824002104828</v>
      </c>
      <c r="J29" s="123">
        <f t="shared" si="2"/>
        <v>896.36472208459054</v>
      </c>
      <c r="K29" s="123">
        <f t="shared" si="2"/>
        <v>1061.2957902883463</v>
      </c>
      <c r="L29" s="104"/>
      <c r="M29" s="104"/>
      <c r="N29" s="104"/>
      <c r="R29" s="25"/>
      <c r="S29" s="25"/>
      <c r="T29" s="5"/>
      <c r="U29" s="5"/>
      <c r="V29" s="293"/>
      <c r="W29" s="293"/>
      <c r="X29" s="293"/>
      <c r="Y29" s="293"/>
      <c r="Z29" s="293"/>
      <c r="AA29" s="293"/>
      <c r="AB29" s="5"/>
      <c r="AC29" s="5"/>
      <c r="AD29" s="5"/>
      <c r="AE29" s="295"/>
      <c r="AF29" s="5"/>
      <c r="AG29" s="5"/>
      <c r="AH29" s="5"/>
      <c r="AI29" s="295"/>
      <c r="AJ29" s="5"/>
      <c r="AK29" s="5"/>
      <c r="AL29" s="5"/>
    </row>
    <row r="30" spans="2:38" ht="12.75" customHeight="1">
      <c r="B30" s="104"/>
      <c r="C30" s="104"/>
      <c r="D30" s="104"/>
      <c r="E30" s="104"/>
      <c r="F30" s="109"/>
      <c r="G30" s="109"/>
      <c r="H30" s="109"/>
      <c r="I30" s="109"/>
      <c r="J30" s="109"/>
      <c r="K30" s="109"/>
      <c r="L30" s="104"/>
      <c r="R30" s="25"/>
      <c r="S30" s="25"/>
      <c r="T30" s="5"/>
      <c r="U30" s="307"/>
      <c r="V30" s="292"/>
      <c r="W30" s="292"/>
      <c r="X30" s="292"/>
      <c r="Y30" s="292"/>
      <c r="Z30" s="292"/>
      <c r="AA30" s="292"/>
      <c r="AB30" s="5"/>
      <c r="AC30" s="5"/>
      <c r="AD30" s="5"/>
      <c r="AE30" s="295"/>
      <c r="AF30" s="5"/>
      <c r="AG30" s="5"/>
      <c r="AH30" s="5"/>
      <c r="AI30" s="295"/>
      <c r="AJ30" s="5"/>
      <c r="AK30" s="5"/>
      <c r="AL30" s="5"/>
    </row>
    <row r="31" spans="2:38" ht="12.75" customHeight="1">
      <c r="B31" s="113" t="s">
        <v>117</v>
      </c>
      <c r="C31" s="104"/>
      <c r="D31" s="104"/>
      <c r="E31" s="104"/>
      <c r="F31" s="224">
        <v>0.5</v>
      </c>
      <c r="G31" s="224">
        <f>1+F31</f>
        <v>1.5</v>
      </c>
      <c r="H31" s="224">
        <f t="shared" ref="H31:K31" si="3">1+G31</f>
        <v>2.5</v>
      </c>
      <c r="I31" s="224">
        <f t="shared" si="3"/>
        <v>3.5</v>
      </c>
      <c r="J31" s="224">
        <f t="shared" si="3"/>
        <v>4.5</v>
      </c>
      <c r="K31" s="224">
        <f t="shared" si="3"/>
        <v>5.5</v>
      </c>
      <c r="L31" s="224"/>
      <c r="R31" s="25"/>
      <c r="S31" s="25"/>
      <c r="T31" s="5"/>
      <c r="U31" s="307"/>
      <c r="V31" s="292"/>
      <c r="W31" s="292"/>
      <c r="X31" s="292"/>
      <c r="Y31" s="292"/>
      <c r="Z31" s="292"/>
      <c r="AA31" s="292"/>
      <c r="AB31" s="5"/>
      <c r="AC31" s="5"/>
      <c r="AD31" s="5"/>
      <c r="AE31" s="295"/>
      <c r="AF31" s="5"/>
      <c r="AG31" s="5"/>
      <c r="AH31" s="5"/>
      <c r="AI31" s="295"/>
      <c r="AJ31" s="5"/>
      <c r="AK31" s="5"/>
      <c r="AL31" s="5"/>
    </row>
    <row r="32" spans="2:38" ht="12.75" customHeight="1">
      <c r="B32" s="225" t="s">
        <v>118</v>
      </c>
      <c r="C32" s="116"/>
      <c r="D32" s="116"/>
      <c r="E32" s="116"/>
      <c r="F32" s="226">
        <f>$D$15</f>
        <v>6.8744187752440039E-2</v>
      </c>
      <c r="G32" s="226">
        <f>F32</f>
        <v>6.8744187752440039E-2</v>
      </c>
      <c r="H32" s="226">
        <f t="shared" ref="H32:K32" si="4">$D$15</f>
        <v>6.8744187752440039E-2</v>
      </c>
      <c r="I32" s="226">
        <f t="shared" si="4"/>
        <v>6.8744187752440039E-2</v>
      </c>
      <c r="J32" s="226">
        <f t="shared" si="4"/>
        <v>6.8744187752440039E-2</v>
      </c>
      <c r="K32" s="226">
        <f t="shared" si="4"/>
        <v>6.8744187752440039E-2</v>
      </c>
      <c r="L32" s="288"/>
      <c r="R32" s="25"/>
      <c r="S32" s="25"/>
      <c r="T32" s="5"/>
      <c r="U32" s="5"/>
      <c r="V32" s="291"/>
      <c r="W32" s="291"/>
      <c r="X32" s="291"/>
      <c r="Y32" s="291"/>
      <c r="Z32" s="291"/>
      <c r="AA32" s="291"/>
      <c r="AB32" s="5"/>
      <c r="AC32" s="5"/>
      <c r="AD32" s="5"/>
      <c r="AE32" s="295"/>
      <c r="AF32" s="5"/>
      <c r="AG32" s="5"/>
      <c r="AH32" s="5"/>
      <c r="AI32" s="295"/>
      <c r="AJ32" s="5"/>
      <c r="AK32" s="5"/>
      <c r="AL32" s="5"/>
    </row>
    <row r="33" spans="2:38" ht="12.75" customHeight="1">
      <c r="B33" s="111" t="s">
        <v>119</v>
      </c>
      <c r="C33" s="104"/>
      <c r="D33" s="104"/>
      <c r="E33" s="104"/>
      <c r="F33" s="227">
        <f>F29/(1+F32)^F31</f>
        <v>514.27412525522436</v>
      </c>
      <c r="G33" s="227">
        <f t="shared" ref="G33:K33" si="5">G29/(1+G32)^G31</f>
        <v>360.48044041155487</v>
      </c>
      <c r="H33" s="227">
        <f t="shared" si="5"/>
        <v>544.15367779128849</v>
      </c>
      <c r="I33" s="227">
        <f t="shared" si="5"/>
        <v>693.7881200679434</v>
      </c>
      <c r="J33" s="227">
        <f t="shared" si="5"/>
        <v>664.58848065830921</v>
      </c>
      <c r="K33" s="227">
        <f t="shared" si="5"/>
        <v>736.25919089952538</v>
      </c>
      <c r="L33" s="287"/>
      <c r="R33" s="25"/>
      <c r="S33" s="25"/>
      <c r="T33" s="5"/>
      <c r="U33" s="5"/>
      <c r="V33" s="291"/>
      <c r="W33" s="291"/>
      <c r="X33" s="291"/>
      <c r="Y33" s="291"/>
      <c r="Z33" s="291"/>
      <c r="AA33" s="291"/>
      <c r="AB33" s="5"/>
      <c r="AC33" s="294"/>
      <c r="AD33" s="294"/>
      <c r="AE33" s="308"/>
      <c r="AF33" s="5"/>
      <c r="AG33" s="294"/>
      <c r="AH33" s="294"/>
      <c r="AI33" s="308"/>
      <c r="AJ33" s="5"/>
      <c r="AK33" s="5"/>
      <c r="AL33" s="5"/>
    </row>
    <row r="34" spans="2:38" ht="12.75" customHeight="1"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R34" s="25"/>
      <c r="S34" s="25"/>
      <c r="T34" s="5"/>
      <c r="U34" s="307"/>
      <c r="V34" s="292"/>
      <c r="W34" s="292"/>
      <c r="X34" s="292"/>
      <c r="Y34" s="292"/>
      <c r="Z34" s="292"/>
      <c r="AA34" s="292"/>
      <c r="AB34" s="5"/>
      <c r="AC34" s="5"/>
      <c r="AD34" s="5"/>
      <c r="AE34" s="297"/>
      <c r="AF34" s="5"/>
      <c r="AG34" s="5"/>
      <c r="AH34" s="5"/>
      <c r="AI34" s="297"/>
      <c r="AJ34" s="5"/>
      <c r="AK34" s="5"/>
      <c r="AL34" s="5"/>
    </row>
    <row r="35" spans="2:38" ht="12.75" customHeight="1">
      <c r="B35" s="221" t="s">
        <v>120</v>
      </c>
      <c r="C35" s="222"/>
      <c r="D35" s="222"/>
      <c r="E35" s="222"/>
      <c r="F35" s="222"/>
      <c r="G35" s="222"/>
      <c r="H35" s="223"/>
      <c r="I35" s="223"/>
      <c r="J35" s="223"/>
      <c r="K35" s="223"/>
      <c r="L35" s="243"/>
      <c r="M35" s="243"/>
      <c r="N35" s="243"/>
      <c r="R35" s="25"/>
      <c r="S35" s="25"/>
      <c r="T35" s="5"/>
      <c r="U35" s="5"/>
      <c r="V35" s="291"/>
      <c r="W35" s="291"/>
      <c r="X35" s="291"/>
      <c r="Y35" s="291"/>
      <c r="Z35" s="291"/>
      <c r="AA35" s="291"/>
      <c r="AB35" s="5"/>
      <c r="AC35" s="294"/>
      <c r="AD35" s="294"/>
      <c r="AE35" s="309"/>
      <c r="AF35" s="5"/>
      <c r="AG35" s="294"/>
      <c r="AH35" s="294"/>
      <c r="AI35" s="309"/>
      <c r="AJ35" s="5"/>
      <c r="AK35" s="5"/>
      <c r="AL35" s="5"/>
    </row>
    <row r="36" spans="2:38" ht="12.75" customHeight="1">
      <c r="B36" s="104"/>
      <c r="C36" s="104"/>
      <c r="D36" s="104"/>
      <c r="E36" s="104"/>
      <c r="F36" s="104"/>
      <c r="G36" s="104"/>
      <c r="H36" s="104"/>
      <c r="I36" s="104"/>
      <c r="J36" s="104"/>
      <c r="K36" s="104"/>
      <c r="L36" s="104"/>
      <c r="M36" s="104"/>
      <c r="N36" s="104"/>
      <c r="R36" s="25"/>
      <c r="S36" s="25"/>
      <c r="T36" s="5"/>
      <c r="U36" s="5"/>
      <c r="V36" s="291"/>
      <c r="W36" s="291"/>
      <c r="X36" s="291"/>
      <c r="Y36" s="291"/>
      <c r="Z36" s="291"/>
      <c r="AA36" s="291"/>
      <c r="AB36" s="5"/>
      <c r="AC36" s="294"/>
      <c r="AD36" s="294"/>
      <c r="AE36" s="309"/>
      <c r="AF36" s="5"/>
      <c r="AG36" s="294"/>
      <c r="AH36" s="294"/>
      <c r="AI36" s="309"/>
      <c r="AJ36" s="5"/>
      <c r="AK36" s="5"/>
      <c r="AL36" s="5"/>
    </row>
    <row r="37" spans="2:38" ht="12.75" customHeight="1">
      <c r="B37" s="221" t="s">
        <v>121</v>
      </c>
      <c r="C37" s="221"/>
      <c r="D37" s="221"/>
      <c r="E37" s="221"/>
      <c r="F37" s="104"/>
      <c r="G37" s="221" t="s">
        <v>122</v>
      </c>
      <c r="H37" s="221"/>
      <c r="I37" s="221"/>
      <c r="J37" s="221"/>
      <c r="K37" s="104"/>
      <c r="L37" s="104"/>
      <c r="M37" s="104"/>
      <c r="N37" s="104"/>
      <c r="R37" s="25"/>
      <c r="S37" s="25"/>
      <c r="T37" s="5"/>
      <c r="U37" s="5"/>
      <c r="V37" s="291"/>
      <c r="W37" s="291"/>
      <c r="X37" s="291"/>
      <c r="Y37" s="291"/>
      <c r="Z37" s="291"/>
      <c r="AA37" s="291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</row>
    <row r="38" spans="2:38" ht="12.75" customHeight="1">
      <c r="B38" s="228" t="s">
        <v>123</v>
      </c>
      <c r="C38" s="104"/>
      <c r="D38" s="104"/>
      <c r="E38" s="229">
        <f>SUM(F33:L33)</f>
        <v>3513.5440350838462</v>
      </c>
      <c r="F38" s="104"/>
      <c r="G38" s="228" t="s">
        <v>123</v>
      </c>
      <c r="J38" s="260">
        <f>SUM(F33:K33)</f>
        <v>3513.5440350838462</v>
      </c>
      <c r="K38" s="104"/>
      <c r="L38" s="104"/>
      <c r="M38" s="104"/>
      <c r="N38" s="104"/>
      <c r="R38" s="25"/>
      <c r="S38" s="25"/>
      <c r="T38" s="5"/>
      <c r="U38" s="5"/>
      <c r="V38" s="295"/>
      <c r="W38" s="295"/>
      <c r="X38" s="295"/>
      <c r="Y38" s="295"/>
      <c r="Z38" s="295"/>
      <c r="AA38" s="295"/>
      <c r="AB38" s="5"/>
      <c r="AC38" s="437"/>
      <c r="AD38" s="505"/>
      <c r="AE38" s="505"/>
      <c r="AF38" s="5"/>
      <c r="AG38" s="5"/>
      <c r="AH38" s="5"/>
      <c r="AI38" s="5"/>
      <c r="AJ38" s="5"/>
      <c r="AK38" s="5"/>
      <c r="AL38" s="5"/>
    </row>
    <row r="39" spans="2:38" ht="12.75" customHeight="1">
      <c r="B39" s="228" t="s">
        <v>124</v>
      </c>
      <c r="C39" s="104"/>
      <c r="D39" s="104"/>
      <c r="E39" s="229">
        <f>'Operating Model'!N31</f>
        <v>2943.1157183762939</v>
      </c>
      <c r="F39" s="104"/>
      <c r="G39" s="228" t="s">
        <v>125</v>
      </c>
      <c r="J39" s="260">
        <f>K29*(1+D17)/(D15-D17)</f>
        <v>23466.191067710464</v>
      </c>
      <c r="K39" s="104"/>
      <c r="L39" s="104"/>
      <c r="M39" s="104"/>
      <c r="N39" s="104"/>
      <c r="R39" s="25"/>
      <c r="S39" s="25"/>
      <c r="T39" s="5"/>
      <c r="U39" s="5"/>
      <c r="V39" s="295"/>
      <c r="W39" s="295"/>
      <c r="X39" s="295"/>
      <c r="Y39" s="295"/>
      <c r="Z39" s="295"/>
      <c r="AA39" s="295"/>
      <c r="AB39" s="5"/>
      <c r="AC39" s="5"/>
      <c r="AD39" s="5"/>
      <c r="AE39" s="295"/>
      <c r="AF39" s="5"/>
      <c r="AG39" s="5"/>
      <c r="AH39" s="5"/>
      <c r="AI39" s="5"/>
      <c r="AJ39" s="5"/>
      <c r="AK39" s="5"/>
      <c r="AL39" s="5"/>
    </row>
    <row r="40" spans="2:38" ht="12.75" customHeight="1">
      <c r="B40" s="228" t="s">
        <v>126</v>
      </c>
      <c r="C40" s="104"/>
      <c r="D40" s="104"/>
      <c r="E40" s="232">
        <f>D14</f>
        <v>11.196000000000002</v>
      </c>
      <c r="F40" s="104"/>
      <c r="G40" s="234" t="s">
        <v>127</v>
      </c>
      <c r="H40" s="100"/>
      <c r="I40" s="100"/>
      <c r="J40" s="235">
        <f>J39/(1+$D$15)^$K$31</f>
        <v>16279.343616648179</v>
      </c>
      <c r="K40" s="104"/>
      <c r="L40" s="104"/>
      <c r="M40" s="104"/>
      <c r="N40" s="104"/>
      <c r="R40" s="25"/>
      <c r="S40" s="25"/>
      <c r="T40" s="5"/>
      <c r="U40" s="5"/>
      <c r="V40" s="291"/>
      <c r="W40" s="291"/>
      <c r="X40" s="291"/>
      <c r="Y40" s="291"/>
      <c r="Z40" s="291"/>
      <c r="AA40" s="291"/>
      <c r="AB40" s="5"/>
      <c r="AC40" s="5"/>
      <c r="AD40" s="5"/>
      <c r="AE40" s="295"/>
      <c r="AF40" s="5"/>
      <c r="AG40" s="437"/>
      <c r="AH40" s="505"/>
      <c r="AI40" s="505"/>
      <c r="AJ40" s="5"/>
      <c r="AK40" s="5"/>
      <c r="AL40" s="5"/>
    </row>
    <row r="41" spans="2:38" ht="12.75" customHeight="1">
      <c r="B41" s="228" t="s">
        <v>128</v>
      </c>
      <c r="C41" s="104"/>
      <c r="D41" s="104"/>
      <c r="E41" s="229">
        <f>E39*E40</f>
        <v>32951.123582940992</v>
      </c>
      <c r="F41" s="104"/>
      <c r="G41" s="237" t="s">
        <v>129</v>
      </c>
      <c r="J41" s="260">
        <f>J38+J40</f>
        <v>19792.887651732024</v>
      </c>
      <c r="K41" s="104"/>
      <c r="L41" s="104"/>
      <c r="M41" s="104"/>
      <c r="N41" s="104"/>
      <c r="R41" s="25"/>
      <c r="S41" s="25"/>
      <c r="T41" s="5"/>
      <c r="U41" s="5"/>
      <c r="V41" s="291"/>
      <c r="W41" s="291"/>
      <c r="X41" s="291"/>
      <c r="Y41" s="291"/>
      <c r="Z41" s="291"/>
      <c r="AA41" s="291"/>
      <c r="AB41" s="5"/>
      <c r="AC41" s="5"/>
      <c r="AD41" s="5"/>
      <c r="AE41" s="295"/>
      <c r="AF41" s="5"/>
      <c r="AG41" s="5"/>
      <c r="AH41" s="5"/>
      <c r="AI41" s="310"/>
      <c r="AJ41" s="5"/>
      <c r="AK41" s="5"/>
      <c r="AL41" s="5"/>
    </row>
    <row r="42" spans="2:38" ht="12.75" customHeight="1">
      <c r="B42" s="234" t="s">
        <v>127</v>
      </c>
      <c r="C42" s="116"/>
      <c r="D42" s="116"/>
      <c r="E42" s="235">
        <f>E41/(1+$D$15)^$K$31</f>
        <v>22859.383604843082</v>
      </c>
      <c r="F42" s="104"/>
      <c r="G42" s="234" t="s">
        <v>71</v>
      </c>
      <c r="H42" s="100"/>
      <c r="I42" s="100"/>
      <c r="J42" s="266">
        <f>D13</f>
        <v>-556.81246099999998</v>
      </c>
      <c r="K42" s="104"/>
      <c r="L42" s="104"/>
      <c r="M42" s="104"/>
      <c r="N42" s="104"/>
      <c r="R42" s="25"/>
      <c r="S42" s="25"/>
      <c r="T42" s="5"/>
      <c r="U42" s="5"/>
      <c r="V42" s="295"/>
      <c r="W42" s="295"/>
      <c r="X42" s="295"/>
      <c r="Y42" s="295"/>
      <c r="Z42" s="295"/>
      <c r="AA42" s="295"/>
      <c r="AB42" s="5"/>
      <c r="AC42" s="5"/>
      <c r="AD42" s="5"/>
      <c r="AE42" s="295"/>
      <c r="AF42" s="5"/>
      <c r="AG42" s="5"/>
      <c r="AH42" s="5"/>
      <c r="AI42" s="311"/>
      <c r="AJ42" s="5"/>
      <c r="AK42" s="5"/>
      <c r="AL42" s="5"/>
    </row>
    <row r="43" spans="2:38" ht="12.75" customHeight="1">
      <c r="B43" s="237" t="s">
        <v>129</v>
      </c>
      <c r="C43" s="104"/>
      <c r="D43" s="104"/>
      <c r="E43" s="238">
        <f>E38+E42</f>
        <v>26372.927639926929</v>
      </c>
      <c r="F43" s="104"/>
      <c r="G43" s="259" t="s">
        <v>74</v>
      </c>
      <c r="H43" s="24"/>
      <c r="I43" s="24"/>
      <c r="J43" s="262">
        <f>J41-J42</f>
        <v>20349.700112732025</v>
      </c>
      <c r="K43" s="104"/>
      <c r="L43" s="104"/>
      <c r="M43" s="104"/>
      <c r="N43" s="104"/>
      <c r="R43" s="25"/>
      <c r="S43" s="25"/>
      <c r="T43" s="5"/>
      <c r="U43" s="5"/>
      <c r="V43" s="295"/>
      <c r="W43" s="295"/>
      <c r="X43" s="295"/>
      <c r="Y43" s="295"/>
      <c r="Z43" s="295"/>
      <c r="AA43" s="295"/>
      <c r="AB43" s="5"/>
      <c r="AC43" s="5"/>
      <c r="AD43" s="5"/>
      <c r="AE43" s="291"/>
      <c r="AF43" s="5"/>
      <c r="AG43" s="5"/>
      <c r="AH43" s="5"/>
      <c r="AI43" s="5"/>
      <c r="AJ43" s="5"/>
      <c r="AK43" s="5"/>
      <c r="AL43" s="5"/>
    </row>
    <row r="44" spans="2:38" ht="12.75" customHeight="1">
      <c r="B44" s="228" t="s">
        <v>71</v>
      </c>
      <c r="C44" s="104"/>
      <c r="D44" s="104"/>
      <c r="E44" s="229">
        <f>D13</f>
        <v>-556.81246099999998</v>
      </c>
      <c r="F44" s="104"/>
      <c r="G44" s="104" t="s">
        <v>130</v>
      </c>
      <c r="H44" s="104"/>
      <c r="I44" s="104"/>
      <c r="J44" s="263">
        <f>D12</f>
        <v>320.8</v>
      </c>
      <c r="K44" s="104"/>
      <c r="L44" s="104"/>
      <c r="M44" s="104"/>
      <c r="N44" s="104"/>
      <c r="R44" s="25"/>
      <c r="S44" s="2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312"/>
      <c r="AF44" s="5"/>
      <c r="AG44" s="5"/>
      <c r="AH44" s="5"/>
      <c r="AI44" s="5"/>
      <c r="AJ44" s="5"/>
      <c r="AK44" s="5"/>
      <c r="AL44" s="5"/>
    </row>
    <row r="45" spans="2:38" ht="12.75" customHeight="1">
      <c r="B45" s="239" t="s">
        <v>74</v>
      </c>
      <c r="C45" s="240"/>
      <c r="D45" s="240"/>
      <c r="E45" s="241">
        <f>E43-E44</f>
        <v>26929.740100926931</v>
      </c>
      <c r="F45" s="104"/>
      <c r="G45" s="104" t="s">
        <v>131</v>
      </c>
      <c r="H45" s="104"/>
      <c r="I45" s="104"/>
      <c r="J45" s="231">
        <f>J43/J44</f>
        <v>63.434227284077387</v>
      </c>
      <c r="K45" s="104"/>
      <c r="L45" s="104"/>
      <c r="M45" s="104"/>
      <c r="N45" s="104"/>
      <c r="R45" s="25"/>
      <c r="S45" s="2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295"/>
      <c r="AF45" s="5"/>
      <c r="AG45" s="5"/>
      <c r="AH45" s="5"/>
      <c r="AI45" s="5"/>
      <c r="AJ45" s="5"/>
      <c r="AK45" s="5"/>
      <c r="AL45" s="5"/>
    </row>
    <row r="46" spans="2:38" ht="12.75" customHeight="1">
      <c r="B46" s="104" t="s">
        <v>130</v>
      </c>
      <c r="C46" s="104"/>
      <c r="D46" s="104"/>
      <c r="E46" s="230">
        <f>D12</f>
        <v>320.8</v>
      </c>
      <c r="F46" s="104"/>
      <c r="G46" s="116" t="s">
        <v>132</v>
      </c>
      <c r="H46" s="116"/>
      <c r="I46" s="116"/>
      <c r="J46" s="265">
        <f>$D$11</f>
        <v>31.7</v>
      </c>
      <c r="K46" s="104"/>
      <c r="L46" s="104"/>
      <c r="M46" s="104"/>
      <c r="N46" s="104"/>
      <c r="R46" s="25"/>
      <c r="S46" s="2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295"/>
      <c r="AF46" s="5"/>
      <c r="AG46" s="5"/>
      <c r="AH46" s="5"/>
      <c r="AI46" s="5"/>
      <c r="AJ46" s="5"/>
      <c r="AK46" s="5"/>
      <c r="AL46" s="5"/>
    </row>
    <row r="47" spans="2:38" ht="12.75" customHeight="1">
      <c r="B47" s="104" t="s">
        <v>131</v>
      </c>
      <c r="C47" s="104"/>
      <c r="D47" s="104"/>
      <c r="E47" s="231">
        <f>E45/E46</f>
        <v>83.945573880694923</v>
      </c>
      <c r="F47" s="104"/>
      <c r="G47" s="139" t="s">
        <v>133</v>
      </c>
      <c r="H47" s="24"/>
      <c r="I47" s="24"/>
      <c r="J47" s="264">
        <f>J45/J46-1</f>
        <v>1.0010797250497601</v>
      </c>
      <c r="K47" s="104"/>
      <c r="L47" s="104"/>
      <c r="M47" s="104"/>
      <c r="N47" s="104"/>
      <c r="R47" s="25"/>
      <c r="S47" s="2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295"/>
      <c r="AF47" s="5"/>
      <c r="AG47" s="5"/>
      <c r="AH47" s="5"/>
      <c r="AI47" s="5"/>
      <c r="AJ47" s="5"/>
      <c r="AK47" s="5"/>
      <c r="AL47" s="5"/>
    </row>
    <row r="48" spans="2:38" ht="12.75" customHeight="1">
      <c r="B48" s="104" t="s">
        <v>132</v>
      </c>
      <c r="C48" s="104"/>
      <c r="D48" s="104"/>
      <c r="E48" s="231">
        <f>$D$11</f>
        <v>31.7</v>
      </c>
      <c r="F48" s="104"/>
      <c r="G48" s="111" t="s">
        <v>134</v>
      </c>
      <c r="H48" s="104"/>
      <c r="I48" s="104"/>
      <c r="J48" s="236">
        <f>((1+J47)^(1/5)-1)</f>
        <v>0.14882235606136529</v>
      </c>
      <c r="K48" s="104"/>
      <c r="L48" s="104"/>
      <c r="M48" s="104"/>
      <c r="N48" s="104"/>
      <c r="R48" s="25"/>
      <c r="S48" s="2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295"/>
      <c r="AF48" s="5"/>
      <c r="AG48" s="5"/>
      <c r="AH48" s="5"/>
      <c r="AI48" s="5"/>
      <c r="AJ48" s="5"/>
      <c r="AK48" s="5"/>
      <c r="AL48" s="5"/>
    </row>
    <row r="49" spans="2:38" ht="12.75" customHeight="1">
      <c r="B49" s="141" t="s">
        <v>133</v>
      </c>
      <c r="C49" s="141"/>
      <c r="D49" s="141"/>
      <c r="E49" s="233">
        <f>E47/E48-1</f>
        <v>1.6481253590124583</v>
      </c>
      <c r="F49" s="104"/>
      <c r="G49" s="104"/>
      <c r="H49" s="104"/>
      <c r="I49" s="104"/>
      <c r="J49" s="104"/>
      <c r="K49" s="104"/>
      <c r="L49" s="104"/>
      <c r="M49" s="104"/>
      <c r="N49" s="104"/>
      <c r="R49" s="25"/>
      <c r="S49" s="2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295"/>
      <c r="AF49" s="5"/>
      <c r="AG49" s="5"/>
      <c r="AH49" s="5"/>
      <c r="AI49" s="5"/>
      <c r="AJ49" s="5"/>
      <c r="AK49" s="5"/>
      <c r="AL49" s="5"/>
    </row>
    <row r="50" spans="2:38" ht="12.75" customHeight="1">
      <c r="B50" s="111" t="s">
        <v>134</v>
      </c>
      <c r="C50" s="104"/>
      <c r="D50" s="104"/>
      <c r="E50" s="236">
        <f>((1+E49)^(1/5)-1)</f>
        <v>0.21503197776485772</v>
      </c>
      <c r="F50" s="104"/>
      <c r="G50" s="104"/>
      <c r="H50" s="104"/>
      <c r="I50" s="104"/>
      <c r="J50" s="104"/>
      <c r="K50" s="104"/>
      <c r="L50" s="104"/>
      <c r="M50" s="104"/>
      <c r="N50" s="104"/>
      <c r="R50" s="25"/>
      <c r="S50" s="2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312"/>
      <c r="AF50" s="5"/>
      <c r="AG50" s="5"/>
      <c r="AH50" s="5"/>
      <c r="AI50" s="5"/>
      <c r="AJ50" s="5"/>
      <c r="AK50" s="5"/>
      <c r="AL50" s="5"/>
    </row>
    <row r="51" spans="2:38" ht="12.75" customHeight="1">
      <c r="B51" s="111"/>
      <c r="C51" s="104"/>
      <c r="D51" s="104"/>
      <c r="E51" s="236"/>
      <c r="F51" s="104"/>
      <c r="G51" s="104"/>
      <c r="H51" s="104"/>
      <c r="I51" s="104"/>
      <c r="J51" s="104"/>
      <c r="K51" s="104"/>
      <c r="L51" s="104"/>
      <c r="M51" s="104"/>
      <c r="N51" s="104"/>
      <c r="R51" s="25"/>
      <c r="S51" s="2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312"/>
      <c r="AF51" s="5"/>
      <c r="AG51" s="5"/>
      <c r="AH51" s="5"/>
      <c r="AI51" s="5"/>
      <c r="AJ51" s="5"/>
      <c r="AK51" s="5"/>
      <c r="AL51" s="5"/>
    </row>
    <row r="52" spans="2:38" ht="12.75" customHeight="1">
      <c r="B52" s="221" t="s">
        <v>95</v>
      </c>
      <c r="C52" s="222"/>
      <c r="D52" s="222"/>
      <c r="E52" s="222"/>
      <c r="F52" s="222"/>
      <c r="G52" s="222"/>
      <c r="H52" s="223"/>
      <c r="I52" s="223"/>
      <c r="J52" s="223"/>
      <c r="K52" s="223"/>
      <c r="L52" s="243"/>
      <c r="M52" s="243"/>
      <c r="N52" s="243"/>
      <c r="O52" s="243"/>
      <c r="P52" s="243"/>
      <c r="R52" s="25"/>
      <c r="S52" s="25"/>
      <c r="T52" s="5"/>
      <c r="U52" s="5"/>
      <c r="V52" s="5"/>
      <c r="W52" s="5"/>
      <c r="X52" s="5"/>
      <c r="Y52" s="5"/>
      <c r="Z52" s="5"/>
      <c r="AA52" s="5"/>
      <c r="AB52" s="5"/>
      <c r="AC52" s="294"/>
      <c r="AD52" s="294"/>
      <c r="AE52" s="308"/>
      <c r="AF52" s="5"/>
      <c r="AG52" s="5"/>
      <c r="AH52" s="5"/>
      <c r="AI52" s="5"/>
      <c r="AJ52" s="5"/>
      <c r="AK52" s="5"/>
      <c r="AL52" s="5"/>
    </row>
    <row r="53" spans="2:38" ht="12.75" customHeight="1">
      <c r="B53" s="242"/>
      <c r="C53" s="111"/>
      <c r="D53" s="111"/>
      <c r="E53" s="111"/>
      <c r="F53" s="111"/>
      <c r="G53" s="111"/>
      <c r="H53" s="243"/>
      <c r="I53" s="243"/>
      <c r="J53" s="243"/>
      <c r="K53" s="243"/>
      <c r="L53" s="243"/>
      <c r="M53" s="243"/>
      <c r="N53" s="243"/>
      <c r="R53" s="25"/>
      <c r="S53" s="2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313"/>
      <c r="AF53" s="5"/>
      <c r="AG53" s="5"/>
      <c r="AH53" s="5"/>
      <c r="AI53" s="5"/>
      <c r="AJ53" s="5"/>
      <c r="AK53" s="5"/>
      <c r="AL53" s="5"/>
    </row>
    <row r="54" spans="2:38" ht="12.75" customHeight="1">
      <c r="B54" s="158"/>
      <c r="C54" s="143"/>
      <c r="D54" s="439" t="s">
        <v>126</v>
      </c>
      <c r="E54" s="439"/>
      <c r="F54" s="439"/>
      <c r="G54" s="439"/>
      <c r="H54" s="439"/>
      <c r="I54" s="104"/>
      <c r="J54" s="248"/>
      <c r="K54" s="143"/>
      <c r="L54" s="439" t="s">
        <v>135</v>
      </c>
      <c r="M54" s="439"/>
      <c r="N54" s="439"/>
      <c r="O54" s="439"/>
      <c r="P54" s="439"/>
      <c r="R54" s="25"/>
      <c r="S54" s="25"/>
      <c r="T54" s="5"/>
      <c r="U54" s="5"/>
      <c r="V54" s="5"/>
      <c r="W54" s="5"/>
      <c r="X54" s="5"/>
      <c r="Y54" s="5"/>
      <c r="Z54" s="5"/>
      <c r="AA54" s="5"/>
      <c r="AB54" s="5"/>
      <c r="AC54" s="294"/>
      <c r="AD54" s="294"/>
      <c r="AE54" s="309"/>
      <c r="AF54" s="5"/>
      <c r="AG54" s="5"/>
      <c r="AH54" s="5"/>
      <c r="AI54" s="5"/>
      <c r="AJ54" s="5"/>
      <c r="AK54" s="5"/>
      <c r="AL54" s="5"/>
    </row>
    <row r="55" spans="2:38" ht="12.75" customHeight="1">
      <c r="B55" s="161"/>
      <c r="C55" s="176">
        <f>E47</f>
        <v>83.945573880694923</v>
      </c>
      <c r="D55" s="244">
        <f>E55-0.5</f>
        <v>10.199999999999999</v>
      </c>
      <c r="E55" s="244">
        <f>F55-0.5</f>
        <v>10.7</v>
      </c>
      <c r="F55" s="245">
        <v>11.2</v>
      </c>
      <c r="G55" s="244">
        <f>F55+0.5</f>
        <v>11.7</v>
      </c>
      <c r="H55" s="244">
        <f>G55+0.5</f>
        <v>12.2</v>
      </c>
      <c r="I55" s="104"/>
      <c r="J55" s="249"/>
      <c r="K55" s="176">
        <f>E47</f>
        <v>83.945573880694923</v>
      </c>
      <c r="L55" s="250">
        <f>M55-100</f>
        <v>901</v>
      </c>
      <c r="M55" s="250">
        <f>N55-100</f>
        <v>1001</v>
      </c>
      <c r="N55" s="251">
        <v>1101</v>
      </c>
      <c r="O55" s="250">
        <f>N55+100</f>
        <v>1201</v>
      </c>
      <c r="P55" s="250">
        <f>O55+100</f>
        <v>1301</v>
      </c>
      <c r="R55" s="25"/>
      <c r="S55" s="25"/>
      <c r="T55" s="5"/>
      <c r="U55" s="5"/>
      <c r="V55" s="5"/>
      <c r="W55" s="5"/>
      <c r="X55" s="5"/>
      <c r="Y55" s="5"/>
      <c r="Z55" s="5"/>
      <c r="AA55" s="5"/>
      <c r="AB55" s="5"/>
      <c r="AC55" s="294"/>
      <c r="AD55" s="294"/>
      <c r="AE55" s="314"/>
      <c r="AF55" s="5"/>
      <c r="AG55" s="5"/>
      <c r="AH55" s="5"/>
      <c r="AI55" s="5"/>
      <c r="AJ55" s="5"/>
      <c r="AK55" s="5"/>
      <c r="AL55" s="5"/>
    </row>
    <row r="56" spans="2:38" ht="12.75" customHeight="1">
      <c r="B56" s="438" t="s">
        <v>136</v>
      </c>
      <c r="C56" s="246">
        <f>C57-0.005</f>
        <v>5.8739999999999994E-2</v>
      </c>
      <c r="D56" s="267">
        <f t="dataTable" ref="D56:H60" dt2D="1" dtr="1" r1="D14" r2="D15"/>
        <v>81.400484208713408</v>
      </c>
      <c r="E56" s="268">
        <v>84.751694765049166</v>
      </c>
      <c r="F56" s="268">
        <v>88.102905321384881</v>
      </c>
      <c r="G56" s="268">
        <v>91.454115877720639</v>
      </c>
      <c r="H56" s="268">
        <v>94.805326434056397</v>
      </c>
      <c r="I56" s="104"/>
      <c r="J56" s="440" t="s">
        <v>136</v>
      </c>
      <c r="K56" s="246">
        <f>K57-0.005</f>
        <v>5.8739999999999994E-2</v>
      </c>
      <c r="L56" s="267">
        <f t="dataTable" ref="L56:P60" dt2D="1" dtr="1" r1="K29" r2="D15" ca="1"/>
        <v>87.711050565008307</v>
      </c>
      <c r="M56" s="268">
        <v>87.938782728946777</v>
      </c>
      <c r="N56" s="268">
        <v>88.16651489288526</v>
      </c>
      <c r="O56" s="268">
        <v>88.394247056823716</v>
      </c>
      <c r="P56" s="268">
        <v>88.621979220762185</v>
      </c>
      <c r="R56" s="25"/>
      <c r="S56" s="2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</row>
    <row r="57" spans="2:38" ht="12.75" customHeight="1">
      <c r="B57" s="438"/>
      <c r="C57" s="246">
        <f>C58-0.005</f>
        <v>6.3739999999999991E-2</v>
      </c>
      <c r="D57" s="268">
        <v>79.475828094733998</v>
      </c>
      <c r="E57" s="269">
        <v>82.741313790432216</v>
      </c>
      <c r="F57" s="267">
        <v>86.006799486130404</v>
      </c>
      <c r="G57" s="270">
        <v>89.272285181828622</v>
      </c>
      <c r="H57" s="268">
        <v>92.537770877526825</v>
      </c>
      <c r="I57" s="104"/>
      <c r="J57" s="440"/>
      <c r="K57" s="246">
        <f>K58-0.005</f>
        <v>6.3739999999999991E-2</v>
      </c>
      <c r="L57" s="268">
        <v>85.624968479027658</v>
      </c>
      <c r="M57" s="277">
        <v>85.846875193419422</v>
      </c>
      <c r="N57" s="278">
        <v>86.068781907811186</v>
      </c>
      <c r="O57" s="279">
        <v>86.29068862220295</v>
      </c>
      <c r="P57" s="268">
        <v>86.512595336594714</v>
      </c>
      <c r="R57" s="25"/>
      <c r="S57" s="25"/>
      <c r="T57" s="5"/>
      <c r="U57" s="437"/>
      <c r="V57" s="505"/>
      <c r="W57" s="505"/>
      <c r="X57" s="505"/>
      <c r="Y57" s="505"/>
      <c r="Z57" s="505"/>
      <c r="AA57" s="505"/>
      <c r="AB57" s="505"/>
      <c r="AC57" s="505"/>
      <c r="AD57" s="505"/>
      <c r="AE57" s="505"/>
      <c r="AF57" s="505"/>
      <c r="AG57" s="505"/>
      <c r="AH57" s="505"/>
      <c r="AI57" s="505"/>
      <c r="AJ57" s="505"/>
      <c r="AK57" s="5"/>
      <c r="AL57" s="5"/>
    </row>
    <row r="58" spans="2:38" ht="12.75" customHeight="1">
      <c r="B58" s="438"/>
      <c r="C58" s="247">
        <v>6.8739999999999996E-2</v>
      </c>
      <c r="D58" s="268">
        <v>77.608029545591648</v>
      </c>
      <c r="E58" s="271">
        <v>80.790369929966658</v>
      </c>
      <c r="F58" s="272">
        <v>83.972710314341626</v>
      </c>
      <c r="G58" s="273">
        <v>87.155050698716622</v>
      </c>
      <c r="H58" s="268">
        <v>90.337391083091617</v>
      </c>
      <c r="I58" s="104"/>
      <c r="J58" s="440"/>
      <c r="K58" s="247">
        <v>6.8739999999999996E-2</v>
      </c>
      <c r="L58" s="268">
        <v>83.600601431577147</v>
      </c>
      <c r="M58" s="280">
        <v>83.816857990196638</v>
      </c>
      <c r="N58" s="272">
        <v>84.03311454881613</v>
      </c>
      <c r="O58" s="281">
        <v>84.249371107435621</v>
      </c>
      <c r="P58" s="268">
        <v>84.465627666055127</v>
      </c>
      <c r="R58" s="25"/>
      <c r="S58" s="25"/>
      <c r="T58" s="5"/>
      <c r="U58" s="289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</row>
    <row r="59" spans="2:38" ht="12.75" customHeight="1">
      <c r="B59" s="438"/>
      <c r="C59" s="246">
        <f>C58+0.005</f>
        <v>7.374E-2</v>
      </c>
      <c r="D59" s="268">
        <v>75.795142629447511</v>
      </c>
      <c r="E59" s="274">
        <v>78.896828102202633</v>
      </c>
      <c r="F59" s="275">
        <v>81.998513574957755</v>
      </c>
      <c r="G59" s="276">
        <v>85.100199047712877</v>
      </c>
      <c r="H59" s="268">
        <v>88.201884520467999</v>
      </c>
      <c r="I59" s="104"/>
      <c r="J59" s="440"/>
      <c r="K59" s="246">
        <f>K58+0.005</f>
        <v>7.374E-2</v>
      </c>
      <c r="L59" s="268">
        <v>81.635835615798953</v>
      </c>
      <c r="M59" s="282">
        <v>81.846611254241495</v>
      </c>
      <c r="N59" s="283">
        <v>82.057386892684022</v>
      </c>
      <c r="O59" s="284">
        <v>82.268162531126563</v>
      </c>
      <c r="P59" s="268">
        <v>82.478938169569091</v>
      </c>
      <c r="R59" s="25"/>
      <c r="S59" s="25"/>
      <c r="T59" s="5"/>
      <c r="U59" s="289"/>
      <c r="V59" s="5"/>
      <c r="W59" s="5"/>
      <c r="X59" s="5"/>
      <c r="Y59" s="5"/>
      <c r="Z59" s="5"/>
      <c r="AA59" s="437"/>
      <c r="AB59" s="505"/>
      <c r="AC59" s="505"/>
      <c r="AD59" s="505"/>
      <c r="AE59" s="5"/>
      <c r="AF59" s="5"/>
      <c r="AG59" s="5"/>
      <c r="AH59" s="5"/>
      <c r="AI59" s="5"/>
      <c r="AJ59" s="5"/>
      <c r="AK59" s="5"/>
      <c r="AL59" s="5"/>
    </row>
    <row r="60" spans="2:38" ht="12.75" customHeight="1">
      <c r="B60" s="438"/>
      <c r="C60" s="246">
        <f>C59+0.005</f>
        <v>7.8740000000000004E-2</v>
      </c>
      <c r="D60" s="268">
        <v>74.035296821383881</v>
      </c>
      <c r="E60" s="268">
        <v>77.05873210839458</v>
      </c>
      <c r="F60" s="268">
        <v>80.082167395405278</v>
      </c>
      <c r="G60" s="268">
        <v>83.105602682415977</v>
      </c>
      <c r="H60" s="268">
        <v>86.129037969426676</v>
      </c>
      <c r="I60" s="104"/>
      <c r="J60" s="440"/>
      <c r="K60" s="246">
        <f>K59+0.005</f>
        <v>7.8740000000000004E-2</v>
      </c>
      <c r="L60" s="268">
        <v>79.728639176901652</v>
      </c>
      <c r="M60" s="268">
        <v>79.934097308780935</v>
      </c>
      <c r="N60" s="268">
        <v>80.139555440660203</v>
      </c>
      <c r="O60" s="268">
        <v>80.345013572539486</v>
      </c>
      <c r="P60" s="268">
        <v>80.550471704418769</v>
      </c>
      <c r="R60" s="25"/>
      <c r="S60" s="25"/>
      <c r="T60" s="5"/>
      <c r="U60" s="289"/>
      <c r="V60" s="5"/>
      <c r="W60" s="5"/>
      <c r="X60" s="5"/>
      <c r="Y60" s="5"/>
      <c r="Z60" s="5"/>
      <c r="AA60" s="5"/>
      <c r="AB60" s="5"/>
      <c r="AC60" s="5"/>
      <c r="AD60" s="315"/>
      <c r="AE60" s="5"/>
      <c r="AF60" s="5"/>
      <c r="AG60" s="5"/>
      <c r="AH60" s="5"/>
      <c r="AI60" s="5"/>
      <c r="AJ60" s="5"/>
      <c r="AK60" s="5"/>
      <c r="AL60" s="5"/>
    </row>
    <row r="61" spans="2:38" ht="12.75" customHeight="1">
      <c r="R61" s="25"/>
      <c r="S61" s="25"/>
      <c r="T61" s="5"/>
      <c r="U61" s="289"/>
      <c r="V61" s="5"/>
      <c r="W61" s="5"/>
      <c r="X61" s="5"/>
      <c r="Y61" s="5"/>
      <c r="Z61" s="5"/>
      <c r="AA61" s="5"/>
      <c r="AB61" s="5"/>
      <c r="AC61" s="5"/>
      <c r="AD61" s="315"/>
      <c r="AE61" s="5"/>
      <c r="AF61" s="5"/>
      <c r="AG61" s="5"/>
      <c r="AH61" s="5"/>
      <c r="AI61" s="5"/>
      <c r="AJ61" s="5"/>
      <c r="AK61" s="5"/>
      <c r="AL61" s="5"/>
    </row>
    <row r="62" spans="2:38" ht="12.75" customHeight="1">
      <c r="B62" s="158"/>
      <c r="C62" s="143"/>
      <c r="D62" s="439" t="s">
        <v>137</v>
      </c>
      <c r="E62" s="439"/>
      <c r="F62" s="439"/>
      <c r="G62" s="439"/>
      <c r="H62" s="439"/>
      <c r="J62" s="248"/>
      <c r="K62" s="143"/>
      <c r="L62" s="439" t="s">
        <v>135</v>
      </c>
      <c r="M62" s="439"/>
      <c r="N62" s="439"/>
      <c r="O62" s="439"/>
      <c r="P62" s="439"/>
      <c r="Q62" s="25"/>
      <c r="R62" s="25"/>
      <c r="S62" s="25"/>
      <c r="T62" s="5"/>
      <c r="U62" s="289"/>
      <c r="V62" s="5"/>
      <c r="W62" s="5"/>
      <c r="X62" s="5"/>
      <c r="Y62" s="5"/>
      <c r="Z62" s="5"/>
      <c r="AA62" s="5"/>
      <c r="AB62" s="5"/>
      <c r="AC62" s="5"/>
      <c r="AD62" s="290"/>
      <c r="AE62" s="5"/>
      <c r="AF62" s="5"/>
      <c r="AG62" s="5"/>
      <c r="AH62" s="5"/>
      <c r="AI62" s="5"/>
      <c r="AJ62" s="5"/>
      <c r="AK62" s="5"/>
      <c r="AL62" s="5"/>
    </row>
    <row r="63" spans="2:38" ht="12.75" customHeight="1">
      <c r="B63" s="161"/>
      <c r="C63" s="176">
        <f>J45</f>
        <v>63.434227284077387</v>
      </c>
      <c r="D63" s="286">
        <f>E63-0.0025</f>
        <v>1.7500000000000002E-2</v>
      </c>
      <c r="E63" s="286">
        <f>F63-0.0025</f>
        <v>0.02</v>
      </c>
      <c r="F63" s="285">
        <v>2.2499999999999999E-2</v>
      </c>
      <c r="G63" s="286">
        <f>F63+0.0025</f>
        <v>2.4999999999999998E-2</v>
      </c>
      <c r="H63" s="286">
        <f>G63+0.0025</f>
        <v>2.7499999999999997E-2</v>
      </c>
      <c r="J63" s="249"/>
      <c r="K63" s="176">
        <f>J45</f>
        <v>63.434227284077387</v>
      </c>
      <c r="L63" s="250">
        <f>M63-100</f>
        <v>901</v>
      </c>
      <c r="M63" s="250">
        <f>N63-100</f>
        <v>1001</v>
      </c>
      <c r="N63" s="251">
        <v>1101</v>
      </c>
      <c r="O63" s="250">
        <f>N63+100</f>
        <v>1201</v>
      </c>
      <c r="P63" s="250">
        <f>O63+100</f>
        <v>1301</v>
      </c>
      <c r="Q63" s="25"/>
      <c r="R63" s="25"/>
      <c r="S63" s="2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</row>
    <row r="64" spans="2:38" ht="12.75" customHeight="1">
      <c r="B64" s="438" t="s">
        <v>136</v>
      </c>
      <c r="C64" s="246">
        <f>C65-0.005</f>
        <v>5.8739999999999994E-2</v>
      </c>
      <c r="D64" s="267">
        <f t="dataTable" ref="D64:H68" dt2D="1" dtr="1" r1="D17" r2="D15" ca="1"/>
        <v>72.667404444314045</v>
      </c>
      <c r="E64" s="268">
        <v>76.67156858046927</v>
      </c>
      <c r="F64" s="268">
        <v>81.228183618411904</v>
      </c>
      <c r="G64" s="268">
        <v>86.460052811354942</v>
      </c>
      <c r="H64" s="268">
        <v>92.529289032617925</v>
      </c>
      <c r="J64" s="440" t="s">
        <v>136</v>
      </c>
      <c r="K64" s="246">
        <f>K65-0.005</f>
        <v>5.8739999999999994E-2</v>
      </c>
      <c r="L64" s="267">
        <f t="dataTable" ref="L64:P68" dt2D="1" dtr="1" r1="K29" r2="D15" ca="1"/>
        <v>70.56350868875279</v>
      </c>
      <c r="M64" s="268">
        <v>77.216630963813842</v>
      </c>
      <c r="N64" s="268">
        <v>83.869753238874893</v>
      </c>
      <c r="O64" s="268">
        <v>90.522875513935944</v>
      </c>
      <c r="P64" s="268">
        <v>97.17599778899698</v>
      </c>
      <c r="Q64" s="25"/>
      <c r="R64" s="25"/>
      <c r="S64" s="25"/>
      <c r="T64" s="5"/>
      <c r="U64" s="5"/>
      <c r="V64" s="5"/>
      <c r="W64" s="436"/>
      <c r="X64" s="506"/>
      <c r="Y64" s="506"/>
      <c r="Z64" s="506"/>
      <c r="AA64" s="506"/>
      <c r="AB64" s="506"/>
      <c r="AC64" s="506"/>
      <c r="AD64" s="506"/>
      <c r="AE64" s="506"/>
      <c r="AF64" s="506"/>
      <c r="AG64" s="506"/>
      <c r="AH64" s="5"/>
      <c r="AI64" s="5"/>
      <c r="AJ64" s="5"/>
      <c r="AK64" s="5"/>
      <c r="AL64" s="5"/>
    </row>
    <row r="65" spans="2:38" ht="12.75" customHeight="1">
      <c r="B65" s="438"/>
      <c r="C65" s="246">
        <f>C66-0.005</f>
        <v>6.3739999999999991E-2</v>
      </c>
      <c r="D65" s="268">
        <v>64.68303049993014</v>
      </c>
      <c r="E65" s="269">
        <v>67.779635279059448</v>
      </c>
      <c r="F65" s="267">
        <v>71.251677107064765</v>
      </c>
      <c r="G65" s="270">
        <v>75.171839976371743</v>
      </c>
      <c r="H65" s="268">
        <v>79.632864168706774</v>
      </c>
      <c r="J65" s="440"/>
      <c r="K65" s="246">
        <f>K66-0.005</f>
        <v>6.3739999999999991E-2</v>
      </c>
      <c r="L65" s="268">
        <v>62.076606945474985</v>
      </c>
      <c r="M65" s="277">
        <v>67.80044419976926</v>
      </c>
      <c r="N65" s="278">
        <v>73.524281454063541</v>
      </c>
      <c r="O65" s="279">
        <v>79.248118708357808</v>
      </c>
      <c r="P65" s="268">
        <v>84.971955962652061</v>
      </c>
      <c r="Q65" s="25"/>
      <c r="R65" s="25"/>
      <c r="S65" s="2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</row>
    <row r="66" spans="2:38" ht="12.75" customHeight="1">
      <c r="B66" s="438"/>
      <c r="C66" s="247">
        <v>6.8739999999999996E-2</v>
      </c>
      <c r="D66" s="268">
        <v>58.263742057309052</v>
      </c>
      <c r="E66" s="271">
        <v>60.719147171477012</v>
      </c>
      <c r="F66" s="272">
        <v>63.440058894010846</v>
      </c>
      <c r="G66" s="273">
        <v>66.472003049390366</v>
      </c>
      <c r="H66" s="268">
        <v>69.871544701784885</v>
      </c>
      <c r="J66" s="440"/>
      <c r="K66" s="247">
        <v>6.8739999999999996E-2</v>
      </c>
      <c r="L66" s="268">
        <v>55.427972136516146</v>
      </c>
      <c r="M66" s="280">
        <v>60.426286030525617</v>
      </c>
      <c r="N66" s="272">
        <v>65.424599924535102</v>
      </c>
      <c r="O66" s="281">
        <v>70.422913818544572</v>
      </c>
      <c r="P66" s="268">
        <v>75.421227712554042</v>
      </c>
      <c r="Q66" s="25"/>
      <c r="R66" s="25"/>
      <c r="S66" s="25"/>
      <c r="T66" s="5"/>
      <c r="U66" s="5"/>
      <c r="V66" s="304"/>
      <c r="W66" s="298"/>
      <c r="X66" s="298"/>
      <c r="Y66" s="298"/>
      <c r="Z66" s="298"/>
      <c r="AA66" s="298"/>
      <c r="AB66" s="296"/>
      <c r="AC66" s="298"/>
      <c r="AD66" s="298"/>
      <c r="AE66" s="298"/>
      <c r="AF66" s="298"/>
      <c r="AG66" s="298"/>
      <c r="AH66" s="5"/>
      <c r="AI66" s="5"/>
      <c r="AJ66" s="5"/>
      <c r="AK66" s="5"/>
      <c r="AL66" s="5"/>
    </row>
    <row r="67" spans="2:38" ht="12.75" customHeight="1">
      <c r="B67" s="438"/>
      <c r="C67" s="246">
        <f>C66+0.005</f>
        <v>7.374E-2</v>
      </c>
      <c r="D67" s="268">
        <v>52.991947727322248</v>
      </c>
      <c r="E67" s="274">
        <v>54.978742559841002</v>
      </c>
      <c r="F67" s="275">
        <v>57.15940886313637</v>
      </c>
      <c r="G67" s="276">
        <v>59.563779136814922</v>
      </c>
      <c r="H67" s="268">
        <v>62.228137545623106</v>
      </c>
      <c r="J67" s="440"/>
      <c r="K67" s="246">
        <f>K66+0.005</f>
        <v>7.374E-2</v>
      </c>
      <c r="L67" s="268">
        <v>50.079420537784053</v>
      </c>
      <c r="M67" s="282">
        <v>54.49624789963589</v>
      </c>
      <c r="N67" s="283">
        <v>58.913075261487712</v>
      </c>
      <c r="O67" s="284">
        <v>63.329902623339549</v>
      </c>
      <c r="P67" s="268">
        <v>67.746729985191365</v>
      </c>
      <c r="Q67" s="25"/>
      <c r="R67" s="25"/>
      <c r="S67" s="25"/>
      <c r="T67" s="5"/>
      <c r="U67" s="5"/>
      <c r="V67" s="298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5"/>
      <c r="AI67" s="5"/>
      <c r="AJ67" s="5"/>
      <c r="AK67" s="5"/>
      <c r="AL67" s="5"/>
    </row>
    <row r="68" spans="2:38" ht="12.75" customHeight="1">
      <c r="B68" s="438"/>
      <c r="C68" s="246">
        <f>C67+0.005</f>
        <v>7.8740000000000004E-2</v>
      </c>
      <c r="D68" s="268">
        <v>48.586439341734355</v>
      </c>
      <c r="E68" s="268">
        <v>50.221174653268605</v>
      </c>
      <c r="F68" s="268">
        <v>52.001245607720179</v>
      </c>
      <c r="G68" s="268">
        <v>53.946935370736298</v>
      </c>
      <c r="H68" s="268">
        <v>56.082485571205211</v>
      </c>
      <c r="J68" s="440"/>
      <c r="K68" s="246">
        <f>K67+0.005</f>
        <v>7.8740000000000004E-2</v>
      </c>
      <c r="L68" s="268">
        <v>45.684157667169877</v>
      </c>
      <c r="M68" s="268">
        <v>49.625052140559902</v>
      </c>
      <c r="N68" s="268">
        <v>53.565946613949933</v>
      </c>
      <c r="O68" s="268">
        <v>57.506841087339957</v>
      </c>
      <c r="P68" s="268">
        <v>61.447735560729988</v>
      </c>
      <c r="Q68" s="25"/>
      <c r="R68" s="25"/>
      <c r="S68" s="25"/>
      <c r="T68" s="5"/>
      <c r="U68" s="5"/>
      <c r="V68" s="298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5"/>
      <c r="AI68" s="5"/>
      <c r="AJ68" s="5"/>
      <c r="AK68" s="5"/>
      <c r="AL68" s="5"/>
    </row>
    <row r="69" spans="2:38" ht="12.75" customHeight="1">
      <c r="J69" s="25"/>
      <c r="K69" s="25"/>
      <c r="L69" s="25"/>
      <c r="R69" s="25"/>
      <c r="S69" s="25"/>
      <c r="T69" s="5"/>
      <c r="U69" s="5"/>
      <c r="V69" s="298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5"/>
      <c r="AI69" s="5"/>
      <c r="AJ69" s="5"/>
      <c r="AK69" s="5"/>
      <c r="AL69" s="5"/>
    </row>
    <row r="70" spans="2:38" ht="12.75" customHeight="1">
      <c r="R70" s="25"/>
      <c r="S70" s="25"/>
      <c r="T70" s="5"/>
      <c r="U70" s="5"/>
      <c r="V70" s="298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5"/>
      <c r="AI70" s="5"/>
      <c r="AJ70" s="297"/>
      <c r="AK70" s="5"/>
      <c r="AL70" s="5"/>
    </row>
    <row r="71" spans="2:38" ht="12.75" customHeight="1">
      <c r="R71" s="25"/>
      <c r="S71" s="25"/>
      <c r="T71" s="5"/>
      <c r="U71" s="5"/>
      <c r="V71" s="298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5"/>
      <c r="AI71" s="5"/>
      <c r="AJ71" s="5"/>
      <c r="AK71" s="5"/>
      <c r="AL71" s="5"/>
    </row>
    <row r="72" spans="2:38" ht="12.75" customHeight="1">
      <c r="R72" s="25"/>
      <c r="S72" s="25"/>
      <c r="T72" s="5"/>
      <c r="U72" s="316"/>
      <c r="V72" s="298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5"/>
      <c r="AI72" s="5"/>
      <c r="AJ72" s="297"/>
      <c r="AK72" s="5"/>
      <c r="AL72" s="5"/>
    </row>
    <row r="73" spans="2:38" ht="12.75" customHeight="1">
      <c r="R73" s="25"/>
      <c r="S73" s="25"/>
      <c r="T73" s="5"/>
      <c r="U73" s="5"/>
      <c r="V73" s="298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5"/>
      <c r="AI73" s="5"/>
      <c r="AJ73" s="5"/>
      <c r="AK73" s="5"/>
      <c r="AL73" s="5"/>
    </row>
    <row r="74" spans="2:38" ht="12.75" customHeight="1">
      <c r="R74" s="25"/>
      <c r="S74" s="25"/>
      <c r="T74" s="5"/>
      <c r="U74" s="5"/>
      <c r="V74" s="296"/>
      <c r="W74" s="297"/>
      <c r="X74" s="297"/>
      <c r="Y74" s="297"/>
      <c r="Z74" s="297"/>
      <c r="AA74" s="297"/>
      <c r="AB74" s="308"/>
      <c r="AC74" s="297"/>
      <c r="AD74" s="297"/>
      <c r="AE74" s="297"/>
      <c r="AF74" s="297"/>
      <c r="AG74" s="297"/>
      <c r="AH74" s="5"/>
      <c r="AI74" s="5"/>
      <c r="AJ74" s="297"/>
      <c r="AK74" s="5"/>
      <c r="AL74" s="5"/>
    </row>
    <row r="75" spans="2:38" ht="12.75" customHeight="1">
      <c r="R75" s="25"/>
      <c r="S75" s="25"/>
      <c r="T75" s="5"/>
      <c r="U75" s="5"/>
      <c r="V75" s="298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5"/>
      <c r="AI75" s="5"/>
      <c r="AJ75" s="5"/>
      <c r="AK75" s="5"/>
      <c r="AL75" s="5"/>
    </row>
    <row r="76" spans="2:38" ht="12.75" customHeight="1">
      <c r="R76" s="25"/>
      <c r="S76" s="25"/>
      <c r="T76" s="5"/>
      <c r="U76" s="5"/>
      <c r="V76" s="298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5"/>
      <c r="AI76" s="5"/>
      <c r="AJ76" s="5"/>
      <c r="AK76" s="5"/>
      <c r="AL76" s="5"/>
    </row>
    <row r="77" spans="2:38" ht="12.75" customHeight="1">
      <c r="R77" s="25"/>
      <c r="S77" s="25"/>
      <c r="T77" s="5"/>
      <c r="U77" s="5"/>
      <c r="V77" s="298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5"/>
      <c r="AI77" s="5"/>
      <c r="AJ77" s="5"/>
      <c r="AK77" s="5"/>
      <c r="AL77" s="5"/>
    </row>
    <row r="78" spans="2:38" ht="12.75" customHeight="1">
      <c r="R78" s="25"/>
      <c r="S78" s="2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</row>
    <row r="79" spans="2:38" ht="12.75" customHeight="1">
      <c r="R79" s="25"/>
      <c r="S79" s="25"/>
      <c r="T79" s="5"/>
      <c r="U79" s="5"/>
      <c r="V79" s="5"/>
      <c r="W79" s="436"/>
      <c r="X79" s="506"/>
      <c r="Y79" s="506"/>
      <c r="Z79" s="506"/>
      <c r="AA79" s="506"/>
      <c r="AB79" s="506"/>
      <c r="AC79" s="506"/>
      <c r="AD79" s="506"/>
      <c r="AE79" s="506"/>
      <c r="AF79" s="506"/>
      <c r="AG79" s="506"/>
      <c r="AH79" s="5"/>
      <c r="AI79" s="5"/>
      <c r="AJ79" s="5"/>
      <c r="AK79" s="5"/>
      <c r="AL79" s="5"/>
    </row>
    <row r="80" spans="2:38" ht="12.75" customHeight="1">
      <c r="R80" s="25"/>
      <c r="S80" s="2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spans="18:38" ht="12.75" customHeight="1">
      <c r="R81" s="25"/>
      <c r="S81" s="25"/>
      <c r="T81" s="5"/>
      <c r="U81" s="5"/>
      <c r="V81" s="304"/>
      <c r="W81" s="317"/>
      <c r="X81" s="317"/>
      <c r="Y81" s="317"/>
      <c r="Z81" s="317"/>
      <c r="AA81" s="317"/>
      <c r="AB81" s="318"/>
      <c r="AC81" s="317"/>
      <c r="AD81" s="317"/>
      <c r="AE81" s="317"/>
      <c r="AF81" s="317"/>
      <c r="AG81" s="317"/>
      <c r="AH81" s="5"/>
      <c r="AI81" s="5"/>
      <c r="AJ81" s="5"/>
      <c r="AK81" s="5"/>
      <c r="AL81" s="5"/>
    </row>
    <row r="82" spans="18:38" ht="12.75" customHeight="1">
      <c r="R82" s="25"/>
      <c r="S82" s="25"/>
      <c r="T82" s="5"/>
      <c r="U82" s="5"/>
      <c r="V82" s="298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5"/>
      <c r="AI82" s="5"/>
      <c r="AJ82" s="5"/>
      <c r="AK82" s="5"/>
      <c r="AL82" s="5"/>
    </row>
    <row r="83" spans="18:38" ht="12.75" customHeight="1">
      <c r="R83" s="25"/>
      <c r="S83" s="25"/>
      <c r="T83" s="5"/>
      <c r="U83" s="5"/>
      <c r="V83" s="298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5"/>
      <c r="AI83" s="5"/>
      <c r="AJ83" s="5"/>
      <c r="AK83" s="5"/>
      <c r="AL83" s="5"/>
    </row>
    <row r="84" spans="18:38" ht="12.75" customHeight="1">
      <c r="R84" s="25"/>
      <c r="S84" s="25"/>
      <c r="T84" s="5"/>
      <c r="U84" s="5"/>
      <c r="V84" s="298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5"/>
      <c r="AI84" s="5"/>
      <c r="AJ84" s="5"/>
      <c r="AK84" s="5"/>
      <c r="AL84" s="5"/>
    </row>
    <row r="85" spans="18:38" ht="12.75" customHeight="1">
      <c r="R85" s="25"/>
      <c r="S85" s="25"/>
      <c r="T85" s="5"/>
      <c r="U85" s="5"/>
      <c r="V85" s="298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5"/>
      <c r="AI85" s="5"/>
      <c r="AJ85" s="297"/>
      <c r="AK85" s="5"/>
      <c r="AL85" s="5"/>
    </row>
    <row r="86" spans="18:38" ht="12.75" customHeight="1">
      <c r="R86" s="25"/>
      <c r="S86" s="25"/>
      <c r="T86" s="5"/>
      <c r="U86" s="5"/>
      <c r="V86" s="298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5"/>
      <c r="AI86" s="5"/>
      <c r="AJ86" s="5"/>
      <c r="AK86" s="5"/>
      <c r="AL86" s="5"/>
    </row>
    <row r="87" spans="18:38" ht="12.75" customHeight="1">
      <c r="R87" s="25"/>
      <c r="S87" s="25"/>
      <c r="T87" s="5"/>
      <c r="U87" s="316"/>
      <c r="V87" s="298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5"/>
      <c r="AI87" s="5"/>
      <c r="AJ87" s="297"/>
      <c r="AK87" s="5"/>
      <c r="AL87" s="5"/>
    </row>
    <row r="88" spans="18:38" ht="12.75" customHeight="1">
      <c r="R88" s="25"/>
      <c r="S88" s="25"/>
      <c r="T88" s="5"/>
      <c r="U88" s="5"/>
      <c r="V88" s="298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5"/>
      <c r="AI88" s="5"/>
      <c r="AJ88" s="5"/>
      <c r="AK88" s="5"/>
      <c r="AL88" s="5"/>
    </row>
    <row r="89" spans="18:38" ht="12.75" customHeight="1">
      <c r="R89" s="25"/>
      <c r="S89" s="25"/>
      <c r="T89" s="5"/>
      <c r="U89" s="5"/>
      <c r="V89" s="296"/>
      <c r="W89" s="297"/>
      <c r="X89" s="297"/>
      <c r="Y89" s="297"/>
      <c r="Z89" s="297"/>
      <c r="AA89" s="297"/>
      <c r="AB89" s="308"/>
      <c r="AC89" s="297"/>
      <c r="AD89" s="297"/>
      <c r="AE89" s="297"/>
      <c r="AF89" s="297"/>
      <c r="AG89" s="297"/>
      <c r="AH89" s="5"/>
      <c r="AI89" s="5"/>
      <c r="AJ89" s="297"/>
      <c r="AK89" s="5"/>
      <c r="AL89" s="5"/>
    </row>
    <row r="90" spans="18:38" ht="12.75" customHeight="1">
      <c r="R90" s="25"/>
      <c r="S90" s="25"/>
      <c r="T90" s="5"/>
      <c r="U90" s="5"/>
      <c r="V90" s="298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5"/>
      <c r="AI90" s="5"/>
      <c r="AJ90" s="5"/>
      <c r="AK90" s="5"/>
      <c r="AL90" s="5"/>
    </row>
    <row r="91" spans="18:38" ht="12.75" customHeight="1">
      <c r="R91" s="25"/>
      <c r="S91" s="25"/>
      <c r="T91" s="5"/>
      <c r="U91" s="5"/>
      <c r="V91" s="298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5"/>
      <c r="AI91" s="5"/>
      <c r="AJ91" s="5"/>
      <c r="AK91" s="5"/>
      <c r="AL91" s="5"/>
    </row>
    <row r="92" spans="18:38" ht="12.75" customHeight="1">
      <c r="R92" s="25"/>
      <c r="S92" s="25"/>
      <c r="T92" s="5"/>
      <c r="U92" s="5"/>
      <c r="V92" s="298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5"/>
      <c r="AI92" s="5"/>
      <c r="AJ92" s="5"/>
      <c r="AK92" s="5"/>
      <c r="AL92" s="5"/>
    </row>
    <row r="93" spans="18:38" ht="12.75" customHeight="1">
      <c r="R93" s="25"/>
      <c r="S93" s="2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</row>
    <row r="94" spans="18:38" ht="12.75" customHeight="1">
      <c r="R94" s="25"/>
      <c r="S94" s="25"/>
      <c r="T94" s="5"/>
      <c r="U94" s="5"/>
      <c r="V94" s="5"/>
      <c r="W94" s="436"/>
      <c r="X94" s="506"/>
      <c r="Y94" s="506"/>
      <c r="Z94" s="506"/>
      <c r="AA94" s="506"/>
      <c r="AB94" s="506"/>
      <c r="AC94" s="506"/>
      <c r="AD94" s="506"/>
      <c r="AE94" s="506"/>
      <c r="AF94" s="506"/>
      <c r="AG94" s="506"/>
      <c r="AH94" s="5"/>
      <c r="AI94" s="5"/>
      <c r="AJ94" s="5"/>
      <c r="AK94" s="5"/>
      <c r="AL94" s="5"/>
    </row>
    <row r="95" spans="18:38" ht="12.75" customHeight="1">
      <c r="R95" s="25"/>
      <c r="S95" s="2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</row>
    <row r="96" spans="18:38" ht="12.75" customHeight="1">
      <c r="R96" s="25"/>
      <c r="S96" s="25"/>
      <c r="T96" s="5"/>
      <c r="U96" s="5"/>
      <c r="V96" s="304"/>
      <c r="W96" s="317"/>
      <c r="X96" s="317"/>
      <c r="Y96" s="317"/>
      <c r="Z96" s="317"/>
      <c r="AA96" s="317"/>
      <c r="AB96" s="318"/>
      <c r="AC96" s="317"/>
      <c r="AD96" s="317"/>
      <c r="AE96" s="317"/>
      <c r="AF96" s="317"/>
      <c r="AG96" s="317"/>
      <c r="AH96" s="5"/>
      <c r="AI96" s="5"/>
      <c r="AJ96" s="5"/>
      <c r="AK96" s="5"/>
      <c r="AL96" s="5"/>
    </row>
    <row r="97" spans="18:38" ht="12.75" customHeight="1">
      <c r="R97" s="25"/>
      <c r="S97" s="25"/>
      <c r="T97" s="5"/>
      <c r="U97" s="5"/>
      <c r="V97" s="298"/>
      <c r="W97" s="297"/>
      <c r="X97" s="297"/>
      <c r="Y97" s="297"/>
      <c r="Z97" s="297"/>
      <c r="AA97" s="297"/>
      <c r="AB97" s="297"/>
      <c r="AC97" s="297"/>
      <c r="AD97" s="297"/>
      <c r="AE97" s="297"/>
      <c r="AF97" s="297"/>
      <c r="AG97" s="297"/>
      <c r="AH97" s="5"/>
      <c r="AI97" s="5"/>
      <c r="AJ97" s="5"/>
      <c r="AK97" s="5"/>
      <c r="AL97" s="5"/>
    </row>
    <row r="98" spans="18:38" ht="12.75" customHeight="1">
      <c r="R98" s="25"/>
      <c r="S98" s="25"/>
      <c r="T98" s="5"/>
      <c r="U98" s="5"/>
      <c r="V98" s="298"/>
      <c r="W98" s="297"/>
      <c r="X98" s="297"/>
      <c r="Y98" s="297"/>
      <c r="Z98" s="297"/>
      <c r="AA98" s="297"/>
      <c r="AB98" s="297"/>
      <c r="AC98" s="297"/>
      <c r="AD98" s="297"/>
      <c r="AE98" s="297"/>
      <c r="AF98" s="297"/>
      <c r="AG98" s="297"/>
      <c r="AH98" s="5"/>
      <c r="AI98" s="5"/>
      <c r="AJ98" s="5"/>
      <c r="AK98" s="5"/>
      <c r="AL98" s="5"/>
    </row>
    <row r="99" spans="18:38" ht="12.75" customHeight="1">
      <c r="R99" s="25"/>
      <c r="S99" s="25"/>
      <c r="T99" s="5"/>
      <c r="U99" s="5"/>
      <c r="V99" s="298"/>
      <c r="W99" s="297"/>
      <c r="X99" s="297"/>
      <c r="Y99" s="297"/>
      <c r="Z99" s="297"/>
      <c r="AA99" s="297"/>
      <c r="AB99" s="297"/>
      <c r="AC99" s="297"/>
      <c r="AD99" s="297"/>
      <c r="AE99" s="297"/>
      <c r="AF99" s="297"/>
      <c r="AG99" s="297"/>
      <c r="AH99" s="5"/>
      <c r="AI99" s="5"/>
      <c r="AJ99" s="5"/>
      <c r="AK99" s="5"/>
      <c r="AL99" s="5"/>
    </row>
    <row r="100" spans="18:38" ht="12.75" customHeight="1">
      <c r="R100" s="25"/>
      <c r="S100" s="25"/>
      <c r="T100" s="5"/>
      <c r="U100" s="5"/>
      <c r="V100" s="298"/>
      <c r="W100" s="297"/>
      <c r="X100" s="297"/>
      <c r="Y100" s="297"/>
      <c r="Z100" s="297"/>
      <c r="AA100" s="297"/>
      <c r="AB100" s="297"/>
      <c r="AC100" s="297"/>
      <c r="AD100" s="297"/>
      <c r="AE100" s="297"/>
      <c r="AF100" s="297"/>
      <c r="AG100" s="297"/>
      <c r="AH100" s="5"/>
      <c r="AI100" s="5"/>
      <c r="AJ100" s="297"/>
      <c r="AK100" s="5"/>
      <c r="AL100" s="5"/>
    </row>
    <row r="101" spans="18:38" ht="12.75" customHeight="1">
      <c r="R101" s="25"/>
      <c r="S101" s="25"/>
      <c r="T101" s="5"/>
      <c r="U101" s="5"/>
      <c r="V101" s="298"/>
      <c r="W101" s="297"/>
      <c r="X101" s="297"/>
      <c r="Y101" s="297"/>
      <c r="Z101" s="297"/>
      <c r="AA101" s="297"/>
      <c r="AB101" s="297"/>
      <c r="AC101" s="297"/>
      <c r="AD101" s="297"/>
      <c r="AE101" s="297"/>
      <c r="AF101" s="297"/>
      <c r="AG101" s="297"/>
      <c r="AH101" s="5"/>
      <c r="AI101" s="5"/>
      <c r="AJ101" s="5"/>
      <c r="AK101" s="5"/>
      <c r="AL101" s="5"/>
    </row>
    <row r="102" spans="18:38" ht="12.75" customHeight="1">
      <c r="R102" s="25"/>
      <c r="S102" s="25"/>
      <c r="T102" s="5"/>
      <c r="U102" s="316"/>
      <c r="V102" s="298"/>
      <c r="W102" s="297"/>
      <c r="X102" s="297"/>
      <c r="Y102" s="297"/>
      <c r="Z102" s="297"/>
      <c r="AA102" s="297"/>
      <c r="AB102" s="297"/>
      <c r="AC102" s="297"/>
      <c r="AD102" s="297"/>
      <c r="AE102" s="297"/>
      <c r="AF102" s="297"/>
      <c r="AG102" s="297"/>
      <c r="AH102" s="5"/>
      <c r="AI102" s="5"/>
      <c r="AJ102" s="297"/>
      <c r="AK102" s="5"/>
      <c r="AL102" s="5"/>
    </row>
    <row r="103" spans="18:38" ht="12.75" customHeight="1">
      <c r="R103" s="25"/>
      <c r="S103" s="25"/>
      <c r="T103" s="5"/>
      <c r="U103" s="5"/>
      <c r="V103" s="298"/>
      <c r="W103" s="297"/>
      <c r="X103" s="297"/>
      <c r="Y103" s="297"/>
      <c r="Z103" s="297"/>
      <c r="AA103" s="297"/>
      <c r="AB103" s="297"/>
      <c r="AC103" s="297"/>
      <c r="AD103" s="297"/>
      <c r="AE103" s="297"/>
      <c r="AF103" s="297"/>
      <c r="AG103" s="297"/>
      <c r="AH103" s="5"/>
      <c r="AI103" s="5"/>
      <c r="AJ103" s="5"/>
      <c r="AK103" s="5"/>
      <c r="AL103" s="5"/>
    </row>
    <row r="104" spans="18:38" ht="12.75" customHeight="1">
      <c r="R104" s="25"/>
      <c r="S104" s="25"/>
      <c r="T104" s="5"/>
      <c r="U104" s="5"/>
      <c r="V104" s="296"/>
      <c r="W104" s="297"/>
      <c r="X104" s="297"/>
      <c r="Y104" s="297"/>
      <c r="Z104" s="297"/>
      <c r="AA104" s="297"/>
      <c r="AB104" s="308"/>
      <c r="AC104" s="297"/>
      <c r="AD104" s="297"/>
      <c r="AE104" s="297"/>
      <c r="AF104" s="297"/>
      <c r="AG104" s="297"/>
      <c r="AH104" s="5"/>
      <c r="AI104" s="5"/>
      <c r="AJ104" s="297"/>
      <c r="AK104" s="5"/>
      <c r="AL104" s="5"/>
    </row>
    <row r="105" spans="18:38" ht="12.75" customHeight="1">
      <c r="R105" s="25"/>
      <c r="S105" s="25"/>
      <c r="T105" s="5"/>
      <c r="U105" s="5"/>
      <c r="V105" s="298"/>
      <c r="W105" s="297"/>
      <c r="X105" s="297"/>
      <c r="Y105" s="297"/>
      <c r="Z105" s="297"/>
      <c r="AA105" s="297"/>
      <c r="AB105" s="297"/>
      <c r="AC105" s="297"/>
      <c r="AD105" s="297"/>
      <c r="AE105" s="297"/>
      <c r="AF105" s="297"/>
      <c r="AG105" s="297"/>
      <c r="AH105" s="5"/>
      <c r="AI105" s="5"/>
      <c r="AJ105" s="5"/>
      <c r="AK105" s="5"/>
      <c r="AL105" s="5"/>
    </row>
    <row r="106" spans="18:38" ht="12.75" customHeight="1">
      <c r="R106" s="25"/>
      <c r="S106" s="25"/>
      <c r="T106" s="5"/>
      <c r="U106" s="5"/>
      <c r="V106" s="298"/>
      <c r="W106" s="297"/>
      <c r="X106" s="297"/>
      <c r="Y106" s="297"/>
      <c r="Z106" s="297"/>
      <c r="AA106" s="297"/>
      <c r="AB106" s="297"/>
      <c r="AC106" s="297"/>
      <c r="AD106" s="297"/>
      <c r="AE106" s="297"/>
      <c r="AF106" s="297"/>
      <c r="AG106" s="297"/>
      <c r="AH106" s="5"/>
      <c r="AI106" s="5"/>
      <c r="AJ106" s="5"/>
      <c r="AK106" s="5"/>
      <c r="AL106" s="5"/>
    </row>
    <row r="107" spans="18:38" ht="12.75" customHeight="1">
      <c r="R107" s="25"/>
      <c r="S107" s="25"/>
      <c r="T107" s="5"/>
      <c r="U107" s="5"/>
      <c r="V107" s="298"/>
      <c r="W107" s="297"/>
      <c r="X107" s="297"/>
      <c r="Y107" s="297"/>
      <c r="Z107" s="297"/>
      <c r="AA107" s="297"/>
      <c r="AB107" s="297"/>
      <c r="AC107" s="297"/>
      <c r="AD107" s="297"/>
      <c r="AE107" s="297"/>
      <c r="AF107" s="297"/>
      <c r="AG107" s="297"/>
      <c r="AH107" s="5"/>
      <c r="AI107" s="5"/>
      <c r="AJ107" s="5"/>
      <c r="AK107" s="5"/>
      <c r="AL107" s="5"/>
    </row>
    <row r="108" spans="18:38" ht="12.75" customHeight="1">
      <c r="R108" s="25"/>
      <c r="S108" s="2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</row>
    <row r="109" spans="18:38" ht="12.75" customHeight="1">
      <c r="R109" s="25"/>
      <c r="S109" s="2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</row>
    <row r="110" spans="18:38" ht="12.75" customHeight="1">
      <c r="R110" s="25"/>
      <c r="S110" s="2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</row>
    <row r="111" spans="18:38" ht="12.75" customHeight="1">
      <c r="R111" s="25"/>
      <c r="S111" s="2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</row>
    <row r="112" spans="18:38" ht="12.75" customHeight="1">
      <c r="R112" s="25"/>
      <c r="S112" s="2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</row>
    <row r="113" spans="18:38" ht="12.75" customHeight="1">
      <c r="R113" s="25"/>
      <c r="S113" s="2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</row>
    <row r="114" spans="18:38" ht="12.75" customHeight="1">
      <c r="R114" s="25"/>
      <c r="S114" s="2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</row>
    <row r="115" spans="18:38" ht="12.75" customHeight="1">
      <c r="R115" s="25"/>
      <c r="S115" s="2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</row>
    <row r="116" spans="18:38" ht="12.75" customHeight="1">
      <c r="R116" s="25"/>
      <c r="S116" s="2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</row>
    <row r="117" spans="18:38" ht="12.75" customHeight="1">
      <c r="R117" s="25"/>
      <c r="S117" s="2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</row>
    <row r="118" spans="18:38" ht="12.75" customHeight="1">
      <c r="R118" s="25"/>
      <c r="S118" s="2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</row>
    <row r="119" spans="18:38" ht="12.75" customHeight="1">
      <c r="R119" s="25"/>
      <c r="S119" s="2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</row>
    <row r="120" spans="18:38" ht="12.75" customHeight="1">
      <c r="R120" s="25"/>
      <c r="S120" s="2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</row>
    <row r="121" spans="18:38" ht="12.75" customHeight="1">
      <c r="R121" s="25"/>
      <c r="S121" s="2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</row>
    <row r="122" spans="18:38" ht="12.75" customHeight="1">
      <c r="R122" s="25"/>
      <c r="S122" s="2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</row>
    <row r="123" spans="18:38" ht="12.75" customHeight="1">
      <c r="R123" s="25"/>
      <c r="S123" s="2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</row>
    <row r="124" spans="18:38" ht="12.75" customHeight="1">
      <c r="R124" s="25"/>
      <c r="S124" s="2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</row>
    <row r="125" spans="18:38" ht="12.75" customHeight="1">
      <c r="R125" s="25"/>
      <c r="S125" s="2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</row>
    <row r="126" spans="18:38" ht="12.75" customHeight="1">
      <c r="R126" s="25"/>
      <c r="S126" s="2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</row>
    <row r="127" spans="18:38" ht="12.75" customHeight="1">
      <c r="R127" s="25"/>
      <c r="S127" s="2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</row>
    <row r="128" spans="18:38" ht="12.75" customHeight="1">
      <c r="R128" s="25"/>
      <c r="S128" s="2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</row>
    <row r="129" spans="1:38" ht="12.75" customHeight="1">
      <c r="R129" s="25"/>
      <c r="S129" s="2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</row>
    <row r="130" spans="1:38" ht="12.75" customHeight="1">
      <c r="R130" s="25"/>
      <c r="S130" s="2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</row>
    <row r="131" spans="1:38" ht="12.75" customHeight="1">
      <c r="R131" s="25"/>
      <c r="S131" s="2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</row>
    <row r="132" spans="1:38" ht="12.75" customHeight="1">
      <c r="R132" s="25"/>
      <c r="S132" s="2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</row>
    <row r="133" spans="1:38" ht="12.75" customHeight="1">
      <c r="R133" s="25"/>
      <c r="S133" s="2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</row>
    <row r="134" spans="1:38" ht="12.75" customHeight="1">
      <c r="R134" s="25"/>
      <c r="S134" s="2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</row>
    <row r="135" spans="1:38" ht="12.75" customHeight="1">
      <c r="R135" s="25"/>
      <c r="S135" s="2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</row>
    <row r="136" spans="1:38" ht="12.75" customHeight="1">
      <c r="R136" s="25"/>
      <c r="S136" s="2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</row>
    <row r="137" spans="1:38" ht="12.75" customHeight="1">
      <c r="R137" s="25"/>
      <c r="S137" s="2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</row>
    <row r="138" spans="1:38" ht="12.75" customHeight="1">
      <c r="R138" s="25"/>
      <c r="S138" s="2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</row>
    <row r="139" spans="1:38" ht="12.75" customHeight="1">
      <c r="R139" s="25"/>
      <c r="S139" s="2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</row>
    <row r="140" spans="1:38" ht="12.75" customHeight="1">
      <c r="R140" s="25"/>
      <c r="S140" s="2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</row>
    <row r="141" spans="1:38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</row>
    <row r="142" spans="1:38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5"/>
      <c r="S142" s="5"/>
      <c r="T142" s="5"/>
      <c r="U142" s="5"/>
      <c r="V142" s="5"/>
      <c r="W142" s="5"/>
      <c r="X142" s="5"/>
      <c r="Y142" s="5"/>
      <c r="Z142" s="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</row>
    <row r="143" spans="1:38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5"/>
      <c r="S143" s="5"/>
      <c r="T143" s="5"/>
      <c r="U143" s="5"/>
      <c r="V143" s="5"/>
      <c r="W143" s="5"/>
      <c r="X143" s="5"/>
      <c r="Y143" s="5"/>
      <c r="Z143" s="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</row>
    <row r="144" spans="1:38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5"/>
      <c r="S144" s="5"/>
      <c r="T144" s="5"/>
      <c r="U144" s="5"/>
      <c r="V144" s="5"/>
      <c r="W144" s="5"/>
      <c r="X144" s="5"/>
      <c r="Y144" s="5"/>
      <c r="Z144" s="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</row>
    <row r="145" spans="1:38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5"/>
      <c r="S145" s="5"/>
      <c r="T145" s="5"/>
      <c r="U145" s="5"/>
      <c r="V145" s="5"/>
      <c r="W145" s="5"/>
      <c r="X145" s="5"/>
      <c r="Y145" s="5"/>
      <c r="Z145" s="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</row>
    <row r="146" spans="1:38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5"/>
      <c r="S146" s="5"/>
      <c r="T146" s="5"/>
      <c r="U146" s="5"/>
      <c r="V146" s="5"/>
      <c r="W146" s="5"/>
      <c r="X146" s="5"/>
      <c r="Y146" s="5"/>
      <c r="Z146" s="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</row>
    <row r="147" spans="1:38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5"/>
      <c r="S147" s="5"/>
      <c r="T147" s="5"/>
      <c r="U147" s="5"/>
      <c r="V147" s="5"/>
      <c r="W147" s="5"/>
      <c r="X147" s="5"/>
      <c r="Y147" s="5"/>
      <c r="Z147" s="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</row>
    <row r="148" spans="1:38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5"/>
      <c r="S148" s="5"/>
      <c r="T148" s="5"/>
      <c r="U148" s="5"/>
      <c r="V148" s="5"/>
      <c r="W148" s="5"/>
      <c r="X148" s="5"/>
      <c r="Y148" s="5"/>
      <c r="Z148" s="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</row>
    <row r="149" spans="1:38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5"/>
      <c r="S149" s="5"/>
      <c r="T149" s="5"/>
      <c r="U149" s="5"/>
      <c r="V149" s="5"/>
      <c r="W149" s="5"/>
      <c r="X149" s="5"/>
      <c r="Y149" s="5"/>
      <c r="Z149" s="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</row>
    <row r="150" spans="1:38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5"/>
      <c r="S150" s="5"/>
      <c r="T150" s="5"/>
      <c r="U150" s="5"/>
      <c r="V150" s="5"/>
      <c r="W150" s="5"/>
      <c r="X150" s="5"/>
      <c r="Y150" s="5"/>
      <c r="Z150" s="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</row>
    <row r="151" spans="1:38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5"/>
      <c r="S151" s="5"/>
      <c r="T151" s="5"/>
      <c r="U151" s="5"/>
      <c r="V151" s="5"/>
      <c r="W151" s="5"/>
      <c r="X151" s="5"/>
      <c r="Y151" s="5"/>
      <c r="Z151" s="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</row>
    <row r="152" spans="1:38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5"/>
      <c r="S152" s="5"/>
      <c r="T152" s="5"/>
      <c r="U152" s="5"/>
      <c r="V152" s="5"/>
      <c r="W152" s="5"/>
      <c r="X152" s="5"/>
      <c r="Y152" s="5"/>
      <c r="Z152" s="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</row>
    <row r="153" spans="1:38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5"/>
      <c r="S153" s="5"/>
      <c r="T153" s="5"/>
      <c r="U153" s="5"/>
      <c r="V153" s="5"/>
      <c r="W153" s="5"/>
      <c r="X153" s="5"/>
      <c r="Y153" s="5"/>
      <c r="Z153" s="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</row>
    <row r="154" spans="1:38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5"/>
      <c r="S154" s="5"/>
      <c r="T154" s="5"/>
      <c r="U154" s="5"/>
      <c r="V154" s="5"/>
      <c r="W154" s="5"/>
      <c r="X154" s="5"/>
      <c r="Y154" s="5"/>
      <c r="Z154" s="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</row>
    <row r="155" spans="1:38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5"/>
      <c r="S155" s="5"/>
      <c r="T155" s="5"/>
      <c r="U155" s="5"/>
      <c r="V155" s="5"/>
      <c r="W155" s="5"/>
      <c r="X155" s="5"/>
      <c r="Y155" s="5"/>
      <c r="Z155" s="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</row>
    <row r="156" spans="1:38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5"/>
      <c r="S156" s="5"/>
      <c r="T156" s="5"/>
      <c r="U156" s="5"/>
      <c r="V156" s="5"/>
      <c r="W156" s="5"/>
      <c r="X156" s="5"/>
      <c r="Y156" s="5"/>
      <c r="Z156" s="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</row>
    <row r="157" spans="1:38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5"/>
      <c r="S157" s="5"/>
      <c r="T157" s="5"/>
      <c r="U157" s="5"/>
      <c r="V157" s="5"/>
      <c r="W157" s="5"/>
      <c r="X157" s="5"/>
      <c r="Y157" s="5"/>
      <c r="Z157" s="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</row>
    <row r="158" spans="1:38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5"/>
      <c r="S158" s="5"/>
      <c r="T158" s="5"/>
      <c r="U158" s="5"/>
      <c r="V158" s="5"/>
      <c r="W158" s="5"/>
      <c r="X158" s="5"/>
      <c r="Y158" s="5"/>
      <c r="Z158" s="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</row>
    <row r="159" spans="1:38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5"/>
      <c r="S159" s="5"/>
      <c r="T159" s="5"/>
      <c r="U159" s="5"/>
      <c r="V159" s="5"/>
      <c r="W159" s="5"/>
      <c r="X159" s="5"/>
      <c r="Y159" s="5"/>
      <c r="Z159" s="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</row>
    <row r="160" spans="1:38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5"/>
      <c r="S160" s="5"/>
      <c r="T160" s="5"/>
      <c r="U160" s="5"/>
      <c r="V160" s="5"/>
      <c r="W160" s="5"/>
      <c r="X160" s="5"/>
      <c r="Y160" s="5"/>
      <c r="Z160" s="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</row>
    <row r="161" spans="1:38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5"/>
      <c r="S161" s="5"/>
      <c r="T161" s="5"/>
      <c r="U161" s="5"/>
      <c r="V161" s="5"/>
      <c r="W161" s="5"/>
      <c r="X161" s="5"/>
      <c r="Y161" s="5"/>
      <c r="Z161" s="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</row>
    <row r="162" spans="1:38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5"/>
      <c r="S162" s="5"/>
      <c r="T162" s="5"/>
      <c r="U162" s="5"/>
      <c r="V162" s="5"/>
      <c r="W162" s="5"/>
      <c r="X162" s="5"/>
      <c r="Y162" s="5"/>
      <c r="Z162" s="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</row>
    <row r="163" spans="1:38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5"/>
      <c r="S163" s="5"/>
      <c r="T163" s="5"/>
      <c r="U163" s="5"/>
      <c r="V163" s="5"/>
      <c r="W163" s="5"/>
      <c r="X163" s="5"/>
      <c r="Y163" s="5"/>
      <c r="Z163" s="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</row>
    <row r="164" spans="1:38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5"/>
      <c r="S164" s="5"/>
      <c r="T164" s="5"/>
      <c r="U164" s="5"/>
      <c r="V164" s="5"/>
      <c r="W164" s="5"/>
      <c r="X164" s="5"/>
      <c r="Y164" s="5"/>
      <c r="Z164" s="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</row>
    <row r="165" spans="1:38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5"/>
      <c r="S165" s="5"/>
      <c r="T165" s="5"/>
      <c r="U165" s="5"/>
      <c r="V165" s="5"/>
      <c r="W165" s="5"/>
      <c r="X165" s="5"/>
      <c r="Y165" s="5"/>
      <c r="Z165" s="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</row>
    <row r="166" spans="1:38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5"/>
      <c r="S166" s="5"/>
      <c r="T166" s="5"/>
      <c r="U166" s="5"/>
      <c r="V166" s="5"/>
      <c r="W166" s="5"/>
      <c r="X166" s="5"/>
      <c r="Y166" s="5"/>
      <c r="Z166" s="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</row>
    <row r="167" spans="1:38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5"/>
      <c r="S167" s="5"/>
      <c r="T167" s="5"/>
      <c r="U167" s="5"/>
      <c r="V167" s="5"/>
      <c r="W167" s="5"/>
      <c r="X167" s="5"/>
      <c r="Y167" s="5"/>
      <c r="Z167" s="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</row>
    <row r="168" spans="1:38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5"/>
      <c r="S168" s="5"/>
      <c r="T168" s="5"/>
      <c r="U168" s="5"/>
      <c r="V168" s="5"/>
      <c r="W168" s="5"/>
      <c r="X168" s="5"/>
      <c r="Y168" s="5"/>
      <c r="Z168" s="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</row>
    <row r="169" spans="1:38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5"/>
      <c r="S169" s="5"/>
      <c r="T169" s="5"/>
      <c r="U169" s="5"/>
      <c r="V169" s="5"/>
      <c r="W169" s="5"/>
      <c r="X169" s="5"/>
      <c r="Y169" s="5"/>
      <c r="Z169" s="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</row>
    <row r="170" spans="1:38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5"/>
      <c r="S170" s="5"/>
      <c r="T170" s="5"/>
      <c r="U170" s="5"/>
      <c r="V170" s="5"/>
      <c r="W170" s="5"/>
      <c r="X170" s="5"/>
      <c r="Y170" s="5"/>
      <c r="Z170" s="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</row>
    <row r="171" spans="1:38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5"/>
      <c r="S171" s="5"/>
      <c r="T171" s="5"/>
      <c r="U171" s="5"/>
      <c r="V171" s="5"/>
      <c r="W171" s="5"/>
      <c r="X171" s="5"/>
      <c r="Y171" s="5"/>
      <c r="Z171" s="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</row>
    <row r="172" spans="1:38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5"/>
      <c r="S172" s="5"/>
      <c r="T172" s="5"/>
      <c r="U172" s="5"/>
      <c r="V172" s="5"/>
      <c r="W172" s="5"/>
      <c r="X172" s="5"/>
      <c r="Y172" s="5"/>
      <c r="Z172" s="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</row>
    <row r="173" spans="1:38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5"/>
      <c r="S173" s="5"/>
      <c r="T173" s="5"/>
      <c r="U173" s="5"/>
      <c r="V173" s="5"/>
      <c r="W173" s="5"/>
      <c r="X173" s="5"/>
      <c r="Y173" s="5"/>
      <c r="Z173" s="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</row>
    <row r="174" spans="1:38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5"/>
      <c r="S174" s="5"/>
      <c r="T174" s="5"/>
      <c r="U174" s="5"/>
      <c r="V174" s="5"/>
      <c r="W174" s="5"/>
      <c r="X174" s="5"/>
      <c r="Y174" s="5"/>
      <c r="Z174" s="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</row>
    <row r="175" spans="1:38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5"/>
      <c r="S175" s="5"/>
      <c r="T175" s="5"/>
      <c r="U175" s="5"/>
      <c r="V175" s="5"/>
      <c r="W175" s="5"/>
      <c r="X175" s="5"/>
      <c r="Y175" s="5"/>
      <c r="Z175" s="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</row>
    <row r="176" spans="1:38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5"/>
      <c r="S176" s="5"/>
      <c r="T176" s="5"/>
      <c r="U176" s="5"/>
      <c r="V176" s="5"/>
      <c r="W176" s="5"/>
      <c r="X176" s="5"/>
      <c r="Y176" s="5"/>
      <c r="Z176" s="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</row>
    <row r="177" spans="1:38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5"/>
      <c r="S177" s="5"/>
      <c r="T177" s="5"/>
      <c r="U177" s="5"/>
      <c r="V177" s="5"/>
      <c r="W177" s="5"/>
      <c r="X177" s="5"/>
      <c r="Y177" s="5"/>
      <c r="Z177" s="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</row>
    <row r="178" spans="1:38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5"/>
      <c r="S178" s="5"/>
      <c r="T178" s="5"/>
      <c r="U178" s="5"/>
      <c r="V178" s="5"/>
      <c r="W178" s="5"/>
      <c r="X178" s="5"/>
      <c r="Y178" s="5"/>
      <c r="Z178" s="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</row>
    <row r="179" spans="1:38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5"/>
      <c r="S179" s="5"/>
      <c r="T179" s="5"/>
      <c r="U179" s="5"/>
      <c r="V179" s="5"/>
      <c r="W179" s="5"/>
      <c r="X179" s="5"/>
      <c r="Y179" s="5"/>
      <c r="Z179" s="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</row>
    <row r="180" spans="1:38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5"/>
      <c r="S180" s="5"/>
      <c r="T180" s="5"/>
      <c r="U180" s="5"/>
      <c r="V180" s="5"/>
      <c r="W180" s="5"/>
      <c r="X180" s="5"/>
      <c r="Y180" s="5"/>
      <c r="Z180" s="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</row>
    <row r="181" spans="1:38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5"/>
      <c r="S181" s="5"/>
      <c r="T181" s="5"/>
      <c r="U181" s="5"/>
      <c r="V181" s="5"/>
      <c r="W181" s="5"/>
      <c r="X181" s="5"/>
      <c r="Y181" s="5"/>
      <c r="Z181" s="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</row>
    <row r="182" spans="1:38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5"/>
      <c r="S182" s="5"/>
      <c r="T182" s="5"/>
      <c r="U182" s="5"/>
      <c r="V182" s="5"/>
      <c r="W182" s="5"/>
      <c r="X182" s="5"/>
      <c r="Y182" s="5"/>
      <c r="Z182" s="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</row>
    <row r="183" spans="1:38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38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38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38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38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38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38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38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38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38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2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2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2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2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2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2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2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2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2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2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2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2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2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</sheetData>
  <mergeCells count="19">
    <mergeCell ref="D54:H54"/>
    <mergeCell ref="B56:B60"/>
    <mergeCell ref="L54:P54"/>
    <mergeCell ref="D62:H62"/>
    <mergeCell ref="B64:B68"/>
    <mergeCell ref="L62:P62"/>
    <mergeCell ref="J64:J68"/>
    <mergeCell ref="AA59:AD59"/>
    <mergeCell ref="W64:AG64"/>
    <mergeCell ref="J56:J60"/>
    <mergeCell ref="W79:AG79"/>
    <mergeCell ref="W94:AG94"/>
    <mergeCell ref="U6:V6"/>
    <mergeCell ref="U14:AI14"/>
    <mergeCell ref="AC18:AE18"/>
    <mergeCell ref="AG18:AI18"/>
    <mergeCell ref="AC38:AE38"/>
    <mergeCell ref="AG40:AI40"/>
    <mergeCell ref="U57:AJ57"/>
  </mergeCells>
  <conditionalFormatting sqref="D56:H60">
    <cfRule type="colorScale" priority="17">
      <colorScale>
        <cfvo type="min"/>
        <cfvo type="max"/>
        <color rgb="FFF8696B"/>
        <color rgb="FFFCFCFF"/>
      </colorScale>
    </cfRule>
    <cfRule type="colorScale" priority="18">
      <colorScale>
        <cfvo type="min"/>
        <cfvo type="max"/>
        <color rgb="FF0070C0"/>
        <color theme="0"/>
      </colorScale>
    </cfRule>
    <cfRule type="colorScale" priority="19">
      <colorScale>
        <cfvo type="min"/>
        <cfvo type="max"/>
        <color rgb="FF0C2D49"/>
        <color theme="0"/>
      </colorScale>
    </cfRule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64:H68">
    <cfRule type="colorScale" priority="9">
      <colorScale>
        <cfvo type="min"/>
        <cfvo type="max"/>
        <color rgb="FFF8696B"/>
        <color rgb="FFFCFCFF"/>
      </colorScale>
    </cfRule>
    <cfRule type="colorScale" priority="10">
      <colorScale>
        <cfvo type="min"/>
        <cfvo type="max"/>
        <color rgb="FF0070C0"/>
        <color theme="0"/>
      </colorScale>
    </cfRule>
    <cfRule type="colorScale" priority="11">
      <colorScale>
        <cfvo type="min"/>
        <cfvo type="max"/>
        <color rgb="FF0C2D49"/>
        <color theme="0"/>
      </colorScale>
    </cfRule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6:P60">
    <cfRule type="colorScale" priority="13">
      <colorScale>
        <cfvo type="min"/>
        <cfvo type="max"/>
        <color rgb="FFF8696B"/>
        <color rgb="FFFCFCFF"/>
      </colorScale>
    </cfRule>
    <cfRule type="colorScale" priority="14">
      <colorScale>
        <cfvo type="min"/>
        <cfvo type="max"/>
        <color rgb="FF0070C0"/>
        <color theme="0"/>
      </colorScale>
    </cfRule>
    <cfRule type="colorScale" priority="15">
      <colorScale>
        <cfvo type="min"/>
        <cfvo type="max"/>
        <color rgb="FF0C2D49"/>
        <color theme="0"/>
      </colorScale>
    </cfRule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4:P68">
    <cfRule type="colorScale" priority="1">
      <colorScale>
        <cfvo type="min"/>
        <cfvo type="max"/>
        <color rgb="FFF8696B"/>
        <color rgb="FFFCFCFF"/>
      </colorScale>
    </cfRule>
    <cfRule type="colorScale" priority="2">
      <colorScale>
        <cfvo type="min"/>
        <cfvo type="max"/>
        <color rgb="FF0070C0"/>
        <color theme="0"/>
      </colorScale>
    </cfRule>
    <cfRule type="colorScale" priority="3">
      <colorScale>
        <cfvo type="min"/>
        <cfvo type="max"/>
        <color rgb="FF0C2D49"/>
        <color theme="0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67:AG77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zoomScale="76" workbookViewId="0">
      <selection activeCell="S15" sqref="S15"/>
    </sheetView>
  </sheetViews>
  <sheetFormatPr defaultColWidth="14.42578125" defaultRowHeight="15" customHeight="1"/>
  <cols>
    <col min="1" max="1" width="8.5703125" customWidth="1"/>
    <col min="2" max="2" width="21.42578125" customWidth="1"/>
    <col min="3" max="3" width="8" customWidth="1"/>
    <col min="4" max="4" width="8.5703125" customWidth="1"/>
    <col min="5" max="5" width="20.140625" customWidth="1"/>
    <col min="6" max="6" width="8.140625" customWidth="1"/>
    <col min="7" max="7" width="7.85546875" customWidth="1"/>
    <col min="8" max="8" width="12.42578125" customWidth="1"/>
    <col min="9" max="9" width="10.85546875" customWidth="1"/>
    <col min="10" max="26" width="8.5703125" customWidth="1"/>
  </cols>
  <sheetData>
    <row r="1" spans="2:26" ht="12.75" customHeight="1"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2:26" ht="24" customHeight="1"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2:26" ht="12.75" customHeight="1">
      <c r="B3" s="61" t="s">
        <v>138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2:26" ht="12.75" customHeight="1">
      <c r="B4" s="57" t="s">
        <v>10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2"/>
      <c r="N4" s="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2:26" ht="12.75" customHeight="1"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4"/>
      <c r="Z5" s="4"/>
    </row>
    <row r="6" spans="2:26" ht="12.75" customHeight="1">
      <c r="B6" s="58" t="s">
        <v>11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4"/>
      <c r="Z6" s="4"/>
    </row>
    <row r="7" spans="2:26" ht="12.75" customHeight="1"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4"/>
      <c r="Z7" s="4"/>
    </row>
    <row r="8" spans="2:26" ht="12.75" customHeight="1">
      <c r="B8" s="192" t="s">
        <v>138</v>
      </c>
      <c r="C8" s="193"/>
      <c r="D8" s="193"/>
      <c r="K8" s="213" t="s">
        <v>139</v>
      </c>
      <c r="L8" s="193"/>
      <c r="M8" s="193"/>
      <c r="N8" s="193"/>
      <c r="O8" s="193"/>
      <c r="P8" s="193"/>
      <c r="Q8" s="193"/>
      <c r="R8" s="2"/>
      <c r="S8" s="2"/>
      <c r="T8" s="2"/>
      <c r="U8" s="2"/>
      <c r="V8" s="2"/>
      <c r="W8" s="2"/>
      <c r="X8" s="2"/>
      <c r="Y8" s="4"/>
      <c r="Z8" s="4"/>
    </row>
    <row r="9" spans="2:26" ht="12.75" customHeight="1">
      <c r="B9" s="142" t="s">
        <v>140</v>
      </c>
      <c r="C9" s="143"/>
      <c r="D9" s="143"/>
      <c r="K9" s="144"/>
      <c r="L9" s="144"/>
      <c r="M9" s="144"/>
      <c r="N9" s="145"/>
      <c r="O9" s="145" t="s">
        <v>141</v>
      </c>
      <c r="P9" s="145" t="s">
        <v>141</v>
      </c>
      <c r="Q9" s="144"/>
      <c r="R9" s="2"/>
      <c r="S9" s="2"/>
      <c r="T9" s="2"/>
      <c r="U9" s="2"/>
      <c r="V9" s="2"/>
      <c r="W9" s="2"/>
      <c r="X9" s="2"/>
      <c r="Y9" s="4"/>
      <c r="Z9" s="4"/>
    </row>
    <row r="10" spans="2:26" ht="12.75" customHeight="1">
      <c r="B10" s="144" t="s">
        <v>142</v>
      </c>
      <c r="C10" s="144"/>
      <c r="D10" s="146">
        <f>(BS!I40+BS!I47)/(BS!I40+BS!I47+Comps!F11)</f>
        <v>9.8153750991202549E-2</v>
      </c>
      <c r="K10" s="144"/>
      <c r="L10" s="144"/>
      <c r="M10" s="144"/>
      <c r="N10" s="145" t="s">
        <v>143</v>
      </c>
      <c r="O10" s="145" t="s">
        <v>144</v>
      </c>
      <c r="P10" s="145" t="s">
        <v>145</v>
      </c>
      <c r="Q10" s="145" t="s">
        <v>146</v>
      </c>
      <c r="R10" s="2"/>
      <c r="S10" s="2"/>
      <c r="T10" s="2"/>
      <c r="U10" s="2"/>
      <c r="V10" s="2"/>
      <c r="W10" s="2"/>
      <c r="X10" s="2"/>
      <c r="Y10" s="4"/>
      <c r="Z10" s="4"/>
    </row>
    <row r="11" spans="2:26" ht="12.75" customHeight="1">
      <c r="B11" s="147" t="s">
        <v>147</v>
      </c>
      <c r="C11" s="143"/>
      <c r="D11" s="146">
        <f>1-D10</f>
        <v>0.90184624900879751</v>
      </c>
      <c r="K11" s="144"/>
      <c r="L11" s="144"/>
      <c r="M11" s="144"/>
      <c r="N11" s="148" t="s">
        <v>148</v>
      </c>
      <c r="O11" s="148" t="s">
        <v>149</v>
      </c>
      <c r="P11" s="148" t="s">
        <v>150</v>
      </c>
      <c r="Q11" s="148" t="s">
        <v>148</v>
      </c>
      <c r="R11" s="2"/>
      <c r="S11" s="2"/>
      <c r="T11" s="2"/>
      <c r="U11" s="2"/>
      <c r="V11" s="2"/>
      <c r="W11" s="2"/>
      <c r="X11" s="2"/>
      <c r="Y11" s="4"/>
      <c r="Z11" s="4"/>
    </row>
    <row r="12" spans="2:26" ht="12.75" customHeight="1">
      <c r="K12" s="149" t="s">
        <v>151</v>
      </c>
      <c r="L12" s="144"/>
      <c r="M12" s="144"/>
      <c r="N12" s="150">
        <f>Comps!R29</f>
        <v>0.75579482839779322</v>
      </c>
      <c r="O12" s="151">
        <f>(BS!I40+BS!I47)/Comps!F11</f>
        <v>0.10883645754371271</v>
      </c>
      <c r="P12" s="152">
        <f>D15</f>
        <v>0.28000000000000003</v>
      </c>
      <c r="Q12" s="153">
        <f>N12*(1+(1-P12)*(O12))</f>
        <v>0.81502061125971847</v>
      </c>
      <c r="R12" s="2"/>
      <c r="S12" s="2"/>
      <c r="T12" s="2"/>
      <c r="U12" s="2"/>
      <c r="V12" s="2"/>
      <c r="W12" s="2"/>
      <c r="X12" s="2"/>
      <c r="Y12" s="4"/>
      <c r="Z12" s="4"/>
    </row>
    <row r="13" spans="2:26" ht="12.75" customHeight="1">
      <c r="B13" s="142" t="s">
        <v>152</v>
      </c>
      <c r="C13" s="144"/>
      <c r="D13" s="154"/>
      <c r="K13" s="149"/>
      <c r="L13" s="144"/>
      <c r="M13" s="144"/>
      <c r="N13" s="155"/>
      <c r="O13" s="156"/>
      <c r="P13" s="156"/>
      <c r="Q13" s="157"/>
      <c r="R13" s="2"/>
      <c r="S13" s="2"/>
      <c r="T13" s="2"/>
      <c r="U13" s="2"/>
      <c r="V13" s="2"/>
      <c r="W13" s="2"/>
      <c r="X13" s="2"/>
      <c r="Y13" s="4"/>
      <c r="Z13" s="4"/>
    </row>
    <row r="14" spans="2:26" ht="12.75" customHeight="1">
      <c r="B14" s="144" t="s">
        <v>153</v>
      </c>
      <c r="C14" s="144"/>
      <c r="D14" s="169">
        <v>5.2999999999999999E-2</v>
      </c>
      <c r="E14" s="370" t="s">
        <v>154</v>
      </c>
      <c r="K14" s="213" t="s">
        <v>155</v>
      </c>
      <c r="L14" s="193"/>
      <c r="M14" s="193"/>
      <c r="N14" s="193"/>
      <c r="O14" s="193"/>
      <c r="P14" s="193"/>
      <c r="Q14" s="193"/>
      <c r="R14" s="2"/>
      <c r="S14" s="2"/>
      <c r="T14" s="2"/>
      <c r="U14" s="2"/>
      <c r="V14" s="2"/>
      <c r="W14" s="2"/>
      <c r="X14" s="2"/>
      <c r="Y14" s="4"/>
      <c r="Z14" s="4"/>
    </row>
    <row r="15" spans="2:26" ht="12.75" customHeight="1">
      <c r="B15" s="144" t="s">
        <v>150</v>
      </c>
      <c r="C15" s="144"/>
      <c r="D15" s="169">
        <v>0.28000000000000003</v>
      </c>
      <c r="K15" s="158"/>
      <c r="L15" s="159"/>
      <c r="M15" s="212" t="s">
        <v>156</v>
      </c>
      <c r="N15" s="212"/>
      <c r="O15" s="212"/>
      <c r="P15" s="212"/>
      <c r="Q15" s="212"/>
      <c r="R15" s="2"/>
      <c r="S15" s="2"/>
      <c r="T15" s="2"/>
      <c r="U15" s="2"/>
      <c r="V15" s="2"/>
      <c r="W15" s="2"/>
      <c r="X15" s="2"/>
      <c r="Y15" s="4"/>
      <c r="Z15" s="4"/>
    </row>
    <row r="16" spans="2:26" ht="12.75" customHeight="1">
      <c r="B16" s="149" t="s">
        <v>157</v>
      </c>
      <c r="C16" s="149"/>
      <c r="D16" s="160">
        <f>+D14*(1-D15)</f>
        <v>3.8159999999999999E-2</v>
      </c>
      <c r="K16" s="161"/>
      <c r="L16" s="162" t="s">
        <v>158</v>
      </c>
      <c r="M16" s="163">
        <f>D14-0.01</f>
        <v>4.2999999999999997E-2</v>
      </c>
      <c r="N16" s="163">
        <f>D14-0.005</f>
        <v>4.8000000000000001E-2</v>
      </c>
      <c r="O16" s="163">
        <f>$D$14</f>
        <v>5.2999999999999999E-2</v>
      </c>
      <c r="P16" s="163">
        <f>$D$14+0.005</f>
        <v>5.7999999999999996E-2</v>
      </c>
      <c r="Q16" s="163">
        <f>$D$14+0.01</f>
        <v>6.3E-2</v>
      </c>
      <c r="R16" s="2"/>
      <c r="S16" s="2"/>
      <c r="T16" s="2"/>
      <c r="U16" s="2"/>
      <c r="V16" s="2"/>
      <c r="W16" s="2"/>
      <c r="X16" s="2"/>
      <c r="Y16" s="4"/>
      <c r="Z16" s="4"/>
    </row>
    <row r="17" spans="1:26" ht="12.75" customHeight="1">
      <c r="K17" s="434" t="s">
        <v>142</v>
      </c>
      <c r="L17" s="163">
        <f>L18-0.01</f>
        <v>7.8153750991202559E-2</v>
      </c>
      <c r="M17" s="164">
        <f>($D$24*$D$11)+($L$17*((1-$D$15)*(M16)))</f>
        <v>6.7418280745303372E-2</v>
      </c>
      <c r="N17" s="165">
        <f>($D$24*$D$11)+($L$17*((1-$D$15)*(N16)))</f>
        <v>6.769963424887171E-2</v>
      </c>
      <c r="O17" s="165">
        <f>($D$24*$D$11)+($L$17*((1-$D$15)*(O16)))</f>
        <v>6.7980987752440034E-2</v>
      </c>
      <c r="P17" s="165">
        <f>($D$24*$D$11)+($L$17*((1-$D$15)*(P16)))</f>
        <v>6.8262341256008358E-2</v>
      </c>
      <c r="Q17" s="166">
        <f>($D$24*$D$11)+($L$17*((1-$D$15)*(Q16)))</f>
        <v>6.8543694759576695E-2</v>
      </c>
      <c r="R17" s="2"/>
      <c r="S17" s="2"/>
      <c r="T17" s="2"/>
      <c r="U17" s="2"/>
      <c r="V17" s="2"/>
      <c r="W17" s="2"/>
      <c r="X17" s="2"/>
      <c r="Y17" s="4"/>
      <c r="Z17" s="4"/>
    </row>
    <row r="18" spans="1:26" ht="12.75" customHeight="1">
      <c r="B18" s="142" t="s">
        <v>159</v>
      </c>
      <c r="C18" s="144"/>
      <c r="D18" s="154"/>
      <c r="K18" s="434"/>
      <c r="L18" s="163">
        <f>L19-0.01</f>
        <v>8.8153750991202554E-2</v>
      </c>
      <c r="M18" s="167">
        <f>($D$24*$D$11)+($L$18*((1-$D$15)*(M16)))</f>
        <v>6.7727880745303379E-2</v>
      </c>
      <c r="N18" s="164">
        <f>($D$24*$D$11)+($L$18*((1-$D$15)*(N16)))</f>
        <v>6.8045234248871711E-2</v>
      </c>
      <c r="O18" s="165">
        <f>($D$24*$D$11)+($L$18*((1-$D$15)*(O16)))</f>
        <v>6.8362587752440029E-2</v>
      </c>
      <c r="P18" s="166">
        <f>($D$24*$D$11)+($L$18*((1-$D$15)*(P16)))</f>
        <v>6.8679941256008362E-2</v>
      </c>
      <c r="Q18" s="168">
        <f>($D$24*$D$11)+($L$18*((1-$D$15)*(Q16)))</f>
        <v>6.8997294759576694E-2</v>
      </c>
      <c r="R18" s="2"/>
      <c r="S18" s="2"/>
      <c r="T18" s="2"/>
      <c r="U18" s="2"/>
      <c r="V18" s="2"/>
      <c r="W18" s="2"/>
      <c r="X18" s="2"/>
      <c r="Y18" s="4"/>
      <c r="Z18" s="4"/>
    </row>
    <row r="19" spans="1:26" ht="12.75" customHeight="1">
      <c r="B19" s="144" t="s">
        <v>160</v>
      </c>
      <c r="C19" s="144"/>
      <c r="D19" s="169">
        <v>1.8200000000000001E-2</v>
      </c>
      <c r="E19" s="370" t="s">
        <v>161</v>
      </c>
      <c r="K19" s="434"/>
      <c r="L19" s="163">
        <f>D10</f>
        <v>9.8153750991202549E-2</v>
      </c>
      <c r="M19" s="167">
        <f>($D$24*$D$11)+($L$19*((1-$D$15)*(M16)))</f>
        <v>6.8037480745303372E-2</v>
      </c>
      <c r="N19" s="167">
        <f>($D$24*$D$11)+($L$19*((1-$D$15)*(N16)))</f>
        <v>6.8390834248871699E-2</v>
      </c>
      <c r="O19" s="170">
        <f>($D$24*$D$11)+($L$19*((1-$D$15)*(O16)))</f>
        <v>6.8744187752440039E-2</v>
      </c>
      <c r="P19" s="168">
        <f>($D$24*$D$11)+($L$19*((1-$D$15)*(P16)))</f>
        <v>6.9097541256008366E-2</v>
      </c>
      <c r="Q19" s="168">
        <f>($D$24*$D$11)+($L$19*((1-$D$15)*(Q16)))</f>
        <v>6.9450894759576692E-2</v>
      </c>
      <c r="R19" s="2"/>
      <c r="S19" s="2"/>
      <c r="T19" s="2"/>
      <c r="U19" s="2"/>
      <c r="V19" s="2"/>
      <c r="W19" s="2"/>
      <c r="X19" s="2"/>
      <c r="Y19" s="4"/>
      <c r="Z19" s="4"/>
    </row>
    <row r="20" spans="1:26" ht="12.75" customHeight="1">
      <c r="B20" s="144" t="s">
        <v>162</v>
      </c>
      <c r="C20" s="144"/>
      <c r="D20" s="169">
        <v>5.7000000000000002E-2</v>
      </c>
      <c r="K20" s="434"/>
      <c r="L20" s="163">
        <f>L19+0.01</f>
        <v>0.10815375099120254</v>
      </c>
      <c r="M20" s="167">
        <f>($D$24*$D$11)+($L$20*((1-$D$15)*(M16)))</f>
        <v>6.8347080745303379E-2</v>
      </c>
      <c r="N20" s="171">
        <f>($D$24*$D$11)+($L$20*((1-$D$15)*(N16)))</f>
        <v>6.87364342488717E-2</v>
      </c>
      <c r="O20" s="172">
        <f>($D$24*$D$11)+($L$20*((1-$D$15)*(O16)))</f>
        <v>6.9125787752440035E-2</v>
      </c>
      <c r="P20" s="173">
        <f>($D$24*$D$11)+($L$20*((1-$D$15)*(P16)))</f>
        <v>6.9515141256008356E-2</v>
      </c>
      <c r="Q20" s="168">
        <f>($D$24*$D$11)+($L$20*((1-$D$15)*(Q16)))</f>
        <v>6.9904494759576691E-2</v>
      </c>
      <c r="R20" s="2"/>
      <c r="S20" s="2"/>
      <c r="T20" s="2"/>
      <c r="U20" s="2"/>
      <c r="V20" s="2"/>
      <c r="W20" s="2"/>
      <c r="X20" s="2"/>
      <c r="Y20" s="4"/>
      <c r="Z20" s="4"/>
    </row>
    <row r="21" spans="1:26" ht="12.75" customHeight="1">
      <c r="B21" s="144" t="s">
        <v>163</v>
      </c>
      <c r="D21" s="169">
        <v>9.1000000000000004E-3</v>
      </c>
      <c r="E21" s="370" t="s">
        <v>164</v>
      </c>
      <c r="K21" s="434"/>
      <c r="L21" s="163">
        <f>L20+0.01</f>
        <v>0.11815375099120254</v>
      </c>
      <c r="M21" s="171">
        <f>($D$24*$D$11)+($L$21*((1-$D$15)*(M16)))</f>
        <v>6.8656680745303372E-2</v>
      </c>
      <c r="N21" s="172">
        <f>($D$24*$D$11)+($L$21*((1-$D$15)*(N16)))</f>
        <v>6.9082034248871702E-2</v>
      </c>
      <c r="O21" s="172">
        <f>($D$24*$D$11)+($L$21*((1-$D$15)*(O16)))</f>
        <v>6.9507387752440031E-2</v>
      </c>
      <c r="P21" s="172">
        <f>($D$24*$D$11)+($L$21*((1-$D$15)*(P16)))</f>
        <v>6.993274125600836E-2</v>
      </c>
      <c r="Q21" s="173">
        <f>($D$24*$D$11)+($L$21*((1-$D$15)*(Q16)))</f>
        <v>7.0358094759576689E-2</v>
      </c>
      <c r="R21" s="2"/>
      <c r="S21" s="2"/>
      <c r="T21" s="2"/>
      <c r="U21" s="2"/>
      <c r="V21" s="2"/>
      <c r="W21" s="2"/>
      <c r="X21" s="2"/>
      <c r="Y21" s="4"/>
      <c r="Z21" s="4"/>
    </row>
    <row r="22" spans="1:26" ht="12.75" customHeight="1">
      <c r="B22" s="144" t="s">
        <v>165</v>
      </c>
      <c r="C22" s="144"/>
      <c r="D22" s="174">
        <f>Q12</f>
        <v>0.81502061125971847</v>
      </c>
      <c r="K22" s="159"/>
      <c r="L22" s="159"/>
      <c r="M22" s="159"/>
      <c r="N22" s="159"/>
      <c r="O22" s="159"/>
      <c r="P22" s="159"/>
      <c r="Q22" s="159"/>
      <c r="R22" s="2"/>
      <c r="S22" s="2"/>
      <c r="T22" s="2"/>
      <c r="U22" s="2"/>
      <c r="V22" s="2"/>
      <c r="W22" s="2"/>
      <c r="X22" s="2"/>
      <c r="Y22" s="4"/>
      <c r="Z22" s="4"/>
    </row>
    <row r="23" spans="1:26" ht="12.75" customHeight="1">
      <c r="B23" s="143"/>
      <c r="C23" s="143"/>
      <c r="D23" s="175"/>
      <c r="K23" s="158"/>
      <c r="L23" s="86"/>
      <c r="M23" s="82" t="s">
        <v>165</v>
      </c>
      <c r="N23" s="82"/>
      <c r="O23" s="82"/>
      <c r="P23" s="82"/>
      <c r="Q23" s="82"/>
      <c r="R23" s="2"/>
      <c r="S23" s="2"/>
      <c r="T23" s="2"/>
      <c r="U23" s="2"/>
      <c r="V23" s="2"/>
      <c r="W23" s="2"/>
      <c r="X23" s="2"/>
      <c r="Y23" s="4"/>
      <c r="Z23" s="4"/>
    </row>
    <row r="24" spans="1:26" ht="12.75" customHeight="1">
      <c r="B24" s="149" t="s">
        <v>166</v>
      </c>
      <c r="C24" s="144"/>
      <c r="D24" s="160">
        <f>D19+(D22*(D21+D20))</f>
        <v>7.2072862404267399E-2</v>
      </c>
      <c r="K24" s="161"/>
      <c r="L24" s="176">
        <f>D28</f>
        <v>0</v>
      </c>
      <c r="M24" s="177">
        <f>N24-0.25</f>
        <v>0.31502061125971847</v>
      </c>
      <c r="N24" s="177">
        <f>O24-0.25</f>
        <v>0.56502061125971847</v>
      </c>
      <c r="O24" s="178">
        <f>Q12</f>
        <v>0.81502061125971847</v>
      </c>
      <c r="P24" s="177">
        <f>O24+0.25</f>
        <v>1.0650206112597185</v>
      </c>
      <c r="Q24" s="177">
        <f>P24+0.25</f>
        <v>1.3150206112597185</v>
      </c>
      <c r="R24" s="2"/>
      <c r="S24" s="2"/>
      <c r="T24" s="2"/>
      <c r="U24" s="2"/>
      <c r="V24" s="2"/>
      <c r="W24" s="2"/>
      <c r="X24" s="2"/>
      <c r="Y24" s="4"/>
      <c r="Z24" s="4"/>
    </row>
    <row r="25" spans="1:26" ht="12.75" customHeight="1">
      <c r="B25" s="149"/>
      <c r="C25" s="144"/>
      <c r="D25" s="154"/>
      <c r="K25" s="435" t="s">
        <v>167</v>
      </c>
      <c r="L25" s="179">
        <f>L26-0.0025</f>
        <v>5.1999999999999998E-2</v>
      </c>
      <c r="M25" s="180">
        <f>($D$10*$D$16)+($D$11*($D$19+($L$25*M24)))</f>
        <v>3.4932357014286257E-2</v>
      </c>
      <c r="N25" s="181">
        <f>($D$10*$D$16)+($D$11*($D$19+($L$25*N24)))</f>
        <v>4.6656358251400624E-2</v>
      </c>
      <c r="O25" s="181">
        <f>($D$10*$D$16)+($D$11*($D$19+($L$25*O24)))</f>
        <v>5.8380359488514992E-2</v>
      </c>
      <c r="P25" s="181">
        <f>($D$10*$D$16)+($D$11*($D$19+($L$25*P24)))</f>
        <v>7.0104360725629367E-2</v>
      </c>
      <c r="Q25" s="181">
        <f>($D$10*$D$16)+($D$11*($D$19+($L$25*Q24)))</f>
        <v>8.1828361962743734E-2</v>
      </c>
      <c r="R25" s="2"/>
      <c r="S25" s="2"/>
      <c r="T25" s="2"/>
      <c r="U25" s="2"/>
      <c r="V25" s="2"/>
      <c r="W25" s="2"/>
      <c r="X25" s="2"/>
      <c r="Y25" s="4"/>
      <c r="Z25" s="4"/>
    </row>
    <row r="26" spans="1:26" ht="12.75" customHeight="1">
      <c r="B26" s="142"/>
      <c r="C26" s="144"/>
      <c r="D26" s="154"/>
      <c r="K26" s="435"/>
      <c r="L26" s="179">
        <f>L27-0.0025</f>
        <v>5.45E-2</v>
      </c>
      <c r="M26" s="182">
        <f>($D$10*$D$16)+($D$11*($D$19+($L$26*M24)))</f>
        <v>3.5642607405848847E-2</v>
      </c>
      <c r="N26" s="180">
        <f>($D$10*$D$16)+($D$11*($D$19+($L$26*N24)))</f>
        <v>4.7930262548593713E-2</v>
      </c>
      <c r="O26" s="181">
        <f>($D$10*$D$16)+($D$11*($D$19+($L$26*O24)))</f>
        <v>6.0217917691338579E-2</v>
      </c>
      <c r="P26" s="183">
        <f>($D$10*$D$16)+($D$11*($D$19+($L$26*P24)))</f>
        <v>7.2505572834083445E-2</v>
      </c>
      <c r="Q26" s="184">
        <f>($D$10*$D$16)+($D$11*($D$19+($L$26*Q24)))</f>
        <v>8.4793227976828325E-2</v>
      </c>
      <c r="R26" s="2"/>
      <c r="S26" s="2"/>
      <c r="T26" s="2"/>
      <c r="U26" s="2"/>
      <c r="V26" s="2"/>
      <c r="W26" s="2"/>
      <c r="X26" s="2"/>
      <c r="Y26" s="4"/>
      <c r="Z26" s="4"/>
    </row>
    <row r="27" spans="1:26" ht="12.75" customHeight="1">
      <c r="B27" s="149" t="s">
        <v>168</v>
      </c>
      <c r="C27" s="144"/>
      <c r="D27" s="160">
        <f>(D10*D16)+(D11*D24)</f>
        <v>6.8744187752440039E-2</v>
      </c>
      <c r="K27" s="435"/>
      <c r="L27" s="185">
        <f>D20</f>
        <v>5.7000000000000002E-2</v>
      </c>
      <c r="M27" s="182">
        <f>($D$10*$D$16)+($D$11*($D$19+($L$27*M24)))</f>
        <v>3.6352857797411445E-2</v>
      </c>
      <c r="N27" s="182">
        <f>($D$10*$D$16)+($D$11*($D$19+($L$27*N24)))</f>
        <v>4.9204166845786802E-2</v>
      </c>
      <c r="O27" s="186">
        <f>($D$10*$D$16)+($D$11*($D$19+($L$27*O24)))</f>
        <v>6.2055475894162167E-2</v>
      </c>
      <c r="P27" s="187">
        <f>($D$10*$D$16)+($D$11*($D$19+($L$27*P24)))</f>
        <v>7.4906784942537538E-2</v>
      </c>
      <c r="Q27" s="184">
        <f>($D$10*$D$16)+($D$11*($D$19+($L$27*Q24)))</f>
        <v>8.7758093990912917E-2</v>
      </c>
      <c r="R27" s="2"/>
      <c r="S27" s="2"/>
      <c r="T27" s="2"/>
      <c r="U27" s="2"/>
      <c r="V27" s="2"/>
      <c r="W27" s="2"/>
      <c r="X27" s="2"/>
      <c r="Y27" s="4"/>
      <c r="Z27" s="4"/>
    </row>
    <row r="28" spans="1:26" ht="12.75" customHeight="1">
      <c r="B28" s="188"/>
      <c r="C28" s="188"/>
      <c r="D28" s="188"/>
      <c r="K28" s="435"/>
      <c r="L28" s="179">
        <f>L27+0.0025</f>
        <v>5.9500000000000004E-2</v>
      </c>
      <c r="M28" s="182">
        <f>($D$10*$D$16)+($D$11*($D$19+($L$28*M24)))</f>
        <v>3.7063108188974028E-2</v>
      </c>
      <c r="N28" s="189">
        <f>($D$10*$D$16)+($D$11*($D$19+($L$28*N24)))</f>
        <v>5.0478071142979891E-2</v>
      </c>
      <c r="O28" s="190">
        <f>($D$10*$D$16)+($D$11*($D$19+($L$28*O24)))</f>
        <v>6.3893034096985754E-2</v>
      </c>
      <c r="P28" s="191">
        <f>($D$10*$D$16)+($D$11*($D$19+($L$28*P24)))</f>
        <v>7.7307997050991617E-2</v>
      </c>
      <c r="Q28" s="184">
        <f>($D$10*$D$16)+($D$11*($D$19+($L$28*Q24)))</f>
        <v>9.072296000499748E-2</v>
      </c>
      <c r="R28" s="2"/>
      <c r="S28" s="2"/>
      <c r="T28" s="2"/>
      <c r="U28" s="2"/>
      <c r="V28" s="2"/>
      <c r="W28" s="2"/>
      <c r="X28" s="2"/>
      <c r="Y28" s="4"/>
      <c r="Z28" s="4"/>
    </row>
    <row r="29" spans="1:26" ht="12.75" customHeight="1">
      <c r="K29" s="435"/>
      <c r="L29" s="179">
        <f>L28+0.0025</f>
        <v>6.2000000000000006E-2</v>
      </c>
      <c r="M29" s="182">
        <f>($D$10*$D$16)+($D$11*($D$19+($L$29*M24)))</f>
        <v>3.7773358580536612E-2</v>
      </c>
      <c r="N29" s="184">
        <f>($D$10*$D$16)+($D$11*($D$19+($L$29*N24)))</f>
        <v>5.175197544017298E-2</v>
      </c>
      <c r="O29" s="184">
        <f>($D$10*$D$16)+($D$11*($D$19+($L$29*O24)))</f>
        <v>6.5730592299809334E-2</v>
      </c>
      <c r="P29" s="184">
        <f>($D$10*$D$16)+($D$11*($D$19+($L$29*P24)))</f>
        <v>7.9709209159445724E-2</v>
      </c>
      <c r="Q29" s="184">
        <f>($D$10*$D$16)+($D$11*($D$19+($L$29*Q24)))</f>
        <v>9.3687826019082071E-2</v>
      </c>
      <c r="R29" s="2"/>
      <c r="S29" s="2"/>
      <c r="T29" s="2"/>
      <c r="U29" s="2"/>
      <c r="V29" s="2"/>
      <c r="W29" s="2"/>
      <c r="X29" s="2"/>
      <c r="Y29" s="4"/>
      <c r="Z29" s="4"/>
    </row>
    <row r="30" spans="1:26" ht="12.75" customHeight="1"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4"/>
      <c r="Z30" s="4"/>
    </row>
    <row r="31" spans="1:26" ht="12.75" customHeight="1"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2">
    <mergeCell ref="K17:K21"/>
    <mergeCell ref="K25:K29"/>
  </mergeCells>
  <conditionalFormatting sqref="M17:Q17">
    <cfRule type="colorScale" priority="19">
      <colorScale>
        <cfvo type="min"/>
        <cfvo type="max"/>
        <color rgb="FFFCFCFF"/>
        <color rgb="FFF8696B"/>
      </colorScale>
    </cfRule>
    <cfRule type="colorScale" priority="20">
      <colorScale>
        <cfvo type="min"/>
        <cfvo type="max"/>
        <color rgb="FF0070C0"/>
        <color theme="0"/>
      </colorScale>
    </cfRule>
    <cfRule type="colorScale" priority="21">
      <colorScale>
        <cfvo type="min"/>
        <cfvo type="max"/>
        <color rgb="FF0C2D49"/>
        <color theme="0"/>
      </colorScale>
    </cfRule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8:Q18">
    <cfRule type="colorScale" priority="15">
      <colorScale>
        <cfvo type="min"/>
        <cfvo type="max"/>
        <color rgb="FFFCFCFF"/>
        <color rgb="FFF8696B"/>
      </colorScale>
    </cfRule>
    <cfRule type="colorScale" priority="16">
      <colorScale>
        <cfvo type="min"/>
        <cfvo type="max"/>
        <color rgb="FF0070C0"/>
        <color theme="0"/>
      </colorScale>
    </cfRule>
    <cfRule type="colorScale" priority="17">
      <colorScale>
        <cfvo type="min"/>
        <cfvo type="max"/>
        <color rgb="FF0C2D49"/>
        <color theme="0"/>
      </colorScale>
    </cfRule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9:Q19">
    <cfRule type="colorScale" priority="23">
      <colorScale>
        <cfvo type="min"/>
        <cfvo type="max"/>
        <color rgb="FFFCFCFF"/>
        <color rgb="FFF8696B"/>
      </colorScale>
    </cfRule>
    <cfRule type="colorScale" priority="24">
      <colorScale>
        <cfvo type="min"/>
        <cfvo type="max"/>
        <color rgb="FF0070C0"/>
        <color theme="0"/>
      </colorScale>
    </cfRule>
    <cfRule type="colorScale" priority="25">
      <colorScale>
        <cfvo type="min"/>
        <cfvo type="max"/>
        <color rgb="FF0C2D49"/>
        <color theme="0"/>
      </colorScale>
    </cfRule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0:Q20">
    <cfRule type="colorScale" priority="11">
      <colorScale>
        <cfvo type="min"/>
        <cfvo type="max"/>
        <color rgb="FFFCFCFF"/>
        <color rgb="FFF8696B"/>
      </colorScale>
    </cfRule>
    <cfRule type="colorScale" priority="12">
      <colorScale>
        <cfvo type="min"/>
        <cfvo type="max"/>
        <color rgb="FF0070C0"/>
        <color theme="0"/>
      </colorScale>
    </cfRule>
    <cfRule type="colorScale" priority="13">
      <colorScale>
        <cfvo type="min"/>
        <cfvo type="max"/>
        <color rgb="FF0C2D49"/>
        <color theme="0"/>
      </colorScale>
    </cfRule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Q21">
    <cfRule type="colorScale" priority="7">
      <colorScale>
        <cfvo type="min"/>
        <cfvo type="max"/>
        <color rgb="FFFCFCFF"/>
        <color rgb="FFF8696B"/>
      </colorScale>
    </cfRule>
    <cfRule type="colorScale" priority="8">
      <colorScale>
        <cfvo type="min"/>
        <cfvo type="max"/>
        <color rgb="FF0070C0"/>
        <color theme="0"/>
      </colorScale>
    </cfRule>
    <cfRule type="colorScale" priority="9">
      <colorScale>
        <cfvo type="min"/>
        <cfvo type="max"/>
        <color rgb="FF0C2D49"/>
        <color theme="0"/>
      </colorScale>
    </cfRule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5:Q29">
    <cfRule type="colorScale" priority="1">
      <colorScale>
        <cfvo type="min"/>
        <cfvo type="max"/>
        <color rgb="FFFCFCFF"/>
        <color rgb="FF63BE7B"/>
      </colorScale>
    </cfRule>
    <cfRule type="colorScale" priority="4">
      <colorScale>
        <cfvo type="min"/>
        <cfvo type="max"/>
        <color rgb="FF0070C0"/>
        <color theme="0"/>
      </colorScale>
    </cfRule>
    <cfRule type="colorScale" priority="5">
      <colorScale>
        <cfvo type="min"/>
        <cfvo type="max"/>
        <color rgb="FF0C2D49"/>
        <color theme="0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7:Q21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40B6B-4D4E-4D2E-B770-F53F0C148A25}">
  <dimension ref="A1:X62"/>
  <sheetViews>
    <sheetView showGridLines="0" topLeftCell="A13" zoomScale="59" zoomScaleNormal="59" workbookViewId="0">
      <selection activeCell="S39" sqref="S39"/>
    </sheetView>
  </sheetViews>
  <sheetFormatPr defaultColWidth="8.85546875" defaultRowHeight="14.45"/>
  <cols>
    <col min="2" max="2" width="31.7109375" customWidth="1"/>
  </cols>
  <sheetData>
    <row r="1" spans="1:15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5" ht="26.1">
      <c r="A2" s="1"/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15" ht="15.6">
      <c r="A3" s="1"/>
      <c r="B3" s="61" t="s">
        <v>9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5" ht="15.6">
      <c r="A4" s="1"/>
      <c r="B4" s="57" t="s">
        <v>10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15" ht="15.6">
      <c r="A5" s="1"/>
    </row>
    <row r="6" spans="1:15" ht="15.6">
      <c r="A6" s="1"/>
      <c r="B6" s="58" t="s">
        <v>169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5" ht="15.6">
      <c r="A7" s="1"/>
    </row>
    <row r="8" spans="1:15" ht="15.6">
      <c r="A8" s="1"/>
      <c r="B8" s="119" t="s">
        <v>110</v>
      </c>
      <c r="C8" s="60" t="s">
        <v>170</v>
      </c>
      <c r="D8" s="60" t="s">
        <v>171</v>
      </c>
      <c r="E8" s="60" t="s">
        <v>172</v>
      </c>
      <c r="F8" s="60" t="s">
        <v>173</v>
      </c>
      <c r="G8" s="60" t="s">
        <v>174</v>
      </c>
      <c r="H8" s="72" t="s">
        <v>175</v>
      </c>
      <c r="I8" s="60" t="s">
        <v>44</v>
      </c>
      <c r="J8" s="60" t="s">
        <v>45</v>
      </c>
      <c r="K8" s="60" t="s">
        <v>46</v>
      </c>
      <c r="L8" s="60" t="s">
        <v>47</v>
      </c>
      <c r="M8" s="60" t="s">
        <v>48</v>
      </c>
      <c r="N8" s="60" t="s">
        <v>49</v>
      </c>
    </row>
    <row r="9" spans="1:15" ht="15.6">
      <c r="A9" s="1"/>
      <c r="H9" s="25"/>
    </row>
    <row r="10" spans="1:15" ht="15.6">
      <c r="A10" s="1"/>
      <c r="B10" s="62" t="s">
        <v>176</v>
      </c>
      <c r="C10" s="6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1" spans="1:15" ht="15.6">
      <c r="A11" s="1"/>
      <c r="H11" s="25"/>
    </row>
    <row r="12" spans="1:15" ht="15.6">
      <c r="A12" s="1"/>
      <c r="B12" s="507" t="s">
        <v>177</v>
      </c>
      <c r="C12" s="93">
        <f>SUM(C15,C19,C23,C27,)</f>
        <v>584.84560999999997</v>
      </c>
      <c r="D12" s="93">
        <f t="shared" ref="D12:N12" si="0">SUM(D15,D19,D23,D27,)</f>
        <v>1217.1013543999998</v>
      </c>
      <c r="E12" s="93">
        <f t="shared" si="0"/>
        <v>2086.9981740000003</v>
      </c>
      <c r="F12" s="93">
        <f t="shared" si="0"/>
        <v>3625.9009696000003</v>
      </c>
      <c r="G12" s="93">
        <f t="shared" si="0"/>
        <v>4781.6567017999996</v>
      </c>
      <c r="H12" s="94">
        <f t="shared" si="0"/>
        <v>6791.8988019999997</v>
      </c>
      <c r="I12" s="93">
        <f t="shared" si="0"/>
        <v>8638.5033285199988</v>
      </c>
      <c r="J12" s="93">
        <f t="shared" si="0"/>
        <v>10500.0369146712</v>
      </c>
      <c r="K12" s="93">
        <f t="shared" si="0"/>
        <v>12430.608372368157</v>
      </c>
      <c r="L12" s="93">
        <f t="shared" si="0"/>
        <v>14318.129250570972</v>
      </c>
      <c r="M12" s="93">
        <f t="shared" si="0"/>
        <v>16037.067925710764</v>
      </c>
      <c r="N12" s="94">
        <f t="shared" si="0"/>
        <v>17518.545942716042</v>
      </c>
    </row>
    <row r="13" spans="1:15" ht="15.6">
      <c r="A13" s="1"/>
      <c r="B13" s="95" t="s">
        <v>178</v>
      </c>
      <c r="C13" s="68"/>
      <c r="D13" s="96">
        <f>(D12-C12)/C12</f>
        <v>1.0810643588484827</v>
      </c>
      <c r="E13" s="96">
        <f t="shared" ref="E13:H13" si="1">(E12-D12)/D12</f>
        <v>0.71472833092757315</v>
      </c>
      <c r="F13" s="96">
        <f t="shared" si="1"/>
        <v>0.73737620606082988</v>
      </c>
      <c r="G13" s="96">
        <f t="shared" si="1"/>
        <v>0.31874994432831938</v>
      </c>
      <c r="H13" s="71">
        <f t="shared" si="1"/>
        <v>0.42040703161380605</v>
      </c>
      <c r="I13" s="96">
        <f t="shared" ref="I13" si="2">(I12-H12)/H12</f>
        <v>0.27188339820025476</v>
      </c>
      <c r="J13" s="96">
        <f t="shared" ref="J13" si="3">(J12-I12)/I12</f>
        <v>0.21549260506798121</v>
      </c>
      <c r="K13" s="96">
        <f t="shared" ref="K13" si="4">(K12-J12)/J12</f>
        <v>0.18386330194701139</v>
      </c>
      <c r="L13" s="96">
        <f t="shared" ref="L13" si="5">(L12-K12)/K12</f>
        <v>0.15184460982606141</v>
      </c>
      <c r="M13" s="96">
        <f t="shared" ref="M13" si="6">(M12-L12)/L12</f>
        <v>0.12005330061336368</v>
      </c>
      <c r="N13" s="71">
        <f t="shared" ref="N13" si="7">(N12-M12)/M12</f>
        <v>9.2378358928701679E-2</v>
      </c>
    </row>
    <row r="14" spans="1:15" ht="15.6">
      <c r="A14" s="1"/>
      <c r="B14" s="97"/>
      <c r="C14" s="25"/>
      <c r="D14" s="25"/>
      <c r="E14" s="25"/>
      <c r="F14" s="25"/>
      <c r="G14" s="25"/>
      <c r="H14" s="69"/>
      <c r="I14" s="25"/>
      <c r="J14" s="25"/>
      <c r="K14" s="25"/>
      <c r="L14" s="25"/>
      <c r="M14" s="25"/>
      <c r="N14" s="69"/>
    </row>
    <row r="15" spans="1:15" ht="15.6">
      <c r="A15" s="1"/>
      <c r="B15" s="508" t="s">
        <v>179</v>
      </c>
      <c r="C15" s="419">
        <f>C37*C$31</f>
        <v>466.71236999999996</v>
      </c>
      <c r="D15" s="419">
        <f t="shared" ref="D15:H15" si="8">D37*D$31</f>
        <v>902.99528399999986</v>
      </c>
      <c r="E15" s="419">
        <f t="shared" si="8"/>
        <v>1425.457793</v>
      </c>
      <c r="F15" s="419">
        <f t="shared" si="8"/>
        <v>2457.4193280000004</v>
      </c>
      <c r="G15" s="419">
        <f t="shared" si="8"/>
        <v>3398.3004894999995</v>
      </c>
      <c r="H15" s="420">
        <f t="shared" si="8"/>
        <v>4770.1950399999996</v>
      </c>
      <c r="I15" s="98">
        <f>H15*(1+I16)</f>
        <v>6105.8496511999992</v>
      </c>
      <c r="J15" s="98">
        <f t="shared" ref="J15:N15" si="9">I15*(1+J16)</f>
        <v>7449.1365744639988</v>
      </c>
      <c r="K15" s="98">
        <f t="shared" si="9"/>
        <v>8789.981157867518</v>
      </c>
      <c r="L15" s="98">
        <f t="shared" si="9"/>
        <v>10020.578519968971</v>
      </c>
      <c r="M15" s="98">
        <f t="shared" si="9"/>
        <v>11122.842157165558</v>
      </c>
      <c r="N15" s="70">
        <f t="shared" si="9"/>
        <v>12123.897951310459</v>
      </c>
    </row>
    <row r="16" spans="1:15" ht="15.6">
      <c r="A16" s="1"/>
      <c r="B16" s="95" t="s">
        <v>178</v>
      </c>
      <c r="C16" s="421"/>
      <c r="D16" s="422">
        <f>(D15-C15)/C15</f>
        <v>0.93480040822573429</v>
      </c>
      <c r="E16" s="422">
        <f t="shared" ref="E16" si="10">(E15-D15)/D15</f>
        <v>0.57858830301488073</v>
      </c>
      <c r="F16" s="422">
        <f t="shared" ref="F16" si="11">(F15-E15)/E15</f>
        <v>0.72395095811861776</v>
      </c>
      <c r="G16" s="422">
        <f t="shared" ref="G16" si="12">(G15-F15)/F15</f>
        <v>0.38287367189617827</v>
      </c>
      <c r="H16" s="423">
        <f t="shared" ref="H16" si="13">(H15-G15)/G15</f>
        <v>0.4037001891795185</v>
      </c>
      <c r="I16" s="431">
        <f>'Revenue Assumptions'!F9</f>
        <v>0.28000000000000003</v>
      </c>
      <c r="J16" s="431">
        <f>'Revenue Assumptions'!G9</f>
        <v>0.22</v>
      </c>
      <c r="K16" s="431">
        <f>'Revenue Assumptions'!H9</f>
        <v>0.18</v>
      </c>
      <c r="L16" s="431">
        <f>'Revenue Assumptions'!I9</f>
        <v>0.14000000000000001</v>
      </c>
      <c r="M16" s="431">
        <f>'Revenue Assumptions'!J9</f>
        <v>0.11</v>
      </c>
      <c r="N16" s="413">
        <f>'Revenue Assumptions'!K9</f>
        <v>0.09</v>
      </c>
      <c r="O16" s="370" t="s">
        <v>180</v>
      </c>
    </row>
    <row r="17" spans="1:15" ht="15.6">
      <c r="A17" s="1"/>
      <c r="B17" s="95" t="s">
        <v>181</v>
      </c>
      <c r="C17" s="422">
        <f>C15/C$12</f>
        <v>0.79800952938673853</v>
      </c>
      <c r="D17" s="422">
        <f t="shared" ref="D17:N17" si="14">D15/D$12</f>
        <v>0.74192283225677103</v>
      </c>
      <c r="E17" s="422">
        <f t="shared" si="14"/>
        <v>0.68301822721192273</v>
      </c>
      <c r="F17" s="422">
        <f t="shared" si="14"/>
        <v>0.6777403322934924</v>
      </c>
      <c r="G17" s="422">
        <f t="shared" si="14"/>
        <v>0.71069520491104021</v>
      </c>
      <c r="H17" s="423">
        <f t="shared" si="14"/>
        <v>0.70233600044148592</v>
      </c>
      <c r="I17" s="96">
        <f t="shared" si="14"/>
        <v>0.70681800064156375</v>
      </c>
      <c r="J17" s="96">
        <f t="shared" si="14"/>
        <v>0.70943908435747272</v>
      </c>
      <c r="K17" s="96">
        <f t="shared" si="14"/>
        <v>0.7071239712938473</v>
      </c>
      <c r="L17" s="96">
        <f t="shared" si="14"/>
        <v>0.69985249780933323</v>
      </c>
      <c r="M17" s="96">
        <f t="shared" si="14"/>
        <v>0.69357080787400816</v>
      </c>
      <c r="N17" s="71">
        <f t="shared" si="14"/>
        <v>0.69206074470760515</v>
      </c>
    </row>
    <row r="18" spans="1:15" ht="15.6">
      <c r="A18" s="1"/>
      <c r="B18" s="95"/>
      <c r="C18" s="371"/>
      <c r="D18" s="371"/>
      <c r="E18" s="371"/>
      <c r="F18" s="371"/>
      <c r="G18" s="371"/>
      <c r="H18" s="424"/>
      <c r="I18" s="25"/>
      <c r="J18" s="25"/>
      <c r="K18" s="25"/>
      <c r="L18" s="25"/>
      <c r="M18" s="25"/>
      <c r="N18" s="69"/>
    </row>
    <row r="19" spans="1:15" ht="15.6">
      <c r="A19" s="1"/>
      <c r="B19" s="508" t="s">
        <v>182</v>
      </c>
      <c r="C19" s="419">
        <f>C38*C$31</f>
        <v>44.913024999999998</v>
      </c>
      <c r="D19" s="419">
        <f t="shared" ref="D19:H19" si="15">D38*D$31</f>
        <v>60.443554399999996</v>
      </c>
      <c r="E19" s="419">
        <f t="shared" si="15"/>
        <v>107.833409</v>
      </c>
      <c r="F19" s="419">
        <f t="shared" si="15"/>
        <v>180.81598080000001</v>
      </c>
      <c r="G19" s="419">
        <f t="shared" si="15"/>
        <v>233.7667831</v>
      </c>
      <c r="H19" s="420">
        <f t="shared" si="15"/>
        <v>319.57198</v>
      </c>
      <c r="I19" s="98">
        <f>H19*(1+I20)</f>
        <v>399.46497499999998</v>
      </c>
      <c r="J19" s="98">
        <f t="shared" ref="J19" si="16">I19*(1+J20)</f>
        <v>479.35796999999997</v>
      </c>
      <c r="K19" s="98">
        <f t="shared" ref="K19" si="17">J19*(1+K20)</f>
        <v>565.64240459999996</v>
      </c>
      <c r="L19" s="98">
        <f t="shared" ref="L19" si="18">K19*(1+L20)</f>
        <v>650.48876528999995</v>
      </c>
      <c r="M19" s="98">
        <f t="shared" ref="M19" si="19">L19*(1+M20)</f>
        <v>728.54741712480006</v>
      </c>
      <c r="N19" s="70">
        <f t="shared" ref="N19" si="20">M19*(1+N20)</f>
        <v>794.11668466603214</v>
      </c>
    </row>
    <row r="20" spans="1:15" ht="15.6">
      <c r="A20" s="1"/>
      <c r="B20" s="95" t="s">
        <v>178</v>
      </c>
      <c r="C20" s="421"/>
      <c r="D20" s="422">
        <f>(D19-C19)/C19</f>
        <v>0.34579121312804023</v>
      </c>
      <c r="E20" s="422">
        <f t="shared" ref="E20" si="21">(E19-D19)/D19</f>
        <v>0.78403487469294175</v>
      </c>
      <c r="F20" s="422">
        <f t="shared" ref="F20" si="22">(F19-E19)/E19</f>
        <v>0.67680853713898625</v>
      </c>
      <c r="G20" s="422">
        <f t="shared" ref="G20" si="23">(G19-F19)/F19</f>
        <v>0.29284359748361349</v>
      </c>
      <c r="H20" s="423">
        <f t="shared" ref="H20" si="24">(H19-G19)/G19</f>
        <v>0.36705470196462653</v>
      </c>
      <c r="I20" s="412">
        <f>'Revenue Assumptions'!F14</f>
        <v>0.25</v>
      </c>
      <c r="J20" s="412">
        <f>'Revenue Assumptions'!G14</f>
        <v>0.2</v>
      </c>
      <c r="K20" s="412">
        <f>'Revenue Assumptions'!H14</f>
        <v>0.18</v>
      </c>
      <c r="L20" s="412">
        <f>'Revenue Assumptions'!I14</f>
        <v>0.15</v>
      </c>
      <c r="M20" s="412">
        <f>'Revenue Assumptions'!J14</f>
        <v>0.12</v>
      </c>
      <c r="N20" s="413">
        <f>'Revenue Assumptions'!K14</f>
        <v>0.09</v>
      </c>
      <c r="O20" s="370" t="s">
        <v>183</v>
      </c>
    </row>
    <row r="21" spans="1:15" ht="15.6">
      <c r="A21" s="1"/>
      <c r="B21" s="95" t="s">
        <v>181</v>
      </c>
      <c r="C21" s="422">
        <f>C19/C$12</f>
        <v>7.6794668938354516E-2</v>
      </c>
      <c r="D21" s="422">
        <f t="shared" ref="D21:N21" si="25">D19/D$12</f>
        <v>4.9661890672857846E-2</v>
      </c>
      <c r="E21" s="422">
        <f t="shared" si="25"/>
        <v>5.1669143913683171E-2</v>
      </c>
      <c r="F21" s="422">
        <f t="shared" si="25"/>
        <v>4.986787623710174E-2</v>
      </c>
      <c r="G21" s="422">
        <f t="shared" si="25"/>
        <v>4.888824055729496E-2</v>
      </c>
      <c r="H21" s="423">
        <f t="shared" si="25"/>
        <v>4.7051934858908108E-2</v>
      </c>
      <c r="I21" s="96">
        <f t="shared" si="25"/>
        <v>4.6242382483221059E-2</v>
      </c>
      <c r="J21" s="96">
        <f t="shared" si="25"/>
        <v>4.5652979498597375E-2</v>
      </c>
      <c r="K21" s="96">
        <f t="shared" si="25"/>
        <v>4.550400009844726E-2</v>
      </c>
      <c r="L21" s="96">
        <f t="shared" si="25"/>
        <v>4.5431128180663687E-2</v>
      </c>
      <c r="M21" s="96">
        <f t="shared" si="25"/>
        <v>4.5428966223731375E-2</v>
      </c>
      <c r="N21" s="71">
        <f t="shared" si="25"/>
        <v>4.533005691583749E-2</v>
      </c>
    </row>
    <row r="22" spans="1:15" ht="15.6">
      <c r="A22" s="1"/>
      <c r="B22" s="97"/>
      <c r="C22" s="371"/>
      <c r="D22" s="371"/>
      <c r="E22" s="371"/>
      <c r="F22" s="371"/>
      <c r="G22" s="371"/>
      <c r="H22" s="424"/>
      <c r="I22" s="25"/>
      <c r="J22" s="25"/>
      <c r="K22" s="25"/>
      <c r="L22" s="25"/>
      <c r="M22" s="25"/>
      <c r="N22" s="69"/>
    </row>
    <row r="23" spans="1:15" ht="15.6">
      <c r="A23" s="1"/>
      <c r="B23" s="508" t="s">
        <v>184</v>
      </c>
      <c r="C23" s="419">
        <f>C39*C$31</f>
        <v>27.3093</v>
      </c>
      <c r="D23" s="419">
        <f t="shared" ref="D23:H23" si="26">D39*D$31</f>
        <v>54.089672</v>
      </c>
      <c r="E23" s="419">
        <f t="shared" si="26"/>
        <v>71.832837999999995</v>
      </c>
      <c r="F23" s="419">
        <f t="shared" si="26"/>
        <v>81.192675200000011</v>
      </c>
      <c r="G23" s="419">
        <f t="shared" si="26"/>
        <v>75.317567499999996</v>
      </c>
      <c r="H23" s="420">
        <f t="shared" si="26"/>
        <v>104.52130000000001</v>
      </c>
      <c r="I23" s="98">
        <f>H23*(1+I24)</f>
        <v>120.199495</v>
      </c>
      <c r="J23" s="98">
        <f t="shared" ref="J23" si="27">I23*(1+J24)</f>
        <v>135.82542934999998</v>
      </c>
      <c r="K23" s="98">
        <f t="shared" ref="K23" si="28">J23*(1+K24)</f>
        <v>152.12448087199999</v>
      </c>
      <c r="L23" s="98">
        <f t="shared" ref="L23" si="29">K23*(1+L24)</f>
        <v>168.85817376791999</v>
      </c>
      <c r="M23" s="98">
        <f t="shared" ref="M23" si="30">L23*(1+M24)</f>
        <v>185.743991144712</v>
      </c>
      <c r="N23" s="70">
        <f t="shared" ref="N23" si="31">M23*(1+N24)</f>
        <v>200.60351043628899</v>
      </c>
    </row>
    <row r="24" spans="1:15" ht="15.6">
      <c r="A24" s="1"/>
      <c r="B24" s="95" t="s">
        <v>178</v>
      </c>
      <c r="C24" s="421"/>
      <c r="D24" s="422">
        <f>(D23-C23)/C23</f>
        <v>0.98063194589388958</v>
      </c>
      <c r="E24" s="422">
        <f t="shared" ref="E24" si="32">(E23-D23)/D23</f>
        <v>0.32803241994146304</v>
      </c>
      <c r="F24" s="422">
        <f t="shared" ref="F24" si="33">(F23-E23)/E23</f>
        <v>0.13030025626998082</v>
      </c>
      <c r="G24" s="422">
        <f t="shared" ref="G24" si="34">(G23-F23)/F23</f>
        <v>-7.2360070480840796E-2</v>
      </c>
      <c r="H24" s="423">
        <f t="shared" ref="H24" si="35">(H23-G23)/G23</f>
        <v>0.38774131280859564</v>
      </c>
      <c r="I24" s="412">
        <f>'Revenue Assumptions'!F19</f>
        <v>0.15</v>
      </c>
      <c r="J24" s="412">
        <f>'Revenue Assumptions'!G19</f>
        <v>0.13</v>
      </c>
      <c r="K24" s="412">
        <f>'Revenue Assumptions'!H19</f>
        <v>0.12</v>
      </c>
      <c r="L24" s="412">
        <f>'Revenue Assumptions'!I19</f>
        <v>0.11</v>
      </c>
      <c r="M24" s="412">
        <f>'Revenue Assumptions'!J19</f>
        <v>0.1</v>
      </c>
      <c r="N24" s="413">
        <f>'Revenue Assumptions'!K19</f>
        <v>0.08</v>
      </c>
      <c r="O24" s="370" t="s">
        <v>185</v>
      </c>
    </row>
    <row r="25" spans="1:15" ht="15.6">
      <c r="A25" s="1"/>
      <c r="B25" s="95" t="s">
        <v>181</v>
      </c>
      <c r="C25" s="422">
        <f>C23/C$12</f>
        <v>4.6694887561864407E-2</v>
      </c>
      <c r="D25" s="422">
        <f t="shared" ref="D25:N25" si="36">D23/D$12</f>
        <v>4.4441386746023992E-2</v>
      </c>
      <c r="E25" s="422">
        <f t="shared" si="36"/>
        <v>3.4419214590074666E-2</v>
      </c>
      <c r="F25" s="422">
        <f t="shared" si="36"/>
        <v>2.2392413880227117E-2</v>
      </c>
      <c r="G25" s="422">
        <f t="shared" si="36"/>
        <v>1.5751354017457499E-2</v>
      </c>
      <c r="H25" s="423">
        <f t="shared" si="36"/>
        <v>1.5389113272597905E-2</v>
      </c>
      <c r="I25" s="96">
        <f t="shared" si="36"/>
        <v>1.3914388920029891E-2</v>
      </c>
      <c r="J25" s="96">
        <f t="shared" si="36"/>
        <v>1.2935709698336165E-2</v>
      </c>
      <c r="K25" s="96">
        <f t="shared" si="36"/>
        <v>1.2237895066355368E-2</v>
      </c>
      <c r="L25" s="96">
        <f t="shared" si="36"/>
        <v>1.1793312576863793E-2</v>
      </c>
      <c r="M25" s="96">
        <f t="shared" si="36"/>
        <v>1.1582166516045345E-2</v>
      </c>
      <c r="N25" s="71">
        <f t="shared" si="36"/>
        <v>1.1450922416292034E-2</v>
      </c>
    </row>
    <row r="26" spans="1:15" ht="15.6">
      <c r="A26" s="1"/>
      <c r="B26" s="97"/>
      <c r="C26" s="371"/>
      <c r="D26" s="371"/>
      <c r="E26" s="371"/>
      <c r="F26" s="371"/>
      <c r="G26" s="371"/>
      <c r="H26" s="424"/>
      <c r="I26" s="25"/>
      <c r="J26" s="25"/>
      <c r="K26" s="25"/>
      <c r="L26" s="25"/>
      <c r="M26" s="25"/>
      <c r="N26" s="69"/>
    </row>
    <row r="27" spans="1:15" ht="15.6">
      <c r="A27" s="27"/>
      <c r="B27" s="508" t="s">
        <v>186</v>
      </c>
      <c r="C27" s="419">
        <f>C40*C$31</f>
        <v>45.910914999999996</v>
      </c>
      <c r="D27" s="419">
        <f t="shared" ref="D27:H27" si="37">D40*D$31</f>
        <v>199.572844</v>
      </c>
      <c r="E27" s="419">
        <f t="shared" si="37"/>
        <v>481.87413400000003</v>
      </c>
      <c r="F27" s="419">
        <f t="shared" si="37"/>
        <v>906.47298560000002</v>
      </c>
      <c r="G27" s="419">
        <f t="shared" si="37"/>
        <v>1074.2718617</v>
      </c>
      <c r="H27" s="420">
        <f t="shared" si="37"/>
        <v>1597.610482</v>
      </c>
      <c r="I27" s="98">
        <f>H27*(1+I28)</f>
        <v>2012.9892073200001</v>
      </c>
      <c r="J27" s="98">
        <f t="shared" ref="J27" si="38">I27*(1+J28)</f>
        <v>2435.7169408571999</v>
      </c>
      <c r="K27" s="98">
        <f t="shared" ref="K27" si="39">J27*(1+K28)</f>
        <v>2922.8603290286396</v>
      </c>
      <c r="L27" s="98">
        <f t="shared" ref="L27" si="40">K27*(1+L28)</f>
        <v>3478.203791544081</v>
      </c>
      <c r="M27" s="98">
        <f t="shared" ref="M27" si="41">L27*(1+M28)</f>
        <v>3999.9343602756931</v>
      </c>
      <c r="N27" s="70">
        <f t="shared" ref="N27" si="42">M27*(1+N28)</f>
        <v>4399.9277963032628</v>
      </c>
    </row>
    <row r="28" spans="1:15" ht="15.6">
      <c r="A28" s="27"/>
      <c r="B28" s="95" t="s">
        <v>178</v>
      </c>
      <c r="C28" s="68"/>
      <c r="D28" s="96">
        <f>(D27-C27)/C27</f>
        <v>3.3469585391622019</v>
      </c>
      <c r="E28" s="96">
        <f t="shared" ref="E28" si="43">(E27-D27)/D27</f>
        <v>1.4145275696927984</v>
      </c>
      <c r="F28" s="96">
        <f t="shared" ref="F28" si="44">(F27-E27)/E27</f>
        <v>0.88114057518596745</v>
      </c>
      <c r="G28" s="96">
        <f t="shared" ref="G28" si="45">(G27-F27)/F27</f>
        <v>0.18511183318820354</v>
      </c>
      <c r="H28" s="71">
        <f t="shared" ref="H28" si="46">(H27-G27)/G27</f>
        <v>0.48715659318473981</v>
      </c>
      <c r="I28" s="412">
        <f>'Revenue Assumptions'!F24</f>
        <v>0.26</v>
      </c>
      <c r="J28" s="412">
        <f>'Revenue Assumptions'!G24</f>
        <v>0.21</v>
      </c>
      <c r="K28" s="412">
        <f>'Revenue Assumptions'!H24</f>
        <v>0.2</v>
      </c>
      <c r="L28" s="412">
        <f>'Revenue Assumptions'!I24</f>
        <v>0.19</v>
      </c>
      <c r="M28" s="412">
        <f>'Revenue Assumptions'!J24</f>
        <v>0.15</v>
      </c>
      <c r="N28" s="413">
        <f>'Revenue Assumptions'!K24</f>
        <v>0.1</v>
      </c>
      <c r="O28" s="370" t="s">
        <v>187</v>
      </c>
    </row>
    <row r="29" spans="1:15" ht="15.6">
      <c r="A29" s="27"/>
      <c r="B29" s="95" t="s">
        <v>181</v>
      </c>
      <c r="C29" s="96">
        <f>C27/C$12</f>
        <v>7.850091411304258E-2</v>
      </c>
      <c r="D29" s="96">
        <f t="shared" ref="D29:N29" si="47">D27/D$12</f>
        <v>0.1639738903243472</v>
      </c>
      <c r="E29" s="96">
        <f t="shared" si="47"/>
        <v>0.23089341428431934</v>
      </c>
      <c r="F29" s="96">
        <f t="shared" si="47"/>
        <v>0.24999937758917881</v>
      </c>
      <c r="G29" s="96">
        <f t="shared" si="47"/>
        <v>0.2246652005142073</v>
      </c>
      <c r="H29" s="71">
        <f t="shared" si="47"/>
        <v>0.23522295142700805</v>
      </c>
      <c r="I29" s="96">
        <f>I27/I$12</f>
        <v>0.23302522795518535</v>
      </c>
      <c r="J29" s="96">
        <f t="shared" si="47"/>
        <v>0.23197222644559362</v>
      </c>
      <c r="K29" s="96">
        <f t="shared" si="47"/>
        <v>0.23513413354135015</v>
      </c>
      <c r="L29" s="96">
        <f t="shared" si="47"/>
        <v>0.2429230614331393</v>
      </c>
      <c r="M29" s="96">
        <f t="shared" si="47"/>
        <v>0.24941805938621511</v>
      </c>
      <c r="N29" s="71">
        <f t="shared" si="47"/>
        <v>0.25115827596026535</v>
      </c>
      <c r="O29" t="s">
        <v>188</v>
      </c>
    </row>
    <row r="30" spans="1:15" ht="15.6">
      <c r="A30" s="27"/>
      <c r="B30" s="97"/>
      <c r="C30" s="25"/>
      <c r="D30" s="25"/>
      <c r="E30" s="25"/>
      <c r="F30" s="25"/>
      <c r="G30" s="25"/>
      <c r="H30" s="69"/>
      <c r="I30" s="98"/>
      <c r="J30" s="98"/>
      <c r="K30" s="98"/>
      <c r="L30" s="98"/>
      <c r="M30" s="98"/>
      <c r="N30" s="70"/>
    </row>
    <row r="31" spans="1:15" ht="15.6">
      <c r="A31" s="27"/>
      <c r="B31" s="99" t="s">
        <v>189</v>
      </c>
      <c r="C31" s="102">
        <v>0.14499999999999999</v>
      </c>
      <c r="D31" s="102">
        <v>0.15279999999999999</v>
      </c>
      <c r="E31" s="102">
        <v>0.157</v>
      </c>
      <c r="F31" s="102">
        <v>0.14560000000000001</v>
      </c>
      <c r="G31" s="102">
        <v>0.13869999999999999</v>
      </c>
      <c r="H31" s="103">
        <v>0.13780000000000001</v>
      </c>
      <c r="I31" s="102">
        <v>0.14499999999999999</v>
      </c>
      <c r="J31" s="102">
        <v>0.14499999999999999</v>
      </c>
      <c r="K31" s="102">
        <v>0.14499999999999999</v>
      </c>
      <c r="L31" s="102">
        <v>0.14499999999999999</v>
      </c>
      <c r="M31" s="102">
        <v>0.14499999999999999</v>
      </c>
      <c r="N31" s="103">
        <v>0.14499999999999999</v>
      </c>
      <c r="O31" t="s">
        <v>190</v>
      </c>
    </row>
    <row r="32" spans="1:15" ht="15.6">
      <c r="A32" s="27"/>
    </row>
    <row r="33" spans="1:24" ht="15.6">
      <c r="A33" s="27"/>
    </row>
    <row r="34" spans="1:24" ht="15.6">
      <c r="A34" s="27"/>
      <c r="B34" s="62" t="s">
        <v>191</v>
      </c>
      <c r="C34" s="63"/>
      <c r="D34" s="64"/>
      <c r="E34" s="64"/>
      <c r="F34" s="64"/>
      <c r="G34" s="64"/>
      <c r="H34" s="66"/>
      <c r="I34" s="64"/>
      <c r="J34" s="64"/>
      <c r="K34" s="64"/>
      <c r="L34" s="64"/>
      <c r="M34" s="64"/>
      <c r="N34" s="64"/>
    </row>
    <row r="35" spans="1:24" ht="15.6">
      <c r="A35" s="27"/>
    </row>
    <row r="36" spans="1:24" ht="15.6">
      <c r="A36" s="2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9"/>
    </row>
    <row r="37" spans="1:24" ht="15.6">
      <c r="A37" s="27"/>
      <c r="B37" s="370" t="s">
        <v>179</v>
      </c>
      <c r="C37" s="418">
        <v>3218.7060000000001</v>
      </c>
      <c r="D37" s="418">
        <v>5909.6549999999997</v>
      </c>
      <c r="E37" s="418">
        <v>9079.3490000000002</v>
      </c>
      <c r="F37" s="418">
        <v>16877.88</v>
      </c>
      <c r="G37" s="418">
        <v>24501.084999999999</v>
      </c>
      <c r="H37" s="418">
        <v>34616.799999999996</v>
      </c>
      <c r="I37" s="17"/>
      <c r="J37" s="17"/>
      <c r="K37" s="17"/>
      <c r="L37" s="17"/>
    </row>
    <row r="38" spans="1:24" ht="15.6">
      <c r="A38" s="1"/>
      <c r="B38" s="370" t="s">
        <v>182</v>
      </c>
      <c r="C38" s="418">
        <v>309.745</v>
      </c>
      <c r="D38" s="418">
        <v>395.57299999999998</v>
      </c>
      <c r="E38" s="418">
        <v>686.83699999999999</v>
      </c>
      <c r="F38" s="418">
        <v>1241.8679999999999</v>
      </c>
      <c r="G38" s="418">
        <v>1685.413</v>
      </c>
      <c r="H38" s="418">
        <v>2319.1</v>
      </c>
      <c r="I38" s="17"/>
      <c r="J38" s="17"/>
      <c r="K38" s="17"/>
      <c r="L38" s="19"/>
      <c r="M38" s="17"/>
      <c r="N38" s="17"/>
      <c r="O38" s="17"/>
    </row>
    <row r="39" spans="1:24" ht="15.6">
      <c r="A39" s="1"/>
      <c r="B39" s="370" t="s">
        <v>184</v>
      </c>
      <c r="C39" s="418">
        <v>188.34</v>
      </c>
      <c r="D39" s="418">
        <v>353.99</v>
      </c>
      <c r="E39" s="418">
        <v>457.53399999999999</v>
      </c>
      <c r="F39" s="418">
        <v>557.64200000000005</v>
      </c>
      <c r="G39" s="418">
        <v>543.02499999999998</v>
      </c>
      <c r="H39" s="418">
        <v>758.5</v>
      </c>
      <c r="I39" s="17"/>
      <c r="J39" s="17"/>
      <c r="K39" s="17"/>
      <c r="L39" s="17"/>
      <c r="M39" s="17"/>
      <c r="N39" s="17"/>
      <c r="O39" s="17"/>
    </row>
    <row r="40" spans="1:24" ht="15.6">
      <c r="A40" s="1"/>
      <c r="B40" s="370" t="s">
        <v>186</v>
      </c>
      <c r="C40" s="418">
        <v>316.62700000000001</v>
      </c>
      <c r="D40" s="418">
        <v>1306.105</v>
      </c>
      <c r="E40" s="418">
        <v>3069.2620000000002</v>
      </c>
      <c r="F40" s="418">
        <v>6225.7759999999998</v>
      </c>
      <c r="G40" s="418">
        <v>7745.2910000000002</v>
      </c>
      <c r="H40" s="418">
        <v>11593.69</v>
      </c>
      <c r="I40" s="17"/>
      <c r="J40" s="17"/>
      <c r="K40" s="17"/>
      <c r="L40" s="19"/>
      <c r="M40" s="17"/>
      <c r="N40" s="17"/>
      <c r="O40" s="17"/>
    </row>
    <row r="41" spans="1:24" ht="15.6">
      <c r="A41" s="1"/>
      <c r="C41" s="67"/>
      <c r="D41" s="67"/>
      <c r="E41" s="67"/>
      <c r="F41" s="67"/>
      <c r="G41" s="67"/>
      <c r="H41" s="67"/>
      <c r="I41" s="17"/>
      <c r="J41" s="17"/>
      <c r="K41" s="17"/>
      <c r="L41" s="17"/>
      <c r="M41" s="17"/>
      <c r="N41" s="17"/>
      <c r="O41" s="17"/>
    </row>
    <row r="42" spans="1:24" ht="15.6">
      <c r="A42" s="1"/>
      <c r="B42" s="1"/>
      <c r="C42" s="1"/>
      <c r="D42" s="1"/>
      <c r="E42" s="1"/>
      <c r="F42" s="1"/>
      <c r="G42" s="1"/>
      <c r="H42" s="1"/>
      <c r="I42" s="1"/>
      <c r="J42" s="17"/>
      <c r="K42" s="17"/>
      <c r="L42" s="19"/>
      <c r="M42" s="17"/>
      <c r="N42" s="17"/>
      <c r="O42" s="17"/>
    </row>
    <row r="43" spans="1:24" ht="15.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24" ht="15.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5.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5.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15.6">
      <c r="A54" s="1"/>
      <c r="B54" s="1"/>
      <c r="C54" s="1"/>
      <c r="D54" s="1"/>
      <c r="E54" s="1"/>
      <c r="F54" s="1"/>
      <c r="G54" s="1"/>
      <c r="H54" s="1"/>
      <c r="I54" s="1"/>
    </row>
    <row r="55" spans="1:24" ht="15.6">
      <c r="A55" s="1"/>
      <c r="B55" s="1"/>
      <c r="C55" s="1"/>
      <c r="D55" s="1"/>
      <c r="E55" s="1"/>
      <c r="F55" s="1"/>
      <c r="G55" s="1"/>
      <c r="H55" s="1"/>
      <c r="I55" s="1"/>
    </row>
    <row r="56" spans="1:24" ht="15.6">
      <c r="A56" s="1"/>
      <c r="B56" s="1"/>
      <c r="C56" s="1"/>
      <c r="D56" s="1"/>
      <c r="E56" s="1"/>
      <c r="F56" s="1"/>
      <c r="G56" s="1"/>
      <c r="H56" s="1"/>
      <c r="I56" s="1"/>
    </row>
    <row r="57" spans="1:24" ht="15.6">
      <c r="A57" s="1"/>
      <c r="B57" s="1"/>
      <c r="C57" s="1"/>
      <c r="D57" s="1"/>
      <c r="E57" s="1"/>
      <c r="F57" s="1"/>
      <c r="G57" s="1"/>
      <c r="H57" s="1"/>
      <c r="I57" s="1"/>
    </row>
    <row r="58" spans="1:24" ht="15.6">
      <c r="A58" s="1"/>
      <c r="B58" s="1"/>
      <c r="C58" s="1"/>
      <c r="D58" s="1"/>
      <c r="E58" s="1"/>
      <c r="F58" s="1"/>
      <c r="G58" s="1"/>
      <c r="H58" s="1"/>
      <c r="I58" s="1"/>
    </row>
    <row r="59" spans="1:24" ht="15.6">
      <c r="A59" s="1"/>
      <c r="B59" s="1"/>
      <c r="C59" s="1"/>
      <c r="D59" s="1"/>
      <c r="E59" s="1"/>
      <c r="F59" s="1"/>
      <c r="G59" s="1"/>
      <c r="H59" s="1"/>
      <c r="I59" s="1"/>
    </row>
    <row r="60" spans="1:24" ht="15.6">
      <c r="A60" s="1"/>
      <c r="B60" s="1"/>
      <c r="C60" s="1"/>
      <c r="D60" s="1"/>
      <c r="E60" s="1"/>
      <c r="F60" s="1"/>
      <c r="G60" s="1"/>
      <c r="H60" s="1"/>
      <c r="I60" s="1"/>
    </row>
    <row r="61" spans="1:24" ht="15.6">
      <c r="A61" s="1"/>
      <c r="B61" s="1"/>
      <c r="C61" s="1"/>
      <c r="D61" s="1"/>
      <c r="E61" s="1"/>
      <c r="F61" s="1"/>
      <c r="G61" s="1"/>
      <c r="H61" s="1"/>
      <c r="I61" s="1"/>
    </row>
    <row r="62" spans="1:24" ht="15.6">
      <c r="A62" s="1"/>
      <c r="B62" s="1"/>
      <c r="C62" s="1"/>
      <c r="D62" s="1"/>
      <c r="E62" s="1"/>
      <c r="F62" s="1"/>
      <c r="G62" s="1"/>
      <c r="H62" s="1"/>
      <c r="I62" s="1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6A3D-C936-4606-B574-1A025084354E}">
  <dimension ref="A1:X61"/>
  <sheetViews>
    <sheetView showGridLines="0" zoomScale="70" zoomScaleNormal="59" workbookViewId="0">
      <selection activeCell="K17" sqref="K17"/>
    </sheetView>
  </sheetViews>
  <sheetFormatPr defaultColWidth="8.85546875" defaultRowHeight="14.45"/>
  <cols>
    <col min="2" max="2" width="31.7109375" customWidth="1"/>
  </cols>
  <sheetData>
    <row r="1" spans="1:17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7" ht="26.1">
      <c r="A2" s="1"/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L2" s="25"/>
      <c r="M2" s="25"/>
      <c r="N2" s="25"/>
      <c r="O2" s="25"/>
    </row>
    <row r="3" spans="1:17" ht="15.6">
      <c r="A3" s="1"/>
      <c r="B3" s="61" t="s">
        <v>192</v>
      </c>
      <c r="C3" s="56"/>
      <c r="D3" s="56"/>
      <c r="E3" s="56"/>
      <c r="F3" s="56"/>
      <c r="G3" s="56"/>
      <c r="H3" s="56"/>
      <c r="I3" s="56"/>
      <c r="J3" s="56"/>
      <c r="K3" s="56"/>
      <c r="L3" s="25"/>
      <c r="M3" s="25"/>
      <c r="N3" s="25"/>
      <c r="O3" s="25"/>
    </row>
    <row r="4" spans="1:17" ht="15.6">
      <c r="A4" s="1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5.6">
      <c r="A5" s="1"/>
      <c r="B5" s="119"/>
      <c r="C5" s="256"/>
      <c r="D5" s="256"/>
      <c r="E5" s="256"/>
      <c r="F5" s="258" t="s">
        <v>44</v>
      </c>
      <c r="G5" s="258" t="s">
        <v>45</v>
      </c>
      <c r="H5" s="258" t="s">
        <v>46</v>
      </c>
      <c r="I5" s="258" t="s">
        <v>47</v>
      </c>
      <c r="J5" s="258" t="s">
        <v>48</v>
      </c>
      <c r="K5" s="258" t="s">
        <v>49</v>
      </c>
      <c r="O5" s="25"/>
      <c r="P5" s="25"/>
      <c r="Q5" s="25"/>
    </row>
    <row r="6" spans="1:17" ht="15.6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O6" s="25"/>
      <c r="P6" s="25"/>
      <c r="Q6" s="25"/>
    </row>
    <row r="7" spans="1:17" ht="15.6">
      <c r="A7" s="1"/>
      <c r="B7" s="62" t="s">
        <v>193</v>
      </c>
      <c r="C7" s="222"/>
      <c r="D7" s="222"/>
      <c r="E7" s="222"/>
      <c r="F7" s="223"/>
      <c r="G7" s="223"/>
      <c r="H7" s="223"/>
      <c r="I7" s="223"/>
      <c r="J7" s="223"/>
      <c r="K7" s="223"/>
      <c r="O7" s="25"/>
      <c r="P7" s="25"/>
      <c r="Q7" s="25"/>
    </row>
    <row r="8" spans="1:17" ht="15.6">
      <c r="A8" s="1"/>
      <c r="B8" s="25"/>
      <c r="C8" s="25"/>
      <c r="D8" s="25"/>
      <c r="E8" s="25"/>
      <c r="F8" s="25"/>
      <c r="G8" s="25"/>
      <c r="H8" s="25"/>
      <c r="I8" s="25"/>
      <c r="J8" s="25"/>
      <c r="K8" s="25"/>
      <c r="O8" s="25"/>
      <c r="P8" s="25"/>
      <c r="Q8" s="25"/>
    </row>
    <row r="9" spans="1:17" ht="15.6">
      <c r="A9" s="1"/>
      <c r="B9" s="115" t="s">
        <v>194</v>
      </c>
      <c r="C9" s="116"/>
      <c r="D9" s="116"/>
      <c r="E9" s="116"/>
      <c r="F9" s="410">
        <f>CHOOSE(Cover!$F$9, F10,F11,F12)</f>
        <v>0.28000000000000003</v>
      </c>
      <c r="G9" s="410">
        <f>CHOOSE(Cover!$F$9, G10,G11,G12)</f>
        <v>0.22</v>
      </c>
      <c r="H9" s="410">
        <f>CHOOSE(Cover!$F$9, H10,H11,H12)</f>
        <v>0.18</v>
      </c>
      <c r="I9" s="410">
        <f>CHOOSE(Cover!$F$9, I10,I11,I12)</f>
        <v>0.14000000000000001</v>
      </c>
      <c r="J9" s="410">
        <f>CHOOSE(Cover!$F$9, J10,J11,J12)</f>
        <v>0.11</v>
      </c>
      <c r="K9" s="410">
        <f>CHOOSE(Cover!$F$9, K10,K11,K12)</f>
        <v>0.09</v>
      </c>
      <c r="O9" s="25"/>
      <c r="P9" s="25"/>
      <c r="Q9" s="25"/>
    </row>
    <row r="10" spans="1:17" ht="15.6">
      <c r="A10" s="1"/>
      <c r="B10" s="113" t="s">
        <v>195</v>
      </c>
      <c r="C10" s="104"/>
      <c r="D10" s="104"/>
      <c r="E10" s="104"/>
      <c r="F10" s="411">
        <v>0.3</v>
      </c>
      <c r="G10" s="411">
        <v>0.24</v>
      </c>
      <c r="H10" s="411">
        <v>0.2</v>
      </c>
      <c r="I10" s="411">
        <v>0.16</v>
      </c>
      <c r="J10" s="411">
        <v>0.13</v>
      </c>
      <c r="K10" s="411">
        <v>0.11</v>
      </c>
      <c r="L10" s="370" t="s">
        <v>196</v>
      </c>
      <c r="O10" s="25"/>
      <c r="P10" s="25"/>
      <c r="Q10" s="25"/>
    </row>
    <row r="11" spans="1:17" ht="15.6">
      <c r="A11" s="1"/>
      <c r="B11" s="113" t="s">
        <v>197</v>
      </c>
      <c r="C11" s="104"/>
      <c r="D11" s="104"/>
      <c r="E11" s="104"/>
      <c r="F11" s="411">
        <v>0.28000000000000003</v>
      </c>
      <c r="G11" s="411">
        <v>0.22</v>
      </c>
      <c r="H11" s="411">
        <v>0.18</v>
      </c>
      <c r="I11" s="411">
        <v>0.14000000000000001</v>
      </c>
      <c r="J11" s="411">
        <v>0.11</v>
      </c>
      <c r="K11" s="411">
        <v>0.09</v>
      </c>
      <c r="L11" s="370" t="s">
        <v>198</v>
      </c>
      <c r="O11" s="25"/>
      <c r="P11" s="25"/>
      <c r="Q11" s="25"/>
    </row>
    <row r="12" spans="1:17" ht="15.6">
      <c r="A12" s="1"/>
      <c r="B12" s="113" t="s">
        <v>199</v>
      </c>
      <c r="C12" s="104"/>
      <c r="D12" s="104"/>
      <c r="E12" s="104"/>
      <c r="F12" s="411">
        <v>0.24</v>
      </c>
      <c r="G12" s="411">
        <v>0.18</v>
      </c>
      <c r="H12" s="411">
        <v>0.15</v>
      </c>
      <c r="I12" s="411">
        <v>0.11</v>
      </c>
      <c r="J12" s="411">
        <v>0.08</v>
      </c>
      <c r="K12" s="411">
        <v>0.06</v>
      </c>
      <c r="L12" s="370" t="s">
        <v>200</v>
      </c>
      <c r="O12" s="25"/>
      <c r="P12" s="25"/>
      <c r="Q12" s="25"/>
    </row>
    <row r="13" spans="1:17" ht="15.6">
      <c r="A13" s="1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spans="1:17" ht="15.6">
      <c r="A14" s="1"/>
      <c r="B14" s="115" t="s">
        <v>201</v>
      </c>
      <c r="C14" s="116"/>
      <c r="D14" s="116"/>
      <c r="E14" s="116"/>
      <c r="F14" s="410">
        <f>CHOOSE(Cover!$F$9, F15,F16,F17)</f>
        <v>0.25</v>
      </c>
      <c r="G14" s="410">
        <f>CHOOSE(Cover!$F$9, G15,G16,G17)</f>
        <v>0.2</v>
      </c>
      <c r="H14" s="410">
        <f>CHOOSE(Cover!$F$9, H15,H16,H17)</f>
        <v>0.18</v>
      </c>
      <c r="I14" s="410">
        <f>CHOOSE(Cover!$F$9, I15,I16,I17)</f>
        <v>0.15</v>
      </c>
      <c r="J14" s="410">
        <f>CHOOSE(Cover!$F$9, J15,J16,J17)</f>
        <v>0.12</v>
      </c>
      <c r="K14" s="410">
        <f>CHOOSE(Cover!$F$9, K15,K16,K17)</f>
        <v>0.09</v>
      </c>
      <c r="L14" s="98"/>
      <c r="M14" s="98"/>
      <c r="N14" s="98"/>
      <c r="O14" s="25"/>
      <c r="P14" s="25"/>
      <c r="Q14" s="25"/>
    </row>
    <row r="15" spans="1:17" ht="15.6">
      <c r="A15" s="1"/>
      <c r="B15" s="113" t="s">
        <v>195</v>
      </c>
      <c r="C15" s="104"/>
      <c r="D15" s="104"/>
      <c r="E15" s="104"/>
      <c r="F15" s="411">
        <v>0.26</v>
      </c>
      <c r="G15" s="411">
        <v>0.21</v>
      </c>
      <c r="H15" s="411">
        <v>0.19</v>
      </c>
      <c r="I15" s="411">
        <v>0.16</v>
      </c>
      <c r="J15" s="411">
        <v>0.13</v>
      </c>
      <c r="K15" s="411">
        <v>0.1</v>
      </c>
      <c r="L15" s="404"/>
      <c r="M15" s="404"/>
      <c r="N15" s="404"/>
      <c r="O15" s="25"/>
      <c r="P15" s="25"/>
      <c r="Q15" s="25"/>
    </row>
    <row r="16" spans="1:17" ht="15.6">
      <c r="A16" s="1"/>
      <c r="B16" s="113" t="s">
        <v>197</v>
      </c>
      <c r="C16" s="104"/>
      <c r="D16" s="104"/>
      <c r="E16" s="104"/>
      <c r="F16" s="411">
        <v>0.25</v>
      </c>
      <c r="G16" s="411">
        <v>0.2</v>
      </c>
      <c r="H16" s="411">
        <v>0.18</v>
      </c>
      <c r="I16" s="411">
        <v>0.15</v>
      </c>
      <c r="J16" s="411">
        <v>0.12</v>
      </c>
      <c r="K16" s="411">
        <v>0.09</v>
      </c>
      <c r="L16" s="96"/>
      <c r="M16" s="96"/>
      <c r="N16" s="96"/>
      <c r="O16" s="25"/>
      <c r="P16" s="25"/>
      <c r="Q16" s="25"/>
    </row>
    <row r="17" spans="1:17" ht="15.6">
      <c r="A17" s="1"/>
      <c r="B17" s="113" t="s">
        <v>199</v>
      </c>
      <c r="C17" s="104"/>
      <c r="D17" s="104"/>
      <c r="E17" s="104"/>
      <c r="F17" s="411">
        <v>0.22</v>
      </c>
      <c r="G17" s="411">
        <v>0.17</v>
      </c>
      <c r="H17" s="411">
        <v>0.16</v>
      </c>
      <c r="I17" s="411">
        <v>0.13</v>
      </c>
      <c r="J17" s="411">
        <v>0.1</v>
      </c>
      <c r="K17" s="411">
        <v>0.08</v>
      </c>
      <c r="L17" s="25"/>
      <c r="M17" s="25"/>
      <c r="N17" s="25"/>
      <c r="O17" s="25"/>
      <c r="P17" s="25"/>
      <c r="Q17" s="25"/>
    </row>
    <row r="18" spans="1:17" ht="15.6">
      <c r="A18" s="1"/>
      <c r="B18" s="371"/>
      <c r="C18" s="403"/>
      <c r="D18" s="403"/>
      <c r="E18" s="403"/>
      <c r="F18" s="403"/>
      <c r="G18" s="403"/>
      <c r="H18" s="403"/>
      <c r="I18" s="98"/>
      <c r="J18" s="98"/>
      <c r="K18" s="98"/>
      <c r="L18" s="98"/>
      <c r="M18" s="98"/>
      <c r="N18" s="98"/>
      <c r="O18" s="25"/>
      <c r="P18" s="25"/>
      <c r="Q18" s="25"/>
    </row>
    <row r="19" spans="1:17" ht="15.6">
      <c r="A19" s="1"/>
      <c r="B19" s="115" t="s">
        <v>184</v>
      </c>
      <c r="C19" s="116"/>
      <c r="D19" s="116"/>
      <c r="E19" s="116"/>
      <c r="F19" s="410">
        <f>CHOOSE(Cover!$F$9, F20,F21,F22)</f>
        <v>0.15</v>
      </c>
      <c r="G19" s="410">
        <f>CHOOSE(Cover!$F$9, G20,G21,G22)</f>
        <v>0.13</v>
      </c>
      <c r="H19" s="410">
        <f>CHOOSE(Cover!$F$9, H20,H21,H22)</f>
        <v>0.12</v>
      </c>
      <c r="I19" s="410">
        <f>CHOOSE(Cover!$F$9, I20,I21,I22)</f>
        <v>0.11</v>
      </c>
      <c r="J19" s="410">
        <f>CHOOSE(Cover!$F$9, J20,J21,J22)</f>
        <v>0.1</v>
      </c>
      <c r="K19" s="410">
        <f>CHOOSE(Cover!$F$9, K20,K21,K22)</f>
        <v>0.08</v>
      </c>
      <c r="L19" s="404"/>
      <c r="M19" s="404"/>
      <c r="N19" s="404"/>
      <c r="O19" s="25"/>
      <c r="P19" s="25"/>
      <c r="Q19" s="25"/>
    </row>
    <row r="20" spans="1:17" ht="15.6">
      <c r="A20" s="1"/>
      <c r="B20" s="113" t="s">
        <v>195</v>
      </c>
      <c r="C20" s="104"/>
      <c r="D20" s="104"/>
      <c r="E20" s="104"/>
      <c r="F20" s="411">
        <v>0.17</v>
      </c>
      <c r="G20" s="411">
        <v>0.15</v>
      </c>
      <c r="H20" s="411">
        <v>0.14000000000000001</v>
      </c>
      <c r="I20" s="411">
        <v>0.13</v>
      </c>
      <c r="J20" s="411">
        <v>0.12</v>
      </c>
      <c r="K20" s="411">
        <v>0.1</v>
      </c>
      <c r="L20" s="96"/>
      <c r="M20" s="96"/>
      <c r="N20" s="96"/>
      <c r="O20" s="25"/>
      <c r="P20" s="25"/>
      <c r="Q20" s="25"/>
    </row>
    <row r="21" spans="1:17" ht="15.6">
      <c r="A21" s="1"/>
      <c r="B21" s="113" t="s">
        <v>197</v>
      </c>
      <c r="C21" s="104"/>
      <c r="D21" s="104"/>
      <c r="E21" s="104"/>
      <c r="F21" s="411">
        <v>0.15</v>
      </c>
      <c r="G21" s="411">
        <v>0.13</v>
      </c>
      <c r="H21" s="411">
        <v>0.12</v>
      </c>
      <c r="I21" s="411">
        <v>0.11</v>
      </c>
      <c r="J21" s="411">
        <v>0.1</v>
      </c>
      <c r="K21" s="411">
        <v>0.08</v>
      </c>
      <c r="L21" s="25"/>
      <c r="M21" s="25"/>
      <c r="N21" s="25"/>
      <c r="O21" s="25"/>
      <c r="P21" s="25"/>
      <c r="Q21" s="25"/>
    </row>
    <row r="22" spans="1:17" ht="15.6">
      <c r="A22" s="1"/>
      <c r="B22" s="113" t="s">
        <v>199</v>
      </c>
      <c r="C22" s="104"/>
      <c r="D22" s="104"/>
      <c r="E22" s="104"/>
      <c r="F22" s="411">
        <v>0.13</v>
      </c>
      <c r="G22" s="411">
        <v>0.11</v>
      </c>
      <c r="H22" s="411">
        <v>0.1</v>
      </c>
      <c r="I22" s="411">
        <v>0.09</v>
      </c>
      <c r="J22" s="411">
        <v>0.08</v>
      </c>
      <c r="K22" s="411">
        <v>7.0000000000000007E-2</v>
      </c>
      <c r="L22" s="98"/>
      <c r="M22" s="98"/>
      <c r="N22" s="98"/>
      <c r="O22" s="25"/>
      <c r="P22" s="25"/>
      <c r="Q22" s="25"/>
    </row>
    <row r="23" spans="1:17" ht="15.6">
      <c r="A23" s="1"/>
      <c r="B23" s="408"/>
      <c r="C23" s="402"/>
      <c r="D23" s="96"/>
      <c r="E23" s="96"/>
      <c r="F23" s="96"/>
      <c r="G23" s="96"/>
      <c r="H23" s="96"/>
      <c r="I23" s="404"/>
      <c r="J23" s="404"/>
      <c r="K23" s="404"/>
      <c r="L23" s="404"/>
      <c r="M23" s="404"/>
      <c r="N23" s="404"/>
      <c r="O23" s="25"/>
      <c r="P23" s="25"/>
      <c r="Q23" s="25"/>
    </row>
    <row r="24" spans="1:17" ht="15.6">
      <c r="A24" s="1"/>
      <c r="B24" s="115" t="s">
        <v>186</v>
      </c>
      <c r="C24" s="116"/>
      <c r="D24" s="116"/>
      <c r="E24" s="116"/>
      <c r="F24" s="410">
        <f>CHOOSE(Cover!$F$9, F25,F26,F27)</f>
        <v>0.26</v>
      </c>
      <c r="G24" s="410">
        <f>CHOOSE(Cover!$F$9, G25,G26,G27)</f>
        <v>0.21</v>
      </c>
      <c r="H24" s="410">
        <f>CHOOSE(Cover!$F$9, H25,H26,H27)</f>
        <v>0.2</v>
      </c>
      <c r="I24" s="410">
        <f>CHOOSE(Cover!$F$9, I25,I26,I27)</f>
        <v>0.19</v>
      </c>
      <c r="J24" s="410">
        <f>CHOOSE(Cover!$F$9, J25,J26,J27)</f>
        <v>0.15</v>
      </c>
      <c r="K24" s="410">
        <f>CHOOSE(Cover!$F$9, K25,K26,K27)</f>
        <v>0.1</v>
      </c>
      <c r="L24" s="96"/>
      <c r="M24" s="96"/>
      <c r="N24" s="96"/>
      <c r="O24" s="25"/>
      <c r="P24" s="25"/>
      <c r="Q24" s="25"/>
    </row>
    <row r="25" spans="1:17" ht="15.6">
      <c r="A25" s="1"/>
      <c r="B25" s="113" t="s">
        <v>195</v>
      </c>
      <c r="C25" s="104"/>
      <c r="D25" s="104"/>
      <c r="E25" s="104"/>
      <c r="F25" s="411">
        <v>0.28000000000000003</v>
      </c>
      <c r="G25" s="411">
        <v>0.23</v>
      </c>
      <c r="H25" s="411">
        <v>0.22</v>
      </c>
      <c r="I25" s="411">
        <v>0.21</v>
      </c>
      <c r="J25" s="411">
        <v>0.17</v>
      </c>
      <c r="K25" s="411">
        <v>0.12</v>
      </c>
      <c r="L25" s="25"/>
      <c r="M25" s="25"/>
      <c r="N25" s="25"/>
      <c r="O25" s="25"/>
      <c r="P25" s="25"/>
      <c r="Q25" s="25"/>
    </row>
    <row r="26" spans="1:17" ht="15.6">
      <c r="A26" s="27"/>
      <c r="B26" s="113" t="s">
        <v>197</v>
      </c>
      <c r="C26" s="104"/>
      <c r="D26" s="104"/>
      <c r="E26" s="104"/>
      <c r="F26" s="411">
        <v>0.26</v>
      </c>
      <c r="G26" s="411">
        <v>0.21</v>
      </c>
      <c r="H26" s="411">
        <v>0.2</v>
      </c>
      <c r="I26" s="411">
        <v>0.19</v>
      </c>
      <c r="J26" s="411">
        <v>0.15</v>
      </c>
      <c r="K26" s="411">
        <v>0.1</v>
      </c>
      <c r="L26" s="98"/>
      <c r="M26" s="98"/>
      <c r="N26" s="98"/>
      <c r="O26" s="25"/>
      <c r="P26" s="25"/>
      <c r="Q26" s="25"/>
    </row>
    <row r="27" spans="1:17" ht="15.6">
      <c r="A27" s="27"/>
      <c r="B27" s="113" t="s">
        <v>199</v>
      </c>
      <c r="C27" s="104"/>
      <c r="D27" s="104"/>
      <c r="E27" s="104"/>
      <c r="F27" s="411">
        <v>0.24</v>
      </c>
      <c r="G27" s="411">
        <v>0.19</v>
      </c>
      <c r="H27" s="411">
        <v>0.18</v>
      </c>
      <c r="I27" s="411">
        <v>0.17</v>
      </c>
      <c r="J27" s="411">
        <v>0.13</v>
      </c>
      <c r="K27" s="411">
        <v>0.08</v>
      </c>
      <c r="L27" s="404"/>
      <c r="M27" s="404"/>
      <c r="N27" s="404"/>
      <c r="O27" s="25"/>
      <c r="P27" s="25"/>
      <c r="Q27" s="25"/>
    </row>
    <row r="28" spans="1:17" ht="15.6">
      <c r="A28" s="27"/>
      <c r="B28" s="408"/>
      <c r="C28" s="96"/>
      <c r="D28" s="96"/>
      <c r="E28" s="25"/>
      <c r="F28" s="25"/>
      <c r="G28" s="25"/>
      <c r="H28" s="25"/>
      <c r="I28" s="25"/>
      <c r="J28" s="25"/>
      <c r="K28" s="25"/>
      <c r="L28" s="25"/>
      <c r="M28" s="25"/>
      <c r="N28" s="96"/>
      <c r="O28" s="25"/>
      <c r="P28" s="25"/>
      <c r="Q28" s="25"/>
    </row>
    <row r="29" spans="1:17" ht="15.6">
      <c r="A29" s="27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98"/>
      <c r="O29" s="25"/>
      <c r="P29" s="25"/>
      <c r="Q29" s="25"/>
    </row>
    <row r="30" spans="1:17" ht="15.6">
      <c r="A30" s="27"/>
      <c r="B30" s="25"/>
      <c r="C30" s="409"/>
      <c r="D30" s="409"/>
      <c r="E30" s="25"/>
      <c r="F30" s="25"/>
      <c r="G30" s="25"/>
      <c r="H30" s="25"/>
      <c r="I30" s="25"/>
      <c r="J30" s="25"/>
      <c r="K30" s="25"/>
      <c r="L30" s="25"/>
      <c r="M30" s="25"/>
      <c r="N30" s="409"/>
      <c r="O30" s="25"/>
      <c r="P30" s="25"/>
      <c r="Q30" s="25"/>
    </row>
    <row r="31" spans="1:17" ht="15.6">
      <c r="A31" s="27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</row>
    <row r="32" spans="1:17" ht="15.6">
      <c r="A32" s="27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</row>
    <row r="33" spans="1:24" ht="15.6">
      <c r="A33" s="27"/>
      <c r="B33" s="406"/>
      <c r="C33" s="407"/>
      <c r="D33" s="405"/>
      <c r="E33" s="25"/>
      <c r="F33" s="25"/>
      <c r="G33" s="25"/>
      <c r="H33" s="25"/>
      <c r="I33" s="25"/>
      <c r="J33" s="25"/>
      <c r="K33" s="25"/>
      <c r="L33" s="25"/>
      <c r="M33" s="25"/>
      <c r="N33" s="405"/>
      <c r="O33" s="25"/>
      <c r="P33" s="25"/>
      <c r="Q33" s="25"/>
    </row>
    <row r="34" spans="1:24" ht="15.6">
      <c r="A34" s="27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</row>
    <row r="35" spans="1:24" ht="15.6">
      <c r="A35" s="2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9"/>
      <c r="M35" s="25"/>
      <c r="N35" s="25"/>
      <c r="O35" s="25"/>
      <c r="P35" s="25"/>
      <c r="Q35" s="25"/>
    </row>
    <row r="36" spans="1:24" ht="15.6">
      <c r="A36" s="27"/>
      <c r="B36" s="371"/>
      <c r="C36" s="98"/>
      <c r="D36" s="98"/>
      <c r="E36" s="98"/>
      <c r="F36" s="98"/>
      <c r="G36" s="98"/>
      <c r="H36" s="98"/>
      <c r="I36" s="17"/>
      <c r="J36" s="17"/>
      <c r="K36" s="17"/>
      <c r="L36" s="17"/>
      <c r="M36" s="25"/>
      <c r="N36" s="25"/>
      <c r="O36" s="25"/>
      <c r="P36" s="25"/>
      <c r="Q36" s="25"/>
    </row>
    <row r="37" spans="1:24" ht="15.6">
      <c r="A37" s="1"/>
      <c r="B37" s="371"/>
      <c r="C37" s="98"/>
      <c r="D37" s="98"/>
      <c r="E37" s="98"/>
      <c r="F37" s="98"/>
      <c r="G37" s="98"/>
      <c r="H37" s="98"/>
      <c r="I37" s="17"/>
      <c r="J37" s="17"/>
      <c r="K37" s="17"/>
      <c r="L37" s="19"/>
      <c r="M37" s="17"/>
      <c r="N37" s="17"/>
      <c r="O37" s="17"/>
      <c r="P37" s="25"/>
      <c r="Q37" s="25"/>
    </row>
    <row r="38" spans="1:24" ht="15.6">
      <c r="A38" s="1"/>
      <c r="B38" s="371"/>
      <c r="C38" s="98"/>
      <c r="D38" s="98"/>
      <c r="E38" s="98"/>
      <c r="F38" s="98"/>
      <c r="G38" s="98"/>
      <c r="H38" s="98"/>
      <c r="I38" s="17"/>
      <c r="J38" s="17"/>
      <c r="K38" s="17"/>
      <c r="L38" s="17"/>
      <c r="M38" s="17"/>
      <c r="N38" s="17"/>
      <c r="O38" s="17"/>
      <c r="P38" s="25"/>
      <c r="Q38" s="25"/>
    </row>
    <row r="39" spans="1:24" ht="15.6">
      <c r="A39" s="1"/>
      <c r="B39" s="371"/>
      <c r="C39" s="98"/>
      <c r="D39" s="98"/>
      <c r="E39" s="98"/>
      <c r="F39" s="98"/>
      <c r="G39" s="98"/>
      <c r="H39" s="98"/>
      <c r="I39" s="17"/>
      <c r="J39" s="17"/>
      <c r="K39" s="17"/>
      <c r="L39" s="19"/>
      <c r="M39" s="17"/>
      <c r="N39" s="17"/>
      <c r="O39" s="17"/>
      <c r="P39" s="25"/>
      <c r="Q39" s="25"/>
    </row>
    <row r="40" spans="1:24" ht="15.6">
      <c r="A40" s="1"/>
      <c r="B40" s="25"/>
      <c r="C40" s="98"/>
      <c r="D40" s="98"/>
      <c r="E40" s="98"/>
      <c r="F40" s="98"/>
      <c r="G40" s="98"/>
      <c r="H40" s="98"/>
      <c r="I40" s="17"/>
      <c r="J40" s="17"/>
      <c r="K40" s="17"/>
      <c r="L40" s="17"/>
      <c r="M40" s="17"/>
      <c r="N40" s="17"/>
      <c r="O40" s="17"/>
      <c r="P40" s="25"/>
      <c r="Q40" s="25"/>
    </row>
    <row r="41" spans="1:24" ht="15.6">
      <c r="A41" s="1"/>
      <c r="B41" s="27"/>
      <c r="C41" s="27"/>
      <c r="D41" s="27"/>
      <c r="E41" s="27"/>
      <c r="F41" s="27"/>
      <c r="G41" s="27"/>
      <c r="H41" s="27"/>
      <c r="I41" s="27"/>
      <c r="J41" s="17"/>
      <c r="K41" s="17"/>
      <c r="L41" s="19"/>
      <c r="M41" s="17"/>
      <c r="N41" s="17"/>
      <c r="O41" s="17"/>
      <c r="P41" s="25"/>
      <c r="Q41" s="25"/>
    </row>
    <row r="42" spans="1:24" ht="15.6">
      <c r="A42" s="1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5"/>
      <c r="Q42" s="25"/>
    </row>
    <row r="43" spans="1:24" ht="15.6">
      <c r="A43" s="1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/>
      <c r="S43" s="1"/>
      <c r="T43" s="1"/>
      <c r="U43" s="1"/>
      <c r="V43" s="1"/>
      <c r="W43" s="1"/>
      <c r="X43" s="1"/>
    </row>
    <row r="44" spans="1:24" ht="15.6">
      <c r="A44" s="1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/>
      <c r="S44" s="1"/>
      <c r="T44" s="1"/>
      <c r="U44" s="1"/>
      <c r="V44" s="1"/>
      <c r="W44" s="1"/>
      <c r="X44" s="1"/>
    </row>
    <row r="45" spans="1:24" ht="15.6">
      <c r="A45" s="1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/>
      <c r="S45" s="1"/>
      <c r="T45" s="1"/>
      <c r="U45" s="1"/>
      <c r="V45" s="1"/>
      <c r="W45" s="1"/>
      <c r="X45" s="1"/>
    </row>
    <row r="46" spans="1:24" ht="15.6">
      <c r="A46" s="1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/>
      <c r="S46" s="1"/>
      <c r="T46" s="1"/>
      <c r="U46" s="1"/>
      <c r="V46" s="1"/>
      <c r="W46" s="1"/>
      <c r="X46" s="1"/>
    </row>
    <row r="47" spans="1:24" ht="15.6">
      <c r="A47" s="1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/>
      <c r="S47" s="1"/>
      <c r="T47" s="1"/>
      <c r="U47" s="1"/>
      <c r="V47" s="1"/>
      <c r="W47" s="1"/>
      <c r="X47" s="1"/>
    </row>
    <row r="48" spans="1:24" ht="15.6">
      <c r="A48" s="1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/>
      <c r="S48" s="1"/>
      <c r="T48" s="1"/>
      <c r="U48" s="1"/>
      <c r="V48" s="1"/>
      <c r="W48" s="1"/>
      <c r="X48" s="1"/>
    </row>
    <row r="49" spans="1:24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6">
      <c r="A53" s="1"/>
      <c r="B53" s="1"/>
      <c r="C53" s="1"/>
      <c r="D53" s="1"/>
      <c r="E53" s="1"/>
      <c r="F53" s="1"/>
      <c r="G53" s="1"/>
      <c r="H53" s="1"/>
      <c r="I53" s="1"/>
    </row>
    <row r="54" spans="1:24" ht="15.6">
      <c r="A54" s="1"/>
      <c r="B54" s="1"/>
      <c r="C54" s="1"/>
      <c r="D54" s="1"/>
      <c r="E54" s="1"/>
      <c r="F54" s="1"/>
      <c r="G54" s="1"/>
      <c r="H54" s="1"/>
      <c r="I54" s="1"/>
    </row>
    <row r="55" spans="1:24" ht="15.6">
      <c r="A55" s="1"/>
      <c r="B55" s="1"/>
      <c r="C55" s="1"/>
      <c r="D55" s="1"/>
      <c r="E55" s="1"/>
      <c r="F55" s="1"/>
      <c r="G55" s="1"/>
      <c r="H55" s="1"/>
      <c r="I55" s="1"/>
    </row>
    <row r="56" spans="1:24" ht="15.6">
      <c r="A56" s="1"/>
      <c r="B56" s="1"/>
      <c r="C56" s="1"/>
      <c r="D56" s="1"/>
      <c r="E56" s="1"/>
      <c r="F56" s="1"/>
      <c r="G56" s="1"/>
      <c r="H56" s="1"/>
      <c r="I56" s="1"/>
    </row>
    <row r="57" spans="1:24" ht="15.6">
      <c r="A57" s="1"/>
      <c r="B57" s="1"/>
      <c r="C57" s="1"/>
      <c r="D57" s="1"/>
      <c r="E57" s="1"/>
      <c r="F57" s="1"/>
      <c r="G57" s="1"/>
      <c r="H57" s="1"/>
      <c r="I57" s="1"/>
    </row>
    <row r="58" spans="1:24" ht="15.6">
      <c r="A58" s="1"/>
      <c r="B58" s="1"/>
      <c r="C58" s="1"/>
      <c r="D58" s="1"/>
      <c r="E58" s="1"/>
      <c r="F58" s="1"/>
      <c r="G58" s="1"/>
      <c r="H58" s="1"/>
      <c r="I58" s="1"/>
    </row>
    <row r="59" spans="1:24" ht="15.6">
      <c r="A59" s="1"/>
      <c r="B59" s="1"/>
      <c r="C59" s="1"/>
      <c r="D59" s="1"/>
      <c r="E59" s="1"/>
      <c r="F59" s="1"/>
      <c r="G59" s="1"/>
      <c r="H59" s="1"/>
      <c r="I59" s="1"/>
    </row>
    <row r="60" spans="1:24" ht="15.6">
      <c r="A60" s="1"/>
      <c r="B60" s="1"/>
      <c r="C60" s="1"/>
      <c r="D60" s="1"/>
      <c r="E60" s="1"/>
      <c r="F60" s="1"/>
      <c r="G60" s="1"/>
      <c r="H60" s="1"/>
      <c r="I60" s="1"/>
    </row>
    <row r="61" spans="1:24" ht="15.6">
      <c r="A61" s="1"/>
      <c r="B61" s="1"/>
      <c r="C61" s="1"/>
      <c r="D61" s="1"/>
      <c r="E61" s="1"/>
      <c r="F61" s="1"/>
      <c r="G61" s="1"/>
      <c r="H61" s="1"/>
      <c r="I6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23FDA-BEC6-45C4-BBE8-51CFB00493BF}">
  <dimension ref="A1:U79"/>
  <sheetViews>
    <sheetView showGridLines="0" zoomScale="59" zoomScaleNormal="59" workbookViewId="0">
      <selection activeCell="I13" sqref="I13"/>
    </sheetView>
  </sheetViews>
  <sheetFormatPr defaultColWidth="8.85546875" defaultRowHeight="14.45"/>
  <cols>
    <col min="2" max="2" width="29.140625" customWidth="1"/>
    <col min="4" max="4" width="9" bestFit="1" customWidth="1"/>
    <col min="5" max="6" width="8.85546875" bestFit="1" customWidth="1"/>
    <col min="7" max="7" width="8.85546875" customWidth="1"/>
  </cols>
  <sheetData>
    <row r="1" spans="1:21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1" ht="26.1">
      <c r="A2" s="1"/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</row>
    <row r="3" spans="1:21" ht="15.6">
      <c r="A3" s="1"/>
      <c r="B3" s="61" t="s">
        <v>202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21" ht="15.6">
      <c r="A4" s="1"/>
      <c r="B4" s="57" t="s">
        <v>10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21" ht="15.6">
      <c r="A5" s="1"/>
    </row>
    <row r="6" spans="1:21" ht="15.6">
      <c r="A6" s="1"/>
      <c r="B6" s="58" t="s">
        <v>203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21" ht="15.6">
      <c r="A7" s="1"/>
    </row>
    <row r="8" spans="1:21" ht="15.6">
      <c r="A8" s="1"/>
      <c r="B8" s="60" t="s">
        <v>110</v>
      </c>
      <c r="C8" s="60" t="s">
        <v>170</v>
      </c>
      <c r="D8" s="60" t="s">
        <v>171</v>
      </c>
      <c r="E8" s="60" t="s">
        <v>172</v>
      </c>
      <c r="F8" s="60" t="s">
        <v>173</v>
      </c>
      <c r="G8" s="60" t="s">
        <v>174</v>
      </c>
      <c r="H8" s="72" t="s">
        <v>175</v>
      </c>
      <c r="I8" s="60" t="s">
        <v>44</v>
      </c>
      <c r="J8" s="60" t="s">
        <v>45</v>
      </c>
      <c r="K8" s="60" t="s">
        <v>46</v>
      </c>
      <c r="L8" s="60" t="s">
        <v>47</v>
      </c>
      <c r="M8" s="60" t="s">
        <v>48</v>
      </c>
      <c r="N8" s="60" t="s">
        <v>49</v>
      </c>
    </row>
    <row r="10" spans="1:21">
      <c r="B10" s="62" t="s">
        <v>204</v>
      </c>
      <c r="C10" s="63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</row>
    <row r="12" spans="1:21">
      <c r="B12" s="104" t="s">
        <v>54</v>
      </c>
      <c r="C12" s="118">
        <f>IS!D6</f>
        <v>584.364104</v>
      </c>
      <c r="D12" s="118">
        <f>IS!E6</f>
        <v>1235.0566719999999</v>
      </c>
      <c r="E12" s="118">
        <f>IS!F6</f>
        <v>1974.093656</v>
      </c>
      <c r="F12" s="118">
        <f>IS!G6</f>
        <v>3514.899856</v>
      </c>
      <c r="G12" s="118">
        <f>IS!H6</f>
        <v>4790.2859390000003</v>
      </c>
      <c r="H12" s="124">
        <f>IS!I6</f>
        <v>6856.5696760000001</v>
      </c>
      <c r="I12" s="118">
        <f>'Revenue Build'!I12</f>
        <v>8638.5033285199988</v>
      </c>
      <c r="J12" s="118">
        <f>'Revenue Build'!J12</f>
        <v>10500.0369146712</v>
      </c>
      <c r="K12" s="118">
        <f>'Revenue Build'!K12</f>
        <v>12430.608372368157</v>
      </c>
      <c r="L12" s="118">
        <f>'Revenue Build'!L12</f>
        <v>14318.129250570972</v>
      </c>
      <c r="M12" s="118">
        <f>'Revenue Build'!M12</f>
        <v>16037.067925710764</v>
      </c>
      <c r="N12" s="118">
        <f>'Revenue Build'!N12</f>
        <v>17518.545942716042</v>
      </c>
      <c r="O12" s="104"/>
      <c r="P12" s="104"/>
      <c r="Q12" s="104"/>
      <c r="R12" s="104"/>
      <c r="S12" s="104"/>
      <c r="T12" s="104"/>
      <c r="U12" s="104"/>
    </row>
    <row r="13" spans="1:21">
      <c r="B13" s="105" t="s">
        <v>205</v>
      </c>
      <c r="C13" s="106"/>
      <c r="D13" s="107">
        <f t="shared" ref="D13:N13" si="0">D12/C12-1</f>
        <v>1.1135053702751048</v>
      </c>
      <c r="E13" s="107">
        <f t="shared" si="0"/>
        <v>0.5983830546036677</v>
      </c>
      <c r="F13" s="107">
        <f t="shared" si="0"/>
        <v>0.78051322201300866</v>
      </c>
      <c r="G13" s="107">
        <f t="shared" si="0"/>
        <v>0.36285132870084258</v>
      </c>
      <c r="H13" s="108">
        <f t="shared" si="0"/>
        <v>0.43134872600764806</v>
      </c>
      <c r="I13" s="107">
        <f t="shared" si="0"/>
        <v>0.2598870480026314</v>
      </c>
      <c r="J13" s="107">
        <f t="shared" si="0"/>
        <v>0.21549260506798129</v>
      </c>
      <c r="K13" s="107">
        <f t="shared" si="0"/>
        <v>0.18386330194701128</v>
      </c>
      <c r="L13" s="107">
        <f t="shared" si="0"/>
        <v>0.15184460982606129</v>
      </c>
      <c r="M13" s="107">
        <f t="shared" si="0"/>
        <v>0.12005330061336372</v>
      </c>
      <c r="N13" s="107">
        <f t="shared" si="0"/>
        <v>9.237835892870172E-2</v>
      </c>
      <c r="O13" s="107"/>
      <c r="P13" s="104"/>
      <c r="Q13" s="104"/>
      <c r="R13" s="104"/>
      <c r="S13" s="104"/>
      <c r="T13" s="104"/>
      <c r="U13" s="104"/>
    </row>
    <row r="14" spans="1:21">
      <c r="B14" s="104"/>
      <c r="C14" s="104"/>
      <c r="D14" s="104"/>
      <c r="E14" s="104"/>
      <c r="F14" s="104"/>
      <c r="G14" s="104"/>
      <c r="H14" s="125"/>
      <c r="I14" s="104"/>
      <c r="J14" s="104"/>
      <c r="K14" s="104"/>
      <c r="L14" s="104"/>
      <c r="M14" s="104"/>
      <c r="N14" s="104"/>
      <c r="O14" s="104"/>
      <c r="P14" s="104"/>
      <c r="Q14" s="104"/>
      <c r="R14" s="104"/>
      <c r="S14" s="104"/>
      <c r="T14" s="104"/>
      <c r="U14" s="104"/>
    </row>
    <row r="15" spans="1:21">
      <c r="B15" s="104" t="s">
        <v>206</v>
      </c>
      <c r="C15" s="118">
        <f>IS!D8</f>
        <v>289.09189300000003</v>
      </c>
      <c r="D15" s="118">
        <f>IS!E8</f>
        <v>391.61136399999998</v>
      </c>
      <c r="E15" s="118">
        <f>IS!F8</f>
        <v>642.19582700000001</v>
      </c>
      <c r="F15" s="118">
        <f>IS!G8</f>
        <v>1339.869539</v>
      </c>
      <c r="G15" s="118">
        <f>IS!H8</f>
        <v>1637.304251</v>
      </c>
      <c r="H15" s="124">
        <f>IS!I8</f>
        <v>2613.0053160000002</v>
      </c>
      <c r="I15" s="117">
        <f>I12*I16</f>
        <v>3282.6312648375997</v>
      </c>
      <c r="J15" s="117">
        <f t="shared" ref="J15:N15" si="1">J12*J16</f>
        <v>3990.0140275750559</v>
      </c>
      <c r="K15" s="117">
        <f t="shared" si="1"/>
        <v>4847.9372652235816</v>
      </c>
      <c r="L15" s="117">
        <f t="shared" si="1"/>
        <v>5584.0704077226792</v>
      </c>
      <c r="M15" s="117">
        <f t="shared" si="1"/>
        <v>6414.8271702843058</v>
      </c>
      <c r="N15" s="117">
        <f t="shared" si="1"/>
        <v>7007.4183770864174</v>
      </c>
      <c r="O15" s="104"/>
      <c r="P15" s="104"/>
      <c r="Q15" s="104"/>
      <c r="R15" s="104"/>
      <c r="S15" s="104"/>
      <c r="T15" s="104"/>
      <c r="U15" s="104"/>
    </row>
    <row r="16" spans="1:21" ht="15.6">
      <c r="B16" s="110" t="s">
        <v>207</v>
      </c>
      <c r="C16" s="120">
        <f>C15/C12</f>
        <v>0.49471192878062209</v>
      </c>
      <c r="D16" s="120">
        <f t="shared" ref="D16:H16" si="2">D15/D12</f>
        <v>0.31707967162821821</v>
      </c>
      <c r="E16" s="120">
        <f t="shared" si="2"/>
        <v>0.32531173232238986</v>
      </c>
      <c r="F16" s="120">
        <f t="shared" si="2"/>
        <v>0.38119707357033733</v>
      </c>
      <c r="G16" s="120">
        <f t="shared" si="2"/>
        <v>0.34179676784425872</v>
      </c>
      <c r="H16" s="126">
        <f t="shared" si="2"/>
        <v>0.3810951305791121</v>
      </c>
      <c r="I16" s="425">
        <f>'Operating Assumptions'!F9</f>
        <v>0.38</v>
      </c>
      <c r="J16" s="425">
        <f>'Operating Assumptions'!G9</f>
        <v>0.38</v>
      </c>
      <c r="K16" s="425">
        <f>'Operating Assumptions'!H9</f>
        <v>0.39</v>
      </c>
      <c r="L16" s="425">
        <f>'Operating Assumptions'!I9</f>
        <v>0.39</v>
      </c>
      <c r="M16" s="425">
        <f>'Operating Assumptions'!J9</f>
        <v>0.4</v>
      </c>
      <c r="N16" s="425">
        <f>'Operating Assumptions'!K9</f>
        <v>0.4</v>
      </c>
      <c r="O16" s="1" t="s">
        <v>208</v>
      </c>
      <c r="P16" s="104"/>
      <c r="Q16" s="104"/>
      <c r="R16" s="104"/>
      <c r="S16" s="104"/>
      <c r="T16" s="104"/>
      <c r="U16" s="104"/>
    </row>
    <row r="17" spans="1:21" ht="15.6">
      <c r="B17" s="111" t="s">
        <v>209</v>
      </c>
      <c r="C17" s="117">
        <f>C12-C15</f>
        <v>295.27221099999997</v>
      </c>
      <c r="D17" s="117">
        <f t="shared" ref="D17:H17" si="3">D12-D15</f>
        <v>843.44530799999995</v>
      </c>
      <c r="E17" s="117">
        <f t="shared" si="3"/>
        <v>1331.897829</v>
      </c>
      <c r="F17" s="117">
        <f t="shared" si="3"/>
        <v>2175.0303169999997</v>
      </c>
      <c r="G17" s="117">
        <f t="shared" si="3"/>
        <v>3152.9816880000003</v>
      </c>
      <c r="H17" s="128">
        <f t="shared" si="3"/>
        <v>4243.5643600000003</v>
      </c>
      <c r="I17" s="117">
        <f>I12-I15</f>
        <v>5355.8720636823991</v>
      </c>
      <c r="J17" s="117">
        <f t="shared" ref="J17:N17" si="4">J12-J15</f>
        <v>6510.0228870961437</v>
      </c>
      <c r="K17" s="117">
        <f t="shared" si="4"/>
        <v>7582.6711071445752</v>
      </c>
      <c r="L17" s="117">
        <f t="shared" si="4"/>
        <v>8734.0588428482915</v>
      </c>
      <c r="M17" s="117">
        <f t="shared" si="4"/>
        <v>9622.2407554264573</v>
      </c>
      <c r="N17" s="117">
        <f t="shared" si="4"/>
        <v>10511.127565629624</v>
      </c>
      <c r="O17" s="1"/>
      <c r="P17" s="104"/>
      <c r="Q17" s="104"/>
      <c r="R17" s="104"/>
      <c r="S17" s="104"/>
      <c r="T17" s="104"/>
      <c r="U17" s="104"/>
    </row>
    <row r="18" spans="1:21" ht="15.6">
      <c r="B18" s="105" t="s">
        <v>210</v>
      </c>
      <c r="C18" s="107">
        <f>C17/C12</f>
        <v>0.50528807121937791</v>
      </c>
      <c r="D18" s="107">
        <f t="shared" ref="D18:I18" si="5">D17/D12</f>
        <v>0.68292032837178174</v>
      </c>
      <c r="E18" s="107">
        <f t="shared" si="5"/>
        <v>0.67468826767761014</v>
      </c>
      <c r="F18" s="107">
        <f t="shared" si="5"/>
        <v>0.61880292642966261</v>
      </c>
      <c r="G18" s="107">
        <f t="shared" si="5"/>
        <v>0.65820323215574128</v>
      </c>
      <c r="H18" s="108">
        <f t="shared" si="5"/>
        <v>0.61890486942088796</v>
      </c>
      <c r="I18" s="107">
        <f t="shared" si="5"/>
        <v>0.62</v>
      </c>
      <c r="J18" s="107">
        <f t="shared" ref="J18" si="6">J17/J12</f>
        <v>0.62</v>
      </c>
      <c r="K18" s="107">
        <f t="shared" ref="K18" si="7">K17/K12</f>
        <v>0.61</v>
      </c>
      <c r="L18" s="107">
        <f t="shared" ref="L18" si="8">L17/L12</f>
        <v>0.60999999999999988</v>
      </c>
      <c r="M18" s="107">
        <f t="shared" ref="M18" si="9">M17/M12</f>
        <v>0.6</v>
      </c>
      <c r="N18" s="107">
        <f t="shared" ref="N18" si="10">N17/N12</f>
        <v>0.59999999999999987</v>
      </c>
      <c r="O18" s="1"/>
      <c r="P18" s="104"/>
      <c r="Q18" s="104"/>
      <c r="R18" s="104"/>
      <c r="S18" s="104"/>
      <c r="T18" s="104"/>
      <c r="U18" s="104"/>
    </row>
    <row r="19" spans="1:21" ht="15.6">
      <c r="B19" s="104"/>
      <c r="C19" s="104"/>
      <c r="D19" s="104"/>
      <c r="E19" s="104"/>
      <c r="F19" s="104"/>
      <c r="G19" s="104"/>
      <c r="H19" s="125"/>
      <c r="I19" s="104"/>
      <c r="J19" s="104"/>
      <c r="K19" s="104"/>
      <c r="L19" s="104"/>
      <c r="M19" s="104"/>
      <c r="N19" s="104"/>
      <c r="O19" s="1"/>
      <c r="P19" s="104"/>
      <c r="Q19" s="104"/>
      <c r="R19" s="104"/>
      <c r="S19" s="104"/>
      <c r="T19" s="104"/>
      <c r="U19" s="104"/>
    </row>
    <row r="20" spans="1:21" ht="15.6">
      <c r="B20" s="112" t="s">
        <v>211</v>
      </c>
      <c r="C20" s="104"/>
      <c r="D20" s="104"/>
      <c r="E20" s="104"/>
      <c r="F20" s="104"/>
      <c r="G20" s="104"/>
      <c r="H20" s="125"/>
      <c r="I20" s="104"/>
      <c r="J20" s="104"/>
      <c r="K20" s="104"/>
      <c r="L20" s="104"/>
      <c r="M20" s="104"/>
      <c r="N20" s="104"/>
      <c r="O20" s="1"/>
      <c r="P20" s="104"/>
      <c r="Q20" s="104"/>
      <c r="R20" s="104"/>
      <c r="S20" s="104"/>
      <c r="T20" s="104"/>
      <c r="U20" s="104"/>
    </row>
    <row r="21" spans="1:21" ht="15.6">
      <c r="B21" s="113" t="s">
        <v>212</v>
      </c>
      <c r="C21" s="118">
        <f>IS!D12</f>
        <v>519.42368399999998</v>
      </c>
      <c r="D21" s="118">
        <f>IS!E12</f>
        <v>692.03225999999995</v>
      </c>
      <c r="E21" s="118">
        <f>IS!F12</f>
        <v>925.62262699999997</v>
      </c>
      <c r="F21" s="118">
        <f>IS!G12</f>
        <v>1452.9729629999999</v>
      </c>
      <c r="G21" s="118">
        <f>IS!H12</f>
        <v>2181.8698129999998</v>
      </c>
      <c r="H21" s="124">
        <f>IS!I12</f>
        <v>3307.167805</v>
      </c>
      <c r="I21" s="117">
        <f>I22*I12</f>
        <v>3887.3264978339994</v>
      </c>
      <c r="J21" s="117">
        <f t="shared" ref="J21:N21" si="11">J22*J12</f>
        <v>4672.5164270286841</v>
      </c>
      <c r="K21" s="117">
        <f t="shared" si="11"/>
        <v>5469.4676838419891</v>
      </c>
      <c r="L21" s="117">
        <f t="shared" si="11"/>
        <v>6228.3862239983728</v>
      </c>
      <c r="M21" s="117">
        <f t="shared" si="11"/>
        <v>6895.9392080556281</v>
      </c>
      <c r="N21" s="117">
        <f t="shared" si="11"/>
        <v>7445.3820256543177</v>
      </c>
      <c r="O21" s="1"/>
      <c r="P21" s="104"/>
      <c r="Q21" s="104"/>
      <c r="R21" s="104"/>
      <c r="S21" s="104"/>
      <c r="T21" s="104"/>
      <c r="U21" s="104"/>
    </row>
    <row r="22" spans="1:21" ht="15.6">
      <c r="B22" s="114" t="s">
        <v>207</v>
      </c>
      <c r="C22" s="414">
        <f>C21/C12</f>
        <v>0.88886993647371604</v>
      </c>
      <c r="D22" s="414">
        <f t="shared" ref="D22:H22" si="12">D21/D12</f>
        <v>0.56032429579069554</v>
      </c>
      <c r="E22" s="414">
        <f t="shared" si="12"/>
        <v>0.46888485973636096</v>
      </c>
      <c r="F22" s="414">
        <f t="shared" si="12"/>
        <v>0.41337535136875886</v>
      </c>
      <c r="G22" s="414">
        <f t="shared" si="12"/>
        <v>0.45547799041313131</v>
      </c>
      <c r="H22" s="415">
        <f t="shared" si="12"/>
        <v>0.48233562280801362</v>
      </c>
      <c r="I22" s="426">
        <f>'Operating Assumptions'!F14</f>
        <v>0.45</v>
      </c>
      <c r="J22" s="426">
        <f>'Operating Assumptions'!G14</f>
        <v>0.44500000000000001</v>
      </c>
      <c r="K22" s="426">
        <f>'Operating Assumptions'!H14</f>
        <v>0.44</v>
      </c>
      <c r="L22" s="426">
        <f>'Operating Assumptions'!I14</f>
        <v>0.435</v>
      </c>
      <c r="M22" s="426">
        <f>'Operating Assumptions'!J14</f>
        <v>0.43</v>
      </c>
      <c r="N22" s="426">
        <f>'Operating Assumptions'!K14</f>
        <v>0.42499999999999999</v>
      </c>
      <c r="O22" s="1" t="s">
        <v>213</v>
      </c>
      <c r="P22" s="104"/>
      <c r="Q22" s="104"/>
      <c r="R22" s="104"/>
      <c r="S22" s="104"/>
      <c r="T22" s="104"/>
      <c r="U22" s="104"/>
    </row>
    <row r="23" spans="1:21" ht="15.6">
      <c r="B23" s="113" t="s">
        <v>214</v>
      </c>
      <c r="C23" s="118">
        <f>IS!D10</f>
        <v>70.038335000000004</v>
      </c>
      <c r="D23" s="118">
        <f>IS!E10</f>
        <v>176.49724900000001</v>
      </c>
      <c r="E23" s="118">
        <f>IS!F10</f>
        <v>185.11864499999999</v>
      </c>
      <c r="F23" s="118">
        <f>IS!G10</f>
        <v>282.81890099999998</v>
      </c>
      <c r="G23" s="118">
        <f>IS!H10</f>
        <v>489.37686200000002</v>
      </c>
      <c r="H23" s="124">
        <f>IS!I10</f>
        <v>216.65079700000001</v>
      </c>
      <c r="I23" s="130">
        <f>I24*I12</f>
        <v>734.27278292419999</v>
      </c>
      <c r="J23" s="130">
        <f t="shared" ref="J23:N23" si="13">J24*J12</f>
        <v>892.50313774705205</v>
      </c>
      <c r="K23" s="130">
        <f t="shared" si="13"/>
        <v>994.44866978945254</v>
      </c>
      <c r="L23" s="130">
        <f t="shared" si="13"/>
        <v>1145.4503400456776</v>
      </c>
      <c r="M23" s="130">
        <f t="shared" si="13"/>
        <v>1202.7800944283072</v>
      </c>
      <c r="N23" s="130">
        <f t="shared" si="13"/>
        <v>1313.8909457037032</v>
      </c>
      <c r="O23" s="1"/>
      <c r="P23" s="104"/>
      <c r="Q23" s="104"/>
      <c r="R23" s="104"/>
      <c r="S23" s="104"/>
      <c r="T23" s="104"/>
      <c r="U23" s="104"/>
    </row>
    <row r="24" spans="1:21" ht="15.6">
      <c r="B24" s="114" t="s">
        <v>207</v>
      </c>
      <c r="C24" s="414">
        <f>C23/C12</f>
        <v>0.11985393100052566</v>
      </c>
      <c r="D24" s="414">
        <f t="shared" ref="D24:H24" si="14">D23/D12</f>
        <v>0.14290619451023864</v>
      </c>
      <c r="E24" s="414">
        <f t="shared" si="14"/>
        <v>9.3773993162561478E-2</v>
      </c>
      <c r="F24" s="414">
        <f t="shared" si="14"/>
        <v>8.0462861699238122E-2</v>
      </c>
      <c r="G24" s="414">
        <f t="shared" si="14"/>
        <v>0.10216026104323957</v>
      </c>
      <c r="H24" s="415">
        <f t="shared" si="14"/>
        <v>3.1597549100731988E-2</v>
      </c>
      <c r="I24" s="426">
        <f>'Operating Assumptions'!F19</f>
        <v>8.5000000000000006E-2</v>
      </c>
      <c r="J24" s="426">
        <f>'Operating Assumptions'!G19</f>
        <v>8.5000000000000006E-2</v>
      </c>
      <c r="K24" s="426">
        <f>'Operating Assumptions'!H19</f>
        <v>0.08</v>
      </c>
      <c r="L24" s="426">
        <f>'Operating Assumptions'!I19</f>
        <v>0.08</v>
      </c>
      <c r="M24" s="426">
        <f>'Operating Assumptions'!J19</f>
        <v>7.4999999999999997E-2</v>
      </c>
      <c r="N24" s="426">
        <f>'Operating Assumptions'!K19</f>
        <v>7.4999999999999997E-2</v>
      </c>
      <c r="O24" s="1" t="s">
        <v>215</v>
      </c>
      <c r="P24" s="104"/>
      <c r="Q24" s="104"/>
      <c r="R24" s="104"/>
      <c r="S24" s="104"/>
      <c r="T24" s="104"/>
      <c r="U24" s="104"/>
    </row>
    <row r="25" spans="1:21" ht="15.6">
      <c r="B25" s="113" t="s">
        <v>216</v>
      </c>
      <c r="C25" s="118">
        <f>IS!D13</f>
        <v>0</v>
      </c>
      <c r="D25" s="118">
        <f>IS!E13</f>
        <v>39.025278</v>
      </c>
      <c r="E25" s="118">
        <f>IS!F13</f>
        <v>44.757618000000001</v>
      </c>
      <c r="F25" s="118">
        <f>IS!G13</f>
        <v>47.822389999999999</v>
      </c>
      <c r="G25" s="118">
        <f>IS!H13</f>
        <v>68.619913999999994</v>
      </c>
      <c r="H25" s="124">
        <f>IS!I13</f>
        <v>0</v>
      </c>
      <c r="I25" s="130">
        <v>8.5</v>
      </c>
      <c r="J25" s="130">
        <f t="shared" ref="J25:N25" si="15">J26*J12</f>
        <v>105.000369146712</v>
      </c>
      <c r="K25" s="130">
        <f t="shared" si="15"/>
        <v>99.444866978945257</v>
      </c>
      <c r="L25" s="130">
        <f t="shared" si="15"/>
        <v>114.54503400456778</v>
      </c>
      <c r="M25" s="130">
        <f t="shared" si="15"/>
        <v>112.25947547997535</v>
      </c>
      <c r="N25" s="130">
        <f t="shared" si="15"/>
        <v>122.6298215990123</v>
      </c>
      <c r="O25" s="1"/>
      <c r="P25" s="104"/>
      <c r="Q25" s="104"/>
      <c r="R25" s="104"/>
      <c r="S25" s="104"/>
      <c r="T25" s="104"/>
      <c r="U25" s="104"/>
    </row>
    <row r="26" spans="1:21" ht="15.6">
      <c r="B26" s="114" t="s">
        <v>207</v>
      </c>
      <c r="C26" s="107">
        <f>C25/C12</f>
        <v>0</v>
      </c>
      <c r="D26" s="107">
        <f t="shared" ref="D26:H26" si="16">D25/D12</f>
        <v>3.1597965408991374E-2</v>
      </c>
      <c r="E26" s="107">
        <f t="shared" si="16"/>
        <v>2.2672489658211028E-2</v>
      </c>
      <c r="F26" s="107">
        <f t="shared" si="16"/>
        <v>1.3605619493928477E-2</v>
      </c>
      <c r="G26" s="107">
        <f t="shared" si="16"/>
        <v>1.4324805423687253E-2</v>
      </c>
      <c r="H26" s="108">
        <f t="shared" si="16"/>
        <v>0</v>
      </c>
      <c r="I26" s="426">
        <f>'Operating Assumptions'!F24</f>
        <v>0.01</v>
      </c>
      <c r="J26" s="426">
        <f>'Operating Assumptions'!G24</f>
        <v>0.01</v>
      </c>
      <c r="K26" s="426">
        <f>'Operating Assumptions'!H24</f>
        <v>8.0000000000000002E-3</v>
      </c>
      <c r="L26" s="426">
        <f>'Operating Assumptions'!I24</f>
        <v>8.0000000000000002E-3</v>
      </c>
      <c r="M26" s="426">
        <f>'Operating Assumptions'!J24</f>
        <v>7.0000000000000001E-3</v>
      </c>
      <c r="N26" s="426">
        <f>'Operating Assumptions'!K24</f>
        <v>7.0000000000000001E-3</v>
      </c>
      <c r="O26" s="1" t="s">
        <v>217</v>
      </c>
      <c r="P26" s="104"/>
      <c r="Q26" s="104"/>
      <c r="R26" s="104"/>
      <c r="S26" s="104"/>
      <c r="T26" s="104"/>
      <c r="U26" s="104"/>
    </row>
    <row r="27" spans="1:21" ht="15.6">
      <c r="B27" s="115" t="s">
        <v>218</v>
      </c>
      <c r="C27" s="122">
        <f>C21+C23+C25</f>
        <v>589.46201899999994</v>
      </c>
      <c r="D27" s="122">
        <f t="shared" ref="D27:N27" si="17">D21+D23+D25</f>
        <v>907.55478699999992</v>
      </c>
      <c r="E27" s="122">
        <f t="shared" si="17"/>
        <v>1155.4988900000001</v>
      </c>
      <c r="F27" s="122">
        <f t="shared" si="17"/>
        <v>1783.6142539999998</v>
      </c>
      <c r="G27" s="122">
        <f t="shared" si="17"/>
        <v>2739.8665889999997</v>
      </c>
      <c r="H27" s="127">
        <f t="shared" si="17"/>
        <v>3523.8186020000003</v>
      </c>
      <c r="I27" s="122">
        <f t="shared" si="17"/>
        <v>4630.0992807581997</v>
      </c>
      <c r="J27" s="122">
        <f>J21+J23+J25</f>
        <v>5670.0199339224482</v>
      </c>
      <c r="K27" s="122">
        <f t="shared" si="17"/>
        <v>6563.3612206103871</v>
      </c>
      <c r="L27" s="122">
        <f t="shared" si="17"/>
        <v>7488.3815980486188</v>
      </c>
      <c r="M27" s="122">
        <f t="shared" si="17"/>
        <v>8210.97877796391</v>
      </c>
      <c r="N27" s="122">
        <f t="shared" si="17"/>
        <v>8881.9027929570329</v>
      </c>
      <c r="O27" s="1"/>
      <c r="P27" s="104"/>
      <c r="Q27" s="104"/>
      <c r="R27" s="104"/>
      <c r="S27" s="104"/>
      <c r="T27" s="104"/>
      <c r="U27" s="104"/>
    </row>
    <row r="28" spans="1:21" ht="15.6">
      <c r="B28" s="111" t="s">
        <v>219</v>
      </c>
      <c r="C28" s="117">
        <f>C17-C21-C23-C25</f>
        <v>-294.18980800000003</v>
      </c>
      <c r="D28" s="117">
        <f t="shared" ref="D28:N28" si="18">D17-D21-D23-D25</f>
        <v>-64.109479000000007</v>
      </c>
      <c r="E28" s="117">
        <f t="shared" si="18"/>
        <v>176.39893900000004</v>
      </c>
      <c r="F28" s="117">
        <f t="shared" si="18"/>
        <v>391.41606299999984</v>
      </c>
      <c r="G28" s="117">
        <f t="shared" si="18"/>
        <v>413.1150990000005</v>
      </c>
      <c r="H28" s="128">
        <f t="shared" si="18"/>
        <v>719.74575800000025</v>
      </c>
      <c r="I28" s="117">
        <f t="shared" si="18"/>
        <v>725.77278292419976</v>
      </c>
      <c r="J28" s="117">
        <f t="shared" si="18"/>
        <v>840.00295317369546</v>
      </c>
      <c r="K28" s="117">
        <f t="shared" si="18"/>
        <v>1019.3098865341882</v>
      </c>
      <c r="L28" s="117">
        <f t="shared" si="18"/>
        <v>1245.6772447996734</v>
      </c>
      <c r="M28" s="117">
        <f t="shared" si="18"/>
        <v>1411.2619774625466</v>
      </c>
      <c r="N28" s="117">
        <f t="shared" si="18"/>
        <v>1629.2247726725907</v>
      </c>
      <c r="O28" s="1"/>
      <c r="P28" s="104"/>
      <c r="Q28" s="104"/>
      <c r="R28" s="104"/>
      <c r="S28" s="104"/>
      <c r="T28" s="104"/>
      <c r="U28" s="104"/>
    </row>
    <row r="29" spans="1:21" ht="15.6">
      <c r="B29" s="105" t="s">
        <v>220</v>
      </c>
      <c r="C29" s="107">
        <f>C28/C12</f>
        <v>-0.50343579625486379</v>
      </c>
      <c r="D29" s="107">
        <f t="shared" ref="D29:H29" si="19">D28/D12</f>
        <v>-5.1908127338143727E-2</v>
      </c>
      <c r="E29" s="107">
        <f t="shared" si="19"/>
        <v>8.9356925120476674E-2</v>
      </c>
      <c r="F29" s="107">
        <f t="shared" si="19"/>
        <v>0.11135909386773717</v>
      </c>
      <c r="G29" s="107">
        <f t="shared" si="19"/>
        <v>8.6240175275683159E-2</v>
      </c>
      <c r="H29" s="108">
        <f t="shared" si="19"/>
        <v>0.1049716975121424</v>
      </c>
      <c r="I29" s="107">
        <f t="shared" ref="I29" si="20">I28/I12</f>
        <v>8.4016033255212466E-2</v>
      </c>
      <c r="J29" s="107">
        <f t="shared" ref="J29" si="21">J28/J12</f>
        <v>7.9999999999999946E-2</v>
      </c>
      <c r="K29" s="107">
        <f t="shared" ref="K29" si="22">K28/K12</f>
        <v>8.1999999999999948E-2</v>
      </c>
      <c r="L29" s="107">
        <f t="shared" ref="L29" si="23">L28/L12</f>
        <v>8.6999999999999925E-2</v>
      </c>
      <c r="M29" s="107">
        <f t="shared" ref="M29" si="24">M28/M12</f>
        <v>8.7999999999999967E-2</v>
      </c>
      <c r="N29" s="107">
        <f t="shared" ref="N29" si="25">N28/N12</f>
        <v>9.299999999999993E-2</v>
      </c>
      <c r="O29" s="1" t="s">
        <v>221</v>
      </c>
      <c r="P29" s="104"/>
      <c r="Q29" s="104"/>
      <c r="R29" s="104"/>
      <c r="S29" s="104"/>
      <c r="T29" s="104"/>
      <c r="U29" s="104"/>
    </row>
    <row r="30" spans="1:21">
      <c r="B30" s="104"/>
      <c r="C30" s="67"/>
      <c r="D30" s="67"/>
      <c r="E30" s="67"/>
      <c r="F30" s="67"/>
      <c r="G30" s="67"/>
      <c r="H30" s="70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</row>
    <row r="31" spans="1:21" ht="15.6">
      <c r="A31" s="27"/>
      <c r="B31" s="111" t="s">
        <v>222</v>
      </c>
      <c r="C31" s="123">
        <f>C28+C23</f>
        <v>-224.15147300000001</v>
      </c>
      <c r="D31" s="123">
        <f t="shared" ref="D31:H31" si="26">D28+D23</f>
        <v>112.38777</v>
      </c>
      <c r="E31" s="123">
        <f t="shared" si="26"/>
        <v>361.51758400000006</v>
      </c>
      <c r="F31" s="123">
        <f t="shared" si="26"/>
        <v>674.23496399999976</v>
      </c>
      <c r="G31" s="123">
        <f t="shared" si="26"/>
        <v>902.49196100000052</v>
      </c>
      <c r="H31" s="129">
        <f t="shared" si="26"/>
        <v>936.39655500000026</v>
      </c>
      <c r="I31" s="123">
        <f t="shared" ref="I31:N31" si="27">I28+I23</f>
        <v>1460.0455658483997</v>
      </c>
      <c r="J31" s="123">
        <f t="shared" si="27"/>
        <v>1732.5060909207475</v>
      </c>
      <c r="K31" s="123">
        <f t="shared" si="27"/>
        <v>2013.7585563236407</v>
      </c>
      <c r="L31" s="123">
        <f t="shared" si="27"/>
        <v>2391.1275848453511</v>
      </c>
      <c r="M31" s="123">
        <f t="shared" si="27"/>
        <v>2614.0420718908535</v>
      </c>
      <c r="N31" s="123">
        <f t="shared" si="27"/>
        <v>2943.1157183762939</v>
      </c>
      <c r="O31" s="104"/>
      <c r="P31" s="104"/>
      <c r="Q31" s="104"/>
      <c r="R31" s="104"/>
      <c r="S31" s="104"/>
      <c r="T31" s="104"/>
      <c r="U31" s="104"/>
    </row>
    <row r="32" spans="1:21" ht="15.6">
      <c r="A32" s="27"/>
      <c r="B32" s="105" t="s">
        <v>223</v>
      </c>
      <c r="C32" s="107">
        <f>C31/C12</f>
        <v>-0.38358186525433807</v>
      </c>
      <c r="D32" s="107">
        <f t="shared" ref="D32:H32" si="28">D31/D12</f>
        <v>9.0998067172094924E-2</v>
      </c>
      <c r="E32" s="107">
        <f t="shared" si="28"/>
        <v>0.18313091828303815</v>
      </c>
      <c r="F32" s="107">
        <f t="shared" si="28"/>
        <v>0.19182195556697526</v>
      </c>
      <c r="G32" s="107">
        <f t="shared" si="28"/>
        <v>0.18840043631892273</v>
      </c>
      <c r="H32" s="108">
        <f t="shared" si="28"/>
        <v>0.1365692466128744</v>
      </c>
      <c r="I32" s="107">
        <f t="shared" ref="I32" si="29">I31/I12</f>
        <v>0.16901603325521247</v>
      </c>
      <c r="J32" s="107">
        <f t="shared" ref="J32" si="30">J31/J12</f>
        <v>0.16499999999999995</v>
      </c>
      <c r="K32" s="107">
        <f t="shared" ref="K32" si="31">K31/K12</f>
        <v>0.16199999999999995</v>
      </c>
      <c r="L32" s="107">
        <f t="shared" ref="L32" si="32">L31/L12</f>
        <v>0.16699999999999993</v>
      </c>
      <c r="M32" s="107">
        <f t="shared" ref="M32" si="33">M31/M12</f>
        <v>0.16299999999999995</v>
      </c>
      <c r="N32" s="107">
        <f t="shared" ref="N32" si="34">N31/N12</f>
        <v>0.16799999999999993</v>
      </c>
      <c r="O32" s="104"/>
      <c r="P32" s="104"/>
      <c r="Q32" s="104"/>
      <c r="R32" s="104"/>
      <c r="S32" s="104"/>
      <c r="T32" s="104"/>
      <c r="U32" s="104"/>
    </row>
    <row r="33" spans="1:21" ht="15.6">
      <c r="A33" s="27"/>
      <c r="F33" s="104"/>
      <c r="G33" s="104"/>
      <c r="H33" s="125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</row>
    <row r="34" spans="1:21" ht="15.6">
      <c r="A34" s="27"/>
      <c r="B34" s="370" t="s">
        <v>224</v>
      </c>
      <c r="C34" s="118">
        <f>IS!D20</f>
        <v>16.874390999999999</v>
      </c>
      <c r="D34" s="118">
        <f>IS!E20</f>
        <v>5.5028730000000001</v>
      </c>
      <c r="E34" s="118">
        <f>IS!F20</f>
        <v>3.4875259999999999</v>
      </c>
      <c r="F34" s="118">
        <f>IS!G20</f>
        <v>0</v>
      </c>
      <c r="G34" s="118">
        <f>IS!H20</f>
        <v>0.54524099999999998</v>
      </c>
      <c r="H34" s="124">
        <f>IS!I20</f>
        <v>1.7389000000000002E-2</v>
      </c>
      <c r="I34" s="130">
        <f>I28*0.08</f>
        <v>58.061822633935982</v>
      </c>
      <c r="J34" s="130">
        <f t="shared" ref="J34:N34" si="35">J28*0.08</f>
        <v>67.200236253895639</v>
      </c>
      <c r="K34" s="130">
        <f t="shared" si="35"/>
        <v>81.544790922735061</v>
      </c>
      <c r="L34" s="130">
        <f t="shared" si="35"/>
        <v>99.654179583973871</v>
      </c>
      <c r="M34" s="130">
        <f t="shared" si="35"/>
        <v>112.90095819700373</v>
      </c>
      <c r="N34" s="130">
        <f t="shared" si="35"/>
        <v>130.33798181380726</v>
      </c>
      <c r="O34" s="1" t="s">
        <v>225</v>
      </c>
      <c r="P34" s="104"/>
      <c r="Q34" s="104"/>
      <c r="R34" s="104"/>
      <c r="S34" s="104"/>
      <c r="T34" s="104"/>
      <c r="U34" s="104"/>
    </row>
    <row r="35" spans="1:21" ht="15.6">
      <c r="A35" s="27"/>
      <c r="F35" s="104"/>
      <c r="G35" s="104"/>
      <c r="H35" s="125"/>
      <c r="I35" s="104"/>
      <c r="J35" s="104"/>
      <c r="K35" s="104"/>
      <c r="L35" s="104"/>
      <c r="M35" s="104"/>
      <c r="N35" s="104"/>
      <c r="O35" s="104"/>
      <c r="P35" s="104"/>
      <c r="Q35" s="104"/>
      <c r="R35" s="104"/>
      <c r="S35" s="104"/>
      <c r="T35" s="104"/>
      <c r="U35" s="104"/>
    </row>
    <row r="36" spans="1:21" ht="15.6">
      <c r="A36" s="27"/>
      <c r="B36" s="62" t="s">
        <v>226</v>
      </c>
      <c r="C36" s="63"/>
      <c r="D36" s="64"/>
      <c r="E36" s="64"/>
      <c r="F36" s="64"/>
      <c r="G36" s="64"/>
      <c r="H36" s="65"/>
      <c r="I36" s="64"/>
      <c r="J36" s="64"/>
      <c r="K36" s="64"/>
      <c r="L36" s="64"/>
      <c r="M36" s="64"/>
      <c r="N36" s="64"/>
      <c r="O36" s="104"/>
      <c r="P36" s="104"/>
      <c r="Q36" s="104"/>
      <c r="R36" s="104"/>
      <c r="S36" s="104"/>
      <c r="T36" s="104"/>
      <c r="U36" s="104"/>
    </row>
    <row r="37" spans="1:21" ht="15.6">
      <c r="A37" s="27"/>
      <c r="F37" s="104"/>
      <c r="G37" s="104"/>
      <c r="H37" s="125"/>
      <c r="I37" s="104"/>
      <c r="J37" s="104"/>
      <c r="K37" s="104"/>
      <c r="L37" s="104"/>
      <c r="M37" s="104"/>
      <c r="N37" s="104"/>
      <c r="O37" s="104"/>
      <c r="P37" s="104"/>
      <c r="Q37" s="104"/>
      <c r="R37" s="104"/>
      <c r="S37" s="104"/>
      <c r="T37" s="104"/>
      <c r="U37" s="104"/>
    </row>
    <row r="38" spans="1:21" ht="15.6">
      <c r="A38" s="1"/>
      <c r="B38" s="111" t="s">
        <v>222</v>
      </c>
      <c r="C38" s="118">
        <f>C31</f>
        <v>-224.15147300000001</v>
      </c>
      <c r="D38" s="118">
        <f t="shared" ref="D38:N38" si="36">D31</f>
        <v>112.38777</v>
      </c>
      <c r="E38" s="118">
        <f t="shared" si="36"/>
        <v>361.51758400000006</v>
      </c>
      <c r="F38" s="118">
        <f t="shared" si="36"/>
        <v>674.23496399999976</v>
      </c>
      <c r="G38" s="118">
        <f t="shared" si="36"/>
        <v>902.49196100000052</v>
      </c>
      <c r="H38" s="124">
        <f t="shared" si="36"/>
        <v>936.39655500000026</v>
      </c>
      <c r="I38" s="117">
        <f t="shared" si="36"/>
        <v>1460.0455658483997</v>
      </c>
      <c r="J38" s="117">
        <f t="shared" si="36"/>
        <v>1732.5060909207475</v>
      </c>
      <c r="K38" s="117">
        <f t="shared" si="36"/>
        <v>2013.7585563236407</v>
      </c>
      <c r="L38" s="117">
        <f t="shared" si="36"/>
        <v>2391.1275848453511</v>
      </c>
      <c r="M38" s="117">
        <f t="shared" si="36"/>
        <v>2614.0420718908535</v>
      </c>
      <c r="N38" s="117">
        <f t="shared" si="36"/>
        <v>2943.1157183762939</v>
      </c>
      <c r="O38" s="104"/>
      <c r="P38" s="104"/>
      <c r="Q38" s="104"/>
      <c r="R38" s="104"/>
      <c r="S38" s="104"/>
      <c r="T38" s="104"/>
      <c r="U38" s="104"/>
    </row>
    <row r="39" spans="1:21" ht="15.6">
      <c r="A39" s="1"/>
      <c r="B39" s="104" t="s">
        <v>227</v>
      </c>
      <c r="C39" s="118">
        <f>IS!D22</f>
        <v>592.54899</v>
      </c>
      <c r="D39" s="118">
        <f>IS!E22</f>
        <v>-97.720574999999997</v>
      </c>
      <c r="E39" s="118">
        <f>IS!F22</f>
        <v>68.197581</v>
      </c>
      <c r="F39" s="118">
        <f>IS!G22</f>
        <v>9.7255780000000005</v>
      </c>
      <c r="G39" s="118">
        <f>IS!H22</f>
        <v>-19.544471999999999</v>
      </c>
      <c r="H39" s="124">
        <f>IS!I22</f>
        <v>7.0716239999999999</v>
      </c>
      <c r="I39" s="117">
        <f>AVERAGE(E39:H39)</f>
        <v>16.36257775</v>
      </c>
      <c r="J39" s="117">
        <f>I39*(1+0.02)</f>
        <v>16.689829305</v>
      </c>
      <c r="K39" s="117">
        <f t="shared" ref="K39:N39" si="37">J39*(1+0.02)</f>
        <v>17.0236258911</v>
      </c>
      <c r="L39" s="117">
        <f t="shared" si="37"/>
        <v>17.364098408922001</v>
      </c>
      <c r="M39" s="117">
        <f t="shared" si="37"/>
        <v>17.71138037710044</v>
      </c>
      <c r="N39" s="117">
        <f t="shared" si="37"/>
        <v>18.065607984642448</v>
      </c>
      <c r="O39" s="1" t="s">
        <v>228</v>
      </c>
      <c r="P39" s="17"/>
    </row>
    <row r="40" spans="1:21" ht="15.6">
      <c r="A40" s="1"/>
      <c r="B40" s="116" t="s">
        <v>229</v>
      </c>
      <c r="C40" s="416">
        <f>IS!D55</f>
        <v>2.3936809999999999</v>
      </c>
      <c r="D40" s="416">
        <f>IS!E55</f>
        <v>29.482351999999999</v>
      </c>
      <c r="E40" s="416">
        <f>IS!F55</f>
        <v>35.297274999999999</v>
      </c>
      <c r="F40" s="416">
        <f>IS!G55</f>
        <v>25.353390999999998</v>
      </c>
      <c r="G40" s="416">
        <f>IS!H55</f>
        <v>38.021597</v>
      </c>
      <c r="H40" s="417">
        <f>IS!I55</f>
        <v>62.988132999999998</v>
      </c>
      <c r="I40" s="121">
        <f>AVERAGE(E40:H40)</f>
        <v>40.415098999999998</v>
      </c>
      <c r="J40" s="121">
        <f t="shared" ref="J40:N40" si="38">I40*1.02</f>
        <v>41.223400980000001</v>
      </c>
      <c r="K40" s="121">
        <f t="shared" si="38"/>
        <v>42.047868999599999</v>
      </c>
      <c r="L40" s="121">
        <f t="shared" si="38"/>
        <v>42.888826379591997</v>
      </c>
      <c r="M40" s="121">
        <f t="shared" si="38"/>
        <v>43.746602907183835</v>
      </c>
      <c r="N40" s="121">
        <f t="shared" si="38"/>
        <v>44.621534965327513</v>
      </c>
      <c r="O40" s="1" t="s">
        <v>228</v>
      </c>
      <c r="P40" s="17"/>
    </row>
    <row r="41" spans="1:21" ht="15.6">
      <c r="A41" s="1"/>
      <c r="B41" s="111" t="s">
        <v>58</v>
      </c>
      <c r="C41" s="123">
        <f>C38+C39+C40</f>
        <v>370.79119800000001</v>
      </c>
      <c r="D41" s="123">
        <f t="shared" ref="D41:H41" si="39">D38+D39+D40</f>
        <v>44.149547000000005</v>
      </c>
      <c r="E41" s="123">
        <f t="shared" si="39"/>
        <v>465.01244000000008</v>
      </c>
      <c r="F41" s="123">
        <f t="shared" si="39"/>
        <v>709.31393299999979</v>
      </c>
      <c r="G41" s="123">
        <f t="shared" si="39"/>
        <v>920.96908600000052</v>
      </c>
      <c r="H41" s="129">
        <f t="shared" si="39"/>
        <v>1006.4563120000003</v>
      </c>
      <c r="I41" s="123">
        <f t="shared" ref="I41" si="40">I38+I39+I40</f>
        <v>1516.8232425983997</v>
      </c>
      <c r="J41" s="123">
        <f t="shared" ref="J41" si="41">J38+J39+J40</f>
        <v>1790.4193212057476</v>
      </c>
      <c r="K41" s="123">
        <f t="shared" ref="K41" si="42">K38+K39+K40</f>
        <v>2072.8300512143405</v>
      </c>
      <c r="L41" s="123">
        <f t="shared" ref="L41" si="43">L38+L39+L40</f>
        <v>2451.3805096338651</v>
      </c>
      <c r="M41" s="123">
        <f t="shared" ref="M41" si="44">M38+M39+M40</f>
        <v>2675.5000551751377</v>
      </c>
      <c r="N41" s="123">
        <f t="shared" ref="N41" si="45">N38+N39+N40</f>
        <v>3005.8028613262641</v>
      </c>
      <c r="O41" s="17"/>
      <c r="P41" s="17"/>
    </row>
    <row r="42" spans="1:21" ht="15.6">
      <c r="A42" s="1"/>
      <c r="B42" s="1"/>
      <c r="C42" s="1"/>
      <c r="D42" s="1"/>
      <c r="E42" s="1"/>
      <c r="F42" s="1"/>
      <c r="G42" s="1"/>
      <c r="H42" s="26"/>
      <c r="I42" s="1"/>
      <c r="J42" s="18"/>
      <c r="K42" s="18"/>
      <c r="L42" s="131"/>
      <c r="M42" s="18"/>
      <c r="N42" s="18"/>
      <c r="O42" s="18"/>
      <c r="P42" s="18"/>
    </row>
    <row r="43" spans="1:21" ht="15.6">
      <c r="A43" s="1"/>
      <c r="B43" s="1"/>
      <c r="C43" s="1"/>
      <c r="D43" s="1"/>
      <c r="E43" s="1"/>
      <c r="F43" s="1"/>
      <c r="G43" s="1"/>
      <c r="H43" s="26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ht="15.6">
      <c r="A44" s="1"/>
      <c r="B44" s="62" t="s">
        <v>230</v>
      </c>
      <c r="C44" s="63"/>
      <c r="D44" s="64"/>
      <c r="E44" s="64"/>
      <c r="F44" s="64"/>
      <c r="G44" s="64"/>
      <c r="H44" s="65"/>
      <c r="I44" s="64"/>
      <c r="J44" s="64"/>
      <c r="K44" s="64"/>
      <c r="L44" s="64"/>
      <c r="M44" s="64"/>
      <c r="N44" s="64"/>
      <c r="O44" s="1"/>
      <c r="P44" s="1"/>
      <c r="Q44" s="1"/>
      <c r="R44" s="1"/>
      <c r="S44" s="1"/>
      <c r="T44" s="1"/>
      <c r="U44" s="1"/>
    </row>
    <row r="45" spans="1:21" ht="15.6">
      <c r="A45" s="1"/>
      <c r="C45" s="1"/>
      <c r="D45" s="1"/>
      <c r="E45" s="1"/>
      <c r="F45" s="1"/>
      <c r="G45" s="1"/>
      <c r="H45" s="2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5.6">
      <c r="A46" s="1"/>
      <c r="B46" s="104" t="s">
        <v>54</v>
      </c>
      <c r="C46" s="118">
        <f>C12</f>
        <v>584.364104</v>
      </c>
      <c r="D46" s="118">
        <f t="shared" ref="D46:N46" si="46">D12</f>
        <v>1235.0566719999999</v>
      </c>
      <c r="E46" s="118">
        <f t="shared" si="46"/>
        <v>1974.093656</v>
      </c>
      <c r="F46" s="118">
        <f t="shared" si="46"/>
        <v>3514.899856</v>
      </c>
      <c r="G46" s="118">
        <f t="shared" si="46"/>
        <v>4790.2859390000003</v>
      </c>
      <c r="H46" s="124">
        <f t="shared" si="46"/>
        <v>6856.5696760000001</v>
      </c>
      <c r="I46" s="118">
        <f t="shared" si="46"/>
        <v>8638.5033285199988</v>
      </c>
      <c r="J46" s="118">
        <f t="shared" si="46"/>
        <v>10500.0369146712</v>
      </c>
      <c r="K46" s="118">
        <f t="shared" si="46"/>
        <v>12430.608372368157</v>
      </c>
      <c r="L46" s="118">
        <f t="shared" si="46"/>
        <v>14318.129250570972</v>
      </c>
      <c r="M46" s="118">
        <f t="shared" si="46"/>
        <v>16037.067925710764</v>
      </c>
      <c r="N46" s="118">
        <f t="shared" si="46"/>
        <v>17518.545942716042</v>
      </c>
      <c r="O46" s="1"/>
      <c r="P46" s="1"/>
      <c r="Q46" s="1"/>
      <c r="R46" s="1"/>
      <c r="S46" s="1"/>
      <c r="T46" s="1"/>
      <c r="U46" s="1"/>
    </row>
    <row r="47" spans="1:21" ht="15.6">
      <c r="A47" s="1"/>
      <c r="B47" s="104" t="s">
        <v>231</v>
      </c>
      <c r="C47" s="118">
        <f>C15</f>
        <v>289.09189300000003</v>
      </c>
      <c r="D47" s="118">
        <f t="shared" ref="D47:N47" si="47">D15</f>
        <v>391.61136399999998</v>
      </c>
      <c r="E47" s="118">
        <f t="shared" si="47"/>
        <v>642.19582700000001</v>
      </c>
      <c r="F47" s="118">
        <f t="shared" si="47"/>
        <v>1339.869539</v>
      </c>
      <c r="G47" s="118">
        <f t="shared" si="47"/>
        <v>1637.304251</v>
      </c>
      <c r="H47" s="124">
        <f t="shared" si="47"/>
        <v>2613.0053160000002</v>
      </c>
      <c r="I47" s="118">
        <f t="shared" si="47"/>
        <v>3282.6312648375997</v>
      </c>
      <c r="J47" s="118">
        <f t="shared" si="47"/>
        <v>3990.0140275750559</v>
      </c>
      <c r="K47" s="118">
        <f t="shared" si="47"/>
        <v>4847.9372652235816</v>
      </c>
      <c r="L47" s="118">
        <f t="shared" si="47"/>
        <v>5584.0704077226792</v>
      </c>
      <c r="M47" s="118">
        <f t="shared" si="47"/>
        <v>6414.8271702843058</v>
      </c>
      <c r="N47" s="118">
        <f t="shared" si="47"/>
        <v>7007.4183770864174</v>
      </c>
      <c r="O47" s="1"/>
      <c r="P47" s="1"/>
      <c r="Q47" s="1"/>
      <c r="R47" s="1"/>
      <c r="S47" s="1"/>
      <c r="T47" s="1"/>
      <c r="U47" s="1"/>
    </row>
    <row r="48" spans="1:21" ht="15.6">
      <c r="A48" s="1"/>
      <c r="H48" s="69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ht="15.6">
      <c r="A49" s="1"/>
      <c r="H49" s="6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ht="15.6">
      <c r="A50" s="1"/>
      <c r="B50" s="112" t="s">
        <v>232</v>
      </c>
      <c r="C50" s="1"/>
      <c r="D50" s="1"/>
      <c r="E50" s="1"/>
      <c r="F50" s="1"/>
      <c r="G50" s="1"/>
      <c r="H50" s="2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ht="15.6">
      <c r="A51" s="1"/>
      <c r="B51" s="113" t="s">
        <v>233</v>
      </c>
      <c r="C51" s="118">
        <f>BS!D9</f>
        <v>100.24832600000001</v>
      </c>
      <c r="D51" s="118">
        <f>BS!E9</f>
        <v>133.59536199999999</v>
      </c>
      <c r="E51" s="118">
        <f>BS!F9</f>
        <v>137.80442199999999</v>
      </c>
      <c r="F51" s="118">
        <f>BS!G9</f>
        <v>199.09604899999999</v>
      </c>
      <c r="G51" s="118">
        <f>BS!H9</f>
        <v>275.91232000000002</v>
      </c>
      <c r="H51" s="128">
        <f>(H52/365)*H46</f>
        <v>394.48757039999998</v>
      </c>
      <c r="I51" s="130">
        <f>(I52/365)*I46</f>
        <v>473.3426481380821</v>
      </c>
      <c r="J51" s="130">
        <f t="shared" ref="J51:N51" si="48">(J52/365)*J46</f>
        <v>575.3444884751342</v>
      </c>
      <c r="K51" s="130">
        <f t="shared" si="48"/>
        <v>681.12922588318668</v>
      </c>
      <c r="L51" s="130">
        <f t="shared" si="48"/>
        <v>745.32727605711909</v>
      </c>
      <c r="M51" s="130">
        <f t="shared" si="48"/>
        <v>834.80627558494393</v>
      </c>
      <c r="N51" s="130">
        <f t="shared" si="48"/>
        <v>911.92430934686251</v>
      </c>
      <c r="P51" s="1"/>
      <c r="Q51" s="1"/>
      <c r="R51" s="1"/>
      <c r="S51" s="1"/>
      <c r="T51" s="1"/>
      <c r="U51" s="1"/>
    </row>
    <row r="52" spans="1:21" ht="15.6">
      <c r="A52" s="1"/>
      <c r="B52" s="114" t="s">
        <v>234</v>
      </c>
      <c r="C52" s="117">
        <f>C51/C46*365</f>
        <v>62.616164715688974</v>
      </c>
      <c r="D52" s="117">
        <f t="shared" ref="D52:G52" si="49">D51/D46*365</f>
        <v>39.481837745175142</v>
      </c>
      <c r="E52" s="117">
        <f t="shared" si="49"/>
        <v>25.47934535786786</v>
      </c>
      <c r="F52" s="117">
        <f t="shared" si="49"/>
        <v>20.674858704992928</v>
      </c>
      <c r="G52" s="117">
        <f t="shared" si="49"/>
        <v>21.023378997084123</v>
      </c>
      <c r="H52" s="134">
        <v>21</v>
      </c>
      <c r="I52" s="118">
        <f>'Operating Assumptions'!Q9</f>
        <v>20</v>
      </c>
      <c r="J52" s="118">
        <f>'Operating Assumptions'!R9</f>
        <v>20</v>
      </c>
      <c r="K52" s="118">
        <f>'Operating Assumptions'!S9</f>
        <v>20</v>
      </c>
      <c r="L52" s="118">
        <f>'Operating Assumptions'!T9</f>
        <v>19</v>
      </c>
      <c r="M52" s="118">
        <f>'Operating Assumptions'!U9</f>
        <v>19</v>
      </c>
      <c r="N52" s="118">
        <f>'Operating Assumptions'!V9</f>
        <v>19</v>
      </c>
      <c r="O52" s="1" t="s">
        <v>235</v>
      </c>
      <c r="P52" s="1"/>
      <c r="Q52" s="1"/>
      <c r="R52" s="1"/>
      <c r="S52" s="1"/>
      <c r="T52" s="1"/>
      <c r="U52" s="1"/>
    </row>
    <row r="53" spans="1:21" ht="15.6">
      <c r="A53" s="1"/>
      <c r="B53" s="113" t="s">
        <v>236</v>
      </c>
      <c r="C53" s="118">
        <f>BS!D13</f>
        <v>42.137067999999999</v>
      </c>
      <c r="D53" s="118">
        <f>BS!E13</f>
        <v>93.097037</v>
      </c>
      <c r="E53" s="118">
        <f>BS!F13</f>
        <v>173.54992300000001</v>
      </c>
      <c r="F53" s="118">
        <f>BS!G13</f>
        <v>310.763938</v>
      </c>
      <c r="G53" s="118">
        <f>BS!H13</f>
        <v>338.855773</v>
      </c>
      <c r="H53" s="128">
        <f>(H54/365)*H47</f>
        <v>536.91890054794521</v>
      </c>
      <c r="I53" s="130">
        <f t="shared" ref="I53:N53" si="50">(I54/365)*I47</f>
        <v>674.51327359676702</v>
      </c>
      <c r="J53" s="130">
        <f t="shared" si="50"/>
        <v>819.86589607706628</v>
      </c>
      <c r="K53" s="130">
        <f t="shared" si="50"/>
        <v>996.15149285416055</v>
      </c>
      <c r="L53" s="130">
        <f t="shared" si="50"/>
        <v>1162.7105506491059</v>
      </c>
      <c r="M53" s="130">
        <f t="shared" si="50"/>
        <v>1335.6900409359102</v>
      </c>
      <c r="N53" s="130">
        <f t="shared" si="50"/>
        <v>1459.0788949549801</v>
      </c>
      <c r="P53" s="1"/>
      <c r="Q53" s="1"/>
      <c r="R53" s="1"/>
      <c r="S53" s="1"/>
      <c r="T53" s="1"/>
      <c r="U53" s="1"/>
    </row>
    <row r="54" spans="1:21" ht="15.6">
      <c r="A54" s="1"/>
      <c r="B54" s="114" t="s">
        <v>237</v>
      </c>
      <c r="C54" s="117">
        <f>C53/C47*365</f>
        <v>53.201179944537557</v>
      </c>
      <c r="D54" s="117">
        <f t="shared" ref="D54:G54" si="51">D53/D47*365</f>
        <v>86.770767216550951</v>
      </c>
      <c r="E54" s="117">
        <f t="shared" si="51"/>
        <v>98.639261159509218</v>
      </c>
      <c r="F54" s="117">
        <f t="shared" si="51"/>
        <v>84.6566281778871</v>
      </c>
      <c r="G54" s="117">
        <f t="shared" si="51"/>
        <v>75.540240654392576</v>
      </c>
      <c r="H54" s="134">
        <v>75</v>
      </c>
      <c r="I54" s="118">
        <f>'Operating Assumptions'!Q14</f>
        <v>75</v>
      </c>
      <c r="J54" s="118">
        <f>'Operating Assumptions'!R14</f>
        <v>75</v>
      </c>
      <c r="K54" s="118">
        <f>'Operating Assumptions'!S14</f>
        <v>75</v>
      </c>
      <c r="L54" s="118">
        <f>'Operating Assumptions'!T14</f>
        <v>76</v>
      </c>
      <c r="M54" s="118">
        <f>'Operating Assumptions'!U14</f>
        <v>76</v>
      </c>
      <c r="N54" s="118">
        <f>'Operating Assumptions'!V14</f>
        <v>76</v>
      </c>
      <c r="O54" s="1" t="s">
        <v>238</v>
      </c>
    </row>
    <row r="55" spans="1:21" ht="15.6">
      <c r="A55" s="1"/>
      <c r="B55" s="113" t="s">
        <v>239</v>
      </c>
      <c r="C55" s="118">
        <f>BS!D18</f>
        <v>39.969876999999997</v>
      </c>
      <c r="D55" s="118">
        <f>BS!E18</f>
        <v>49.301701999999999</v>
      </c>
      <c r="E55" s="118">
        <f>BS!F18</f>
        <v>40.007911999999997</v>
      </c>
      <c r="F55" s="118">
        <f>BS!G18</f>
        <v>57.559148999999998</v>
      </c>
      <c r="G55" s="118">
        <f>BS!H18</f>
        <v>59.783676</v>
      </c>
      <c r="H55" s="128">
        <f>H56*H46</f>
        <v>82.278836112000008</v>
      </c>
      <c r="I55" s="117">
        <f>I56*I46</f>
        <v>103.66203994223999</v>
      </c>
      <c r="J55" s="117">
        <f t="shared" ref="J55:N55" si="52">J56*J46</f>
        <v>126.0004429760544</v>
      </c>
      <c r="K55" s="117">
        <f t="shared" si="52"/>
        <v>149.16730046841789</v>
      </c>
      <c r="L55" s="117">
        <f t="shared" si="52"/>
        <v>171.81755100685166</v>
      </c>
      <c r="M55" s="117">
        <f t="shared" si="52"/>
        <v>192.44481510852918</v>
      </c>
      <c r="N55" s="117">
        <f t="shared" si="52"/>
        <v>210.22255131259251</v>
      </c>
    </row>
    <row r="56" spans="1:21" ht="15.6">
      <c r="A56" s="1"/>
      <c r="B56" s="114" t="s">
        <v>240</v>
      </c>
      <c r="C56" s="107">
        <f>C55/C46</f>
        <v>6.8398925817661105E-2</v>
      </c>
      <c r="D56" s="107">
        <f t="shared" ref="D56:G56" si="53">D55/D46</f>
        <v>3.9918574683834432E-2</v>
      </c>
      <c r="E56" s="107">
        <f t="shared" si="53"/>
        <v>2.0266471085807491E-2</v>
      </c>
      <c r="F56" s="107">
        <f t="shared" si="53"/>
        <v>1.6375757875930791E-2</v>
      </c>
      <c r="G56" s="107">
        <f t="shared" si="53"/>
        <v>1.2480189441985624E-2</v>
      </c>
      <c r="H56" s="133">
        <v>1.2E-2</v>
      </c>
      <c r="I56" s="426">
        <f>'Operating Assumptions'!Q19</f>
        <v>1.2E-2</v>
      </c>
      <c r="J56" s="426">
        <f>'Operating Assumptions'!R19</f>
        <v>1.2E-2</v>
      </c>
      <c r="K56" s="426">
        <f>'Operating Assumptions'!S19</f>
        <v>1.2E-2</v>
      </c>
      <c r="L56" s="426">
        <f>'Operating Assumptions'!T19</f>
        <v>1.2E-2</v>
      </c>
      <c r="M56" s="426">
        <f>'Operating Assumptions'!U19</f>
        <v>1.2E-2</v>
      </c>
      <c r="N56" s="426">
        <f>'Operating Assumptions'!V19</f>
        <v>1.2E-2</v>
      </c>
    </row>
    <row r="57" spans="1:21" ht="15.6">
      <c r="A57" s="1"/>
      <c r="B57" s="113" t="s">
        <v>241</v>
      </c>
      <c r="C57" s="118">
        <f>BS!D19</f>
        <v>9.4203189999999992</v>
      </c>
      <c r="D57" s="118">
        <f>BS!E19</f>
        <v>13.887045000000001</v>
      </c>
      <c r="E57" s="118">
        <f>BS!F19</f>
        <v>7.5269360000000001</v>
      </c>
      <c r="F57" s="118">
        <f>BS!G19</f>
        <v>2.7489349999999999</v>
      </c>
      <c r="G57" s="118">
        <f>BS!H19</f>
        <v>5.1284720000000004</v>
      </c>
      <c r="H57" s="124">
        <f>BS!I19</f>
        <v>360.70447799999999</v>
      </c>
      <c r="I57" s="117">
        <f>I58*I46</f>
        <v>25.915509985559996</v>
      </c>
      <c r="J57" s="117">
        <f t="shared" ref="J57:N57" si="54">J58*J46</f>
        <v>31.5001107440136</v>
      </c>
      <c r="K57" s="117">
        <f t="shared" si="54"/>
        <v>37.291825117104473</v>
      </c>
      <c r="L57" s="117">
        <f t="shared" si="54"/>
        <v>42.954387751712915</v>
      </c>
      <c r="M57" s="117">
        <f t="shared" si="54"/>
        <v>48.111203777132296</v>
      </c>
      <c r="N57" s="117">
        <f t="shared" si="54"/>
        <v>52.555637828148129</v>
      </c>
    </row>
    <row r="58" spans="1:21" ht="15.6">
      <c r="A58" s="1"/>
      <c r="B58" s="114" t="s">
        <v>240</v>
      </c>
      <c r="C58" s="107">
        <f>C57/C46</f>
        <v>1.6120632556855339E-2</v>
      </c>
      <c r="D58" s="107">
        <f t="shared" ref="D58:H58" si="55">D57/D46</f>
        <v>1.1244054880098654E-2</v>
      </c>
      <c r="E58" s="107">
        <f t="shared" si="55"/>
        <v>3.812856587185142E-3</v>
      </c>
      <c r="F58" s="107">
        <f t="shared" si="55"/>
        <v>7.8208060332288448E-4</v>
      </c>
      <c r="G58" s="107">
        <f t="shared" si="55"/>
        <v>1.0705983035890752E-3</v>
      </c>
      <c r="H58" s="108">
        <f t="shared" si="55"/>
        <v>5.2607133748318956E-2</v>
      </c>
      <c r="I58" s="426">
        <f>'Operating Assumptions'!Q24</f>
        <v>3.0000000000000001E-3</v>
      </c>
      <c r="J58" s="426">
        <f>'Operating Assumptions'!R24</f>
        <v>3.0000000000000001E-3</v>
      </c>
      <c r="K58" s="426">
        <f>'Operating Assumptions'!S24</f>
        <v>3.0000000000000001E-3</v>
      </c>
      <c r="L58" s="426">
        <f>'Operating Assumptions'!T24</f>
        <v>3.0000000000000001E-3</v>
      </c>
      <c r="M58" s="426">
        <f>'Operating Assumptions'!U24</f>
        <v>3.0000000000000001E-3</v>
      </c>
      <c r="N58" s="426">
        <f>'Operating Assumptions'!V24</f>
        <v>3.0000000000000001E-3</v>
      </c>
    </row>
    <row r="59" spans="1:21" ht="15.6">
      <c r="A59" s="1"/>
      <c r="B59" s="1"/>
      <c r="C59" s="1"/>
      <c r="D59" s="1"/>
      <c r="E59" s="1"/>
      <c r="F59" s="1"/>
      <c r="G59" s="1"/>
      <c r="H59" s="26"/>
      <c r="I59" s="1"/>
    </row>
    <row r="60" spans="1:21" ht="15.6">
      <c r="A60" s="1"/>
      <c r="B60" s="112" t="s">
        <v>242</v>
      </c>
      <c r="C60" s="1"/>
      <c r="D60" s="1"/>
      <c r="E60" s="1"/>
      <c r="F60" s="1"/>
      <c r="G60" s="1"/>
      <c r="H60" s="26"/>
      <c r="I60" s="1"/>
    </row>
    <row r="61" spans="1:21" ht="15.6">
      <c r="A61" s="1"/>
      <c r="B61" s="113" t="s">
        <v>243</v>
      </c>
      <c r="C61" s="118">
        <f>BS!D41</f>
        <v>32.064436000000001</v>
      </c>
      <c r="D61" s="118">
        <f>BS!E41</f>
        <v>46.082515000000001</v>
      </c>
      <c r="E61" s="118">
        <f>BS!F41</f>
        <v>63.491807999999999</v>
      </c>
      <c r="F61" s="118">
        <f>BS!G41</f>
        <v>114.866332</v>
      </c>
      <c r="G61" s="118">
        <f>BS!H41</f>
        <v>101.199027</v>
      </c>
      <c r="H61" s="124">
        <f>BS!I41</f>
        <v>157.948384</v>
      </c>
      <c r="I61" s="117">
        <f>(I62/365)*I47</f>
        <v>197.85722692171834</v>
      </c>
      <c r="J61" s="117">
        <f t="shared" ref="J61:N61" si="56">(J62/365)*J47</f>
        <v>240.49399618260611</v>
      </c>
      <c r="K61" s="117">
        <f t="shared" si="56"/>
        <v>305.48645780860926</v>
      </c>
      <c r="L61" s="117">
        <f t="shared" si="56"/>
        <v>351.87292980170309</v>
      </c>
      <c r="M61" s="117">
        <f t="shared" si="56"/>
        <v>421.79685503239267</v>
      </c>
      <c r="N61" s="117">
        <f t="shared" si="56"/>
        <v>460.76175630157263</v>
      </c>
    </row>
    <row r="62" spans="1:21" ht="15.6">
      <c r="A62" s="1"/>
      <c r="B62" s="114" t="s">
        <v>244</v>
      </c>
      <c r="C62" s="117">
        <f>C61/C47*365</f>
        <v>40.483733454261895</v>
      </c>
      <c r="D62" s="117">
        <f t="shared" ref="D62:H62" si="57">D61/D47*365</f>
        <v>42.951046678512633</v>
      </c>
      <c r="E62" s="117">
        <f t="shared" si="57"/>
        <v>36.086360181222418</v>
      </c>
      <c r="F62" s="117">
        <f t="shared" si="57"/>
        <v>31.291263783257033</v>
      </c>
      <c r="G62" s="117">
        <f t="shared" si="57"/>
        <v>22.560037227314329</v>
      </c>
      <c r="H62" s="128">
        <f t="shared" si="57"/>
        <v>22.063162216697147</v>
      </c>
      <c r="I62" s="118">
        <f>'Operating Assumptions'!Q29</f>
        <v>22</v>
      </c>
      <c r="J62" s="118">
        <f>'Operating Assumptions'!R29</f>
        <v>22</v>
      </c>
      <c r="K62" s="118">
        <f>'Operating Assumptions'!S29</f>
        <v>23</v>
      </c>
      <c r="L62" s="118">
        <f>'Operating Assumptions'!T29</f>
        <v>23</v>
      </c>
      <c r="M62" s="118">
        <f>'Operating Assumptions'!U29</f>
        <v>24</v>
      </c>
      <c r="N62" s="118">
        <f>'Operating Assumptions'!V29</f>
        <v>24</v>
      </c>
      <c r="O62" s="370" t="s">
        <v>245</v>
      </c>
    </row>
    <row r="63" spans="1:21">
      <c r="B63" s="113" t="s">
        <v>246</v>
      </c>
      <c r="C63" s="118">
        <f>BS!D42</f>
        <v>120.996208</v>
      </c>
      <c r="D63" s="118">
        <f>BS!E42</f>
        <v>434.383017</v>
      </c>
      <c r="E63" s="118">
        <f>BS!F42</f>
        <v>216.72209699999999</v>
      </c>
      <c r="F63" s="118">
        <f>BS!G42</f>
        <v>394.336454</v>
      </c>
      <c r="G63" s="118">
        <f>BS!H42</f>
        <v>452.14384999999999</v>
      </c>
      <c r="H63" s="124">
        <f>BS!I42</f>
        <v>637.43623100000002</v>
      </c>
      <c r="I63" s="117">
        <f>I64*I46</f>
        <v>803.38080955235989</v>
      </c>
      <c r="J63" s="117">
        <f>J64*J46</f>
        <v>976.50343306442164</v>
      </c>
      <c r="K63" s="117">
        <f>K64*K46</f>
        <v>1118.7547535131341</v>
      </c>
      <c r="L63" s="117">
        <f>L64*L46</f>
        <v>1288.6316325513874</v>
      </c>
      <c r="M63" s="117">
        <f>M64*M46</f>
        <v>1443.3361133139688</v>
      </c>
      <c r="N63" s="117">
        <f>N64*N46</f>
        <v>1576.6691348444438</v>
      </c>
    </row>
    <row r="64" spans="1:21">
      <c r="B64" s="114" t="s">
        <v>240</v>
      </c>
      <c r="C64" s="107">
        <f>C63/C46</f>
        <v>0.20705619522447599</v>
      </c>
      <c r="D64" s="107">
        <f t="shared" ref="D64:H64" si="58">D63/D46</f>
        <v>0.35171099986576165</v>
      </c>
      <c r="E64" s="107">
        <f t="shared" si="58"/>
        <v>0.10978308771790106</v>
      </c>
      <c r="F64" s="107">
        <f t="shared" si="58"/>
        <v>0.11218995423919696</v>
      </c>
      <c r="G64" s="107">
        <f t="shared" si="58"/>
        <v>9.4387653630210566E-2</v>
      </c>
      <c r="H64" s="108">
        <f t="shared" si="58"/>
        <v>9.2967221383487619E-2</v>
      </c>
      <c r="I64" s="426">
        <f>'Operating Assumptions'!Q34</f>
        <v>9.2999999999999999E-2</v>
      </c>
      <c r="J64" s="426">
        <f>'Operating Assumptions'!R34</f>
        <v>9.2999999999999999E-2</v>
      </c>
      <c r="K64" s="426">
        <f>'Operating Assumptions'!S34</f>
        <v>0.09</v>
      </c>
      <c r="L64" s="426">
        <f>'Operating Assumptions'!T34</f>
        <v>0.09</v>
      </c>
      <c r="M64" s="426">
        <f>'Operating Assumptions'!U34</f>
        <v>0.09</v>
      </c>
      <c r="N64" s="426">
        <f>'Operating Assumptions'!V34</f>
        <v>0.09</v>
      </c>
    </row>
    <row r="65" spans="2:20">
      <c r="H65" s="69"/>
    </row>
    <row r="66" spans="2:20">
      <c r="B66" s="116" t="s">
        <v>247</v>
      </c>
      <c r="C66" s="121">
        <f>C51+C53+C55+C57-C61-C63</f>
        <v>38.714946000000026</v>
      </c>
      <c r="D66" s="121">
        <f t="shared" ref="D66:N66" si="59">D51+D53+D55+D57-D61-D63</f>
        <v>-190.58438599999999</v>
      </c>
      <c r="E66" s="121">
        <f t="shared" si="59"/>
        <v>78.675287999999938</v>
      </c>
      <c r="F66" s="121">
        <f t="shared" si="59"/>
        <v>60.965284999999938</v>
      </c>
      <c r="G66" s="121">
        <f t="shared" si="59"/>
        <v>126.33736400000004</v>
      </c>
      <c r="H66" s="135">
        <f t="shared" si="59"/>
        <v>579.00517005994504</v>
      </c>
      <c r="I66" s="121">
        <f t="shared" si="59"/>
        <v>276.19543518857074</v>
      </c>
      <c r="J66" s="121">
        <f t="shared" si="59"/>
        <v>335.71350902524091</v>
      </c>
      <c r="K66" s="121">
        <f t="shared" si="59"/>
        <v>439.49863300112634</v>
      </c>
      <c r="L66" s="121">
        <f t="shared" si="59"/>
        <v>482.30520311169948</v>
      </c>
      <c r="M66" s="121">
        <f t="shared" si="59"/>
        <v>545.9193670601544</v>
      </c>
      <c r="N66" s="121">
        <f t="shared" si="59"/>
        <v>596.35050229656736</v>
      </c>
      <c r="O66" s="136"/>
      <c r="P66" s="136"/>
      <c r="Q66" s="136"/>
      <c r="R66" s="136"/>
      <c r="S66" s="136"/>
      <c r="T66" s="136"/>
    </row>
    <row r="67" spans="2:20">
      <c r="B67" s="111" t="s">
        <v>248</v>
      </c>
      <c r="C67" s="138"/>
      <c r="D67" s="117">
        <f t="shared" ref="D67:N67" si="60">D66-C66</f>
        <v>-229.29933200000002</v>
      </c>
      <c r="E67" s="123">
        <f t="shared" si="60"/>
        <v>269.2596739999999</v>
      </c>
      <c r="F67" s="123">
        <f t="shared" si="60"/>
        <v>-17.710003</v>
      </c>
      <c r="G67" s="123">
        <f t="shared" si="60"/>
        <v>65.372079000000099</v>
      </c>
      <c r="H67" s="129">
        <f t="shared" si="60"/>
        <v>452.66780605994501</v>
      </c>
      <c r="I67" s="123">
        <f t="shared" si="60"/>
        <v>-302.8097348713743</v>
      </c>
      <c r="J67" s="123">
        <f t="shared" si="60"/>
        <v>59.518073836670169</v>
      </c>
      <c r="K67" s="123">
        <f t="shared" si="60"/>
        <v>103.78512397588543</v>
      </c>
      <c r="L67" s="123">
        <f t="shared" si="60"/>
        <v>42.806570110573148</v>
      </c>
      <c r="M67" s="123">
        <f t="shared" si="60"/>
        <v>63.614163948454916</v>
      </c>
      <c r="N67" s="123">
        <f t="shared" si="60"/>
        <v>50.431135236412956</v>
      </c>
      <c r="O67" s="137"/>
      <c r="P67" s="137"/>
      <c r="Q67" s="137"/>
      <c r="R67" s="137"/>
      <c r="S67" s="137"/>
      <c r="T67" s="137"/>
    </row>
    <row r="68" spans="2:20">
      <c r="O68" s="136"/>
      <c r="P68" s="136"/>
      <c r="Q68" s="136"/>
      <c r="R68" s="136"/>
      <c r="S68" s="136"/>
      <c r="T68" s="136"/>
    </row>
    <row r="69" spans="2:20">
      <c r="H69" s="136"/>
      <c r="I69" s="136"/>
      <c r="J69" s="136"/>
    </row>
    <row r="70" spans="2:20">
      <c r="B70" s="62" t="s">
        <v>249</v>
      </c>
      <c r="C70" s="63"/>
      <c r="D70" s="64"/>
      <c r="E70" s="64"/>
      <c r="F70" s="64"/>
      <c r="G70" s="64"/>
      <c r="H70" s="65"/>
      <c r="I70" s="64"/>
      <c r="J70" s="64"/>
      <c r="K70" s="64"/>
      <c r="L70" s="64"/>
      <c r="M70" s="64"/>
      <c r="N70" s="64"/>
    </row>
    <row r="71" spans="2:20">
      <c r="H71" s="69"/>
    </row>
    <row r="72" spans="2:20">
      <c r="B72" s="104" t="s">
        <v>250</v>
      </c>
      <c r="C72" s="117">
        <f>CFS!D21</f>
        <v>-119.14011600000001</v>
      </c>
      <c r="D72" s="117">
        <f>CFS!E21</f>
        <v>-26.858021000000001</v>
      </c>
      <c r="E72" s="117">
        <f>CFS!F21</f>
        <v>-118.956642</v>
      </c>
      <c r="F72" s="117">
        <f>CFS!G21</f>
        <v>-389.08777300000003</v>
      </c>
      <c r="G72" s="117">
        <f>CFS!H21</f>
        <v>-336.03019399999999</v>
      </c>
      <c r="H72" s="128">
        <f>H73*H46*-1</f>
        <v>-548.52557408000007</v>
      </c>
      <c r="I72" s="117">
        <f>I73*I46*-1</f>
        <v>-1036.6203994223997</v>
      </c>
      <c r="J72" s="117">
        <f t="shared" ref="J72:N72" si="61">J73*J46*-1</f>
        <v>-1050.00369146712</v>
      </c>
      <c r="K72" s="117">
        <f t="shared" si="61"/>
        <v>-994.44866978945254</v>
      </c>
      <c r="L72" s="117">
        <f t="shared" si="61"/>
        <v>-1145.4503400456776</v>
      </c>
      <c r="M72" s="117">
        <f t="shared" si="61"/>
        <v>-1282.9654340568611</v>
      </c>
      <c r="N72" s="117">
        <f t="shared" si="61"/>
        <v>-1401.4836754172834</v>
      </c>
    </row>
    <row r="73" spans="2:20">
      <c r="B73" s="105" t="s">
        <v>251</v>
      </c>
      <c r="C73" s="107">
        <f>C72*-1/C46</f>
        <v>0.2038799357874316</v>
      </c>
      <c r="D73" s="107">
        <f t="shared" ref="D73:G73" si="62">D72*-1/D46</f>
        <v>2.1746387521235949E-2</v>
      </c>
      <c r="E73" s="107">
        <f t="shared" si="62"/>
        <v>6.0258864435558473E-2</v>
      </c>
      <c r="F73" s="107">
        <f t="shared" si="62"/>
        <v>0.11069668808225643</v>
      </c>
      <c r="G73" s="107">
        <f t="shared" si="62"/>
        <v>7.0148253836836344E-2</v>
      </c>
      <c r="H73" s="133">
        <v>0.08</v>
      </c>
      <c r="I73" s="426">
        <f>'Operating Assumptions'!F40</f>
        <v>0.12</v>
      </c>
      <c r="J73" s="426">
        <f>'Operating Assumptions'!G40</f>
        <v>0.1</v>
      </c>
      <c r="K73" s="426">
        <f>'Operating Assumptions'!H40</f>
        <v>0.08</v>
      </c>
      <c r="L73" s="426">
        <f>'Operating Assumptions'!I40</f>
        <v>0.08</v>
      </c>
      <c r="M73" s="426">
        <f>'Operating Assumptions'!J40</f>
        <v>0.08</v>
      </c>
      <c r="N73" s="426">
        <f>'Operating Assumptions'!K40</f>
        <v>0.08</v>
      </c>
      <c r="O73" s="370" t="s">
        <v>252</v>
      </c>
    </row>
    <row r="74" spans="2:20">
      <c r="H74" s="69"/>
    </row>
    <row r="75" spans="2:20">
      <c r="B75" s="104" t="s">
        <v>253</v>
      </c>
      <c r="C75" s="67">
        <f>CFS!D24</f>
        <v>0</v>
      </c>
      <c r="D75" s="67">
        <f>CFS!E24</f>
        <v>-12.084303</v>
      </c>
      <c r="E75" s="67">
        <f>CFS!F24</f>
        <v>0</v>
      </c>
      <c r="F75" s="67">
        <f>CFS!G24</f>
        <v>0</v>
      </c>
      <c r="G75" s="67">
        <f>CFS!H24</f>
        <v>0</v>
      </c>
      <c r="H75" s="128">
        <f>H76*H46</f>
        <v>6.8565696760000003</v>
      </c>
      <c r="I75" s="117">
        <f t="shared" ref="I75:N75" si="63">I76*I46</f>
        <v>8.6385033285199988</v>
      </c>
      <c r="J75" s="117">
        <f t="shared" si="63"/>
        <v>10.500036914671201</v>
      </c>
      <c r="K75" s="117">
        <f t="shared" si="63"/>
        <v>12.430608372368157</v>
      </c>
      <c r="L75" s="117">
        <f t="shared" si="63"/>
        <v>21.477193875856457</v>
      </c>
      <c r="M75" s="117">
        <f t="shared" si="63"/>
        <v>24.055601888566148</v>
      </c>
      <c r="N75" s="117">
        <f t="shared" si="63"/>
        <v>26.277818914074064</v>
      </c>
    </row>
    <row r="76" spans="2:20">
      <c r="B76" s="105" t="s">
        <v>251</v>
      </c>
      <c r="C76" s="140">
        <f>C75/C46</f>
        <v>0</v>
      </c>
      <c r="D76" s="140">
        <f t="shared" ref="D76:G76" si="64">D75/D46</f>
        <v>-9.7844117391238227E-3</v>
      </c>
      <c r="E76" s="140">
        <f t="shared" si="64"/>
        <v>0</v>
      </c>
      <c r="F76" s="140">
        <f t="shared" si="64"/>
        <v>0</v>
      </c>
      <c r="G76" s="140">
        <f t="shared" si="64"/>
        <v>0</v>
      </c>
      <c r="H76" s="133">
        <v>1E-3</v>
      </c>
      <c r="I76" s="426">
        <f>'Operating Assumptions'!F45</f>
        <v>1E-3</v>
      </c>
      <c r="J76" s="426">
        <f>'Operating Assumptions'!G45</f>
        <v>1E-3</v>
      </c>
      <c r="K76" s="426">
        <f>'Operating Assumptions'!H45</f>
        <v>1E-3</v>
      </c>
      <c r="L76" s="426">
        <f>'Operating Assumptions'!I45</f>
        <v>1.5E-3</v>
      </c>
      <c r="M76" s="426">
        <f>'Operating Assumptions'!J45</f>
        <v>1.5E-3</v>
      </c>
      <c r="N76" s="426">
        <f>'Operating Assumptions'!K45</f>
        <v>1.5E-3</v>
      </c>
      <c r="O76" s="370" t="s">
        <v>254</v>
      </c>
    </row>
    <row r="77" spans="2:20">
      <c r="H77" s="69"/>
    </row>
    <row r="78" spans="2:20">
      <c r="B78" s="141" t="s">
        <v>255</v>
      </c>
      <c r="C78" s="93">
        <f>C72+C75</f>
        <v>-119.14011600000001</v>
      </c>
      <c r="D78" s="93">
        <f t="shared" ref="D78:N78" si="65">D72+D75</f>
        <v>-38.942323999999999</v>
      </c>
      <c r="E78" s="93">
        <f t="shared" si="65"/>
        <v>-118.956642</v>
      </c>
      <c r="F78" s="93">
        <f t="shared" si="65"/>
        <v>-389.08777300000003</v>
      </c>
      <c r="G78" s="93">
        <f t="shared" si="65"/>
        <v>-336.03019399999999</v>
      </c>
      <c r="H78" s="94">
        <f t="shared" si="65"/>
        <v>-541.66900440400002</v>
      </c>
      <c r="I78" s="93">
        <f t="shared" si="65"/>
        <v>-1027.9818960938796</v>
      </c>
      <c r="J78" s="93">
        <f t="shared" si="65"/>
        <v>-1039.5036545524488</v>
      </c>
      <c r="K78" s="93">
        <f t="shared" si="65"/>
        <v>-982.01806141708437</v>
      </c>
      <c r="L78" s="93">
        <f t="shared" si="65"/>
        <v>-1123.9731461698211</v>
      </c>
      <c r="M78" s="93">
        <f t="shared" si="65"/>
        <v>-1258.909832168295</v>
      </c>
      <c r="N78" s="93">
        <f t="shared" si="65"/>
        <v>-1375.2058565032094</v>
      </c>
    </row>
    <row r="79" spans="2:20">
      <c r="B79" s="105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E6C3-E6B3-4462-A3BD-DCEFCE6BF181}">
  <dimension ref="A1:X61"/>
  <sheetViews>
    <sheetView showGridLines="0" zoomScale="75" zoomScaleNormal="59" workbookViewId="0">
      <selection activeCell="N48" sqref="N48"/>
    </sheetView>
  </sheetViews>
  <sheetFormatPr defaultColWidth="8.85546875" defaultRowHeight="14.45"/>
  <cols>
    <col min="2" max="2" width="31.7109375" customWidth="1"/>
  </cols>
  <sheetData>
    <row r="1" spans="1:23" ht="15.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23" ht="26.1">
      <c r="A2" s="1"/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L2" s="25"/>
      <c r="M2" s="25"/>
      <c r="N2" s="25"/>
      <c r="O2" s="25"/>
    </row>
    <row r="3" spans="1:23" ht="15.6">
      <c r="A3" s="1"/>
      <c r="B3" s="61" t="s">
        <v>256</v>
      </c>
      <c r="C3" s="56"/>
      <c r="D3" s="56"/>
      <c r="E3" s="56"/>
      <c r="F3" s="56"/>
      <c r="G3" s="56"/>
      <c r="H3" s="56"/>
      <c r="I3" s="56"/>
      <c r="J3" s="56"/>
      <c r="K3" s="56"/>
      <c r="L3" s="25"/>
      <c r="M3" s="25"/>
      <c r="N3" s="25"/>
      <c r="O3" s="25"/>
    </row>
    <row r="4" spans="1:23" ht="15.6">
      <c r="A4" s="1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23" ht="15.6">
      <c r="A5" s="1"/>
      <c r="B5" s="119"/>
      <c r="C5" s="256"/>
      <c r="D5" s="256"/>
      <c r="E5" s="256"/>
      <c r="F5" s="258" t="s">
        <v>44</v>
      </c>
      <c r="G5" s="258" t="s">
        <v>45</v>
      </c>
      <c r="H5" s="258" t="s">
        <v>46</v>
      </c>
      <c r="I5" s="258" t="s">
        <v>47</v>
      </c>
      <c r="J5" s="258" t="s">
        <v>48</v>
      </c>
      <c r="K5" s="258" t="s">
        <v>49</v>
      </c>
      <c r="L5" s="119"/>
      <c r="M5" s="119"/>
      <c r="N5" s="256"/>
      <c r="O5" s="256"/>
      <c r="P5" s="256"/>
      <c r="Q5" s="258" t="s">
        <v>44</v>
      </c>
      <c r="R5" s="258" t="s">
        <v>45</v>
      </c>
      <c r="S5" s="258" t="s">
        <v>46</v>
      </c>
      <c r="T5" s="258" t="s">
        <v>47</v>
      </c>
      <c r="U5" s="258" t="s">
        <v>48</v>
      </c>
      <c r="V5" s="258" t="s">
        <v>49</v>
      </c>
    </row>
    <row r="6" spans="1:23" ht="15.6">
      <c r="A6" s="1"/>
      <c r="B6" s="25"/>
      <c r="C6" s="25"/>
      <c r="D6" s="25"/>
      <c r="E6" s="25"/>
      <c r="F6" s="25"/>
      <c r="G6" s="25"/>
      <c r="H6" s="25"/>
      <c r="I6" s="25"/>
      <c r="J6" s="25"/>
      <c r="K6" s="25"/>
      <c r="O6" s="25"/>
      <c r="P6" s="25"/>
      <c r="Q6" s="25"/>
    </row>
    <row r="7" spans="1:23" ht="15.6">
      <c r="A7" s="1"/>
      <c r="B7" s="62" t="s">
        <v>257</v>
      </c>
      <c r="C7" s="222"/>
      <c r="D7" s="222"/>
      <c r="E7" s="222"/>
      <c r="F7" s="223"/>
      <c r="G7" s="223"/>
      <c r="H7" s="223"/>
      <c r="I7" s="223"/>
      <c r="J7" s="223"/>
      <c r="K7" s="223"/>
      <c r="M7" s="62" t="s">
        <v>258</v>
      </c>
      <c r="N7" s="222"/>
      <c r="O7" s="222"/>
      <c r="P7" s="222"/>
      <c r="Q7" s="223"/>
      <c r="R7" s="223"/>
      <c r="S7" s="223"/>
      <c r="T7" s="223"/>
      <c r="U7" s="223"/>
      <c r="V7" s="223"/>
    </row>
    <row r="8" spans="1:23" ht="15.6">
      <c r="A8" s="1"/>
      <c r="B8" s="25"/>
      <c r="C8" s="25"/>
      <c r="D8" s="25"/>
      <c r="E8" s="25"/>
      <c r="F8" s="25"/>
      <c r="G8" s="25"/>
      <c r="H8" s="25"/>
      <c r="I8" s="25"/>
      <c r="J8" s="25"/>
      <c r="K8" s="25"/>
      <c r="M8" s="25"/>
      <c r="N8" s="25"/>
      <c r="O8" s="25"/>
      <c r="P8" s="25"/>
      <c r="Q8" s="25"/>
      <c r="R8" s="25"/>
      <c r="S8" s="25"/>
      <c r="T8" s="25"/>
      <c r="U8" s="25"/>
      <c r="V8" s="25"/>
    </row>
    <row r="9" spans="1:23" ht="15.6">
      <c r="A9" s="1"/>
      <c r="B9" s="115" t="s">
        <v>259</v>
      </c>
      <c r="C9" s="116"/>
      <c r="D9" s="116"/>
      <c r="E9" s="116"/>
      <c r="F9" s="410">
        <f>CHOOSE(Cover!$F$9, F10,F11,F12)</f>
        <v>0.38</v>
      </c>
      <c r="G9" s="410">
        <f>CHOOSE(Cover!$F$9, G10,G11,G12)</f>
        <v>0.38</v>
      </c>
      <c r="H9" s="410">
        <f>CHOOSE(Cover!$F$9, H10,H11,H12)</f>
        <v>0.39</v>
      </c>
      <c r="I9" s="410">
        <f>CHOOSE(Cover!$F$9, I10,I11,I12)</f>
        <v>0.39</v>
      </c>
      <c r="J9" s="410">
        <f>CHOOSE(Cover!$F$9, J10,J11,J12)</f>
        <v>0.4</v>
      </c>
      <c r="K9" s="410">
        <f>CHOOSE(Cover!$F$9, K10,K11,K12)</f>
        <v>0.4</v>
      </c>
      <c r="M9" s="115" t="s">
        <v>234</v>
      </c>
      <c r="N9" s="116"/>
      <c r="O9" s="116"/>
      <c r="P9" s="116"/>
      <c r="Q9" s="428">
        <f>CHOOSE(Cover!$F$9, Q10,Q11,Q12)</f>
        <v>20</v>
      </c>
      <c r="R9" s="428">
        <f>CHOOSE(Cover!$F$9, R10,R11,R12)</f>
        <v>20</v>
      </c>
      <c r="S9" s="428">
        <f>CHOOSE(Cover!$F$9, S10,S11,S12)</f>
        <v>20</v>
      </c>
      <c r="T9" s="428">
        <f>CHOOSE(Cover!$F$9, T10,T11,T12)</f>
        <v>19</v>
      </c>
      <c r="U9" s="428">
        <f>CHOOSE(Cover!$F$9, U10,U11,U12)</f>
        <v>19</v>
      </c>
      <c r="V9" s="428">
        <f>CHOOSE(Cover!$F$9, V10,V11,V12)</f>
        <v>19</v>
      </c>
    </row>
    <row r="10" spans="1:23" ht="15.6">
      <c r="A10" s="1"/>
      <c r="B10" s="113" t="s">
        <v>195</v>
      </c>
      <c r="C10" s="104"/>
      <c r="D10" s="104"/>
      <c r="E10" s="104"/>
      <c r="F10" s="411">
        <v>0.37</v>
      </c>
      <c r="G10" s="411">
        <v>0.37</v>
      </c>
      <c r="H10" s="411">
        <v>0.38</v>
      </c>
      <c r="I10" s="411">
        <v>0.38</v>
      </c>
      <c r="J10" s="411">
        <v>0.39</v>
      </c>
      <c r="K10" s="411">
        <v>0.39</v>
      </c>
      <c r="M10" s="113" t="s">
        <v>195</v>
      </c>
      <c r="N10" s="104"/>
      <c r="O10" s="104"/>
      <c r="P10" s="104"/>
      <c r="Q10" s="427">
        <v>19</v>
      </c>
      <c r="R10" s="427">
        <v>19</v>
      </c>
      <c r="S10" s="427">
        <v>18</v>
      </c>
      <c r="T10" s="427">
        <v>18</v>
      </c>
      <c r="U10" s="427">
        <v>17</v>
      </c>
      <c r="V10" s="427">
        <v>17</v>
      </c>
      <c r="W10" s="370" t="s">
        <v>260</v>
      </c>
    </row>
    <row r="11" spans="1:23" ht="15.6">
      <c r="A11" s="1"/>
      <c r="B11" s="113" t="s">
        <v>197</v>
      </c>
      <c r="C11" s="104"/>
      <c r="D11" s="104"/>
      <c r="E11" s="104"/>
      <c r="F11" s="411">
        <v>0.38</v>
      </c>
      <c r="G11" s="411">
        <v>0.38</v>
      </c>
      <c r="H11" s="411">
        <v>0.39</v>
      </c>
      <c r="I11" s="411">
        <v>0.39</v>
      </c>
      <c r="J11" s="411">
        <v>0.4</v>
      </c>
      <c r="K11" s="411">
        <v>0.4</v>
      </c>
      <c r="M11" s="113" t="s">
        <v>197</v>
      </c>
      <c r="N11" s="104"/>
      <c r="O11" s="104"/>
      <c r="P11" s="104"/>
      <c r="Q11" s="427">
        <v>20</v>
      </c>
      <c r="R11" s="427">
        <v>20</v>
      </c>
      <c r="S11" s="427">
        <v>20</v>
      </c>
      <c r="T11" s="427">
        <v>19</v>
      </c>
      <c r="U11" s="427">
        <v>19</v>
      </c>
      <c r="V11" s="427">
        <v>19</v>
      </c>
      <c r="W11" s="370" t="s">
        <v>261</v>
      </c>
    </row>
    <row r="12" spans="1:23" ht="15.6">
      <c r="A12" s="1"/>
      <c r="B12" s="113" t="s">
        <v>199</v>
      </c>
      <c r="C12" s="104"/>
      <c r="D12" s="104"/>
      <c r="E12" s="104"/>
      <c r="F12" s="411">
        <v>0.39</v>
      </c>
      <c r="G12" s="411">
        <v>0.39</v>
      </c>
      <c r="H12" s="411">
        <v>0.4</v>
      </c>
      <c r="I12" s="411">
        <v>0.4</v>
      </c>
      <c r="J12" s="411">
        <v>0.41</v>
      </c>
      <c r="K12" s="411">
        <v>0.41</v>
      </c>
      <c r="L12" s="370"/>
      <c r="M12" s="113" t="s">
        <v>199</v>
      </c>
      <c r="N12" s="104"/>
      <c r="O12" s="104"/>
      <c r="P12" s="104"/>
      <c r="Q12" s="427">
        <v>21</v>
      </c>
      <c r="R12" s="427">
        <v>21</v>
      </c>
      <c r="S12" s="427">
        <v>22</v>
      </c>
      <c r="T12" s="427">
        <v>22</v>
      </c>
      <c r="U12" s="427">
        <v>23</v>
      </c>
      <c r="V12" s="427">
        <v>23</v>
      </c>
      <c r="W12" s="370" t="s">
        <v>262</v>
      </c>
    </row>
    <row r="13" spans="1:23" ht="15.6">
      <c r="A13" s="1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</row>
    <row r="14" spans="1:23" ht="15.6">
      <c r="A14" s="1"/>
      <c r="B14" s="115" t="s">
        <v>263</v>
      </c>
      <c r="C14" s="116"/>
      <c r="D14" s="116"/>
      <c r="E14" s="116"/>
      <c r="F14" s="410">
        <f>CHOOSE(Cover!$F$9, F15,F16,F17)</f>
        <v>0.45</v>
      </c>
      <c r="G14" s="410">
        <f>CHOOSE(Cover!$F$9, G15,G16,G17)</f>
        <v>0.44500000000000001</v>
      </c>
      <c r="H14" s="410">
        <f>CHOOSE(Cover!$F$9, H15,H16,H17)</f>
        <v>0.44</v>
      </c>
      <c r="I14" s="410">
        <f>CHOOSE(Cover!$F$9, I15,I16,I17)</f>
        <v>0.435</v>
      </c>
      <c r="J14" s="410">
        <f>CHOOSE(Cover!$F$9, J15,J16,J17)</f>
        <v>0.43</v>
      </c>
      <c r="K14" s="410">
        <f>CHOOSE(Cover!$F$9, K15,K16,K17)</f>
        <v>0.42499999999999999</v>
      </c>
      <c r="L14" s="98"/>
      <c r="M14" s="115" t="s">
        <v>237</v>
      </c>
      <c r="N14" s="116"/>
      <c r="O14" s="116"/>
      <c r="P14" s="116"/>
      <c r="Q14" s="428">
        <f>CHOOSE(Cover!$F$9, Q15,Q16,Q17)</f>
        <v>75</v>
      </c>
      <c r="R14" s="428">
        <f>CHOOSE(Cover!$F$9, R15,R16,R17)</f>
        <v>75</v>
      </c>
      <c r="S14" s="428">
        <f>CHOOSE(Cover!$F$9, S15,S16,S17)</f>
        <v>75</v>
      </c>
      <c r="T14" s="428">
        <f>CHOOSE(Cover!$F$9, T15,T16,T17)</f>
        <v>76</v>
      </c>
      <c r="U14" s="428">
        <f>CHOOSE(Cover!$F$9, U15,U16,U17)</f>
        <v>76</v>
      </c>
      <c r="V14" s="428">
        <f>CHOOSE(Cover!$F$9, V15,V16,V17)</f>
        <v>76</v>
      </c>
    </row>
    <row r="15" spans="1:23" ht="15.6">
      <c r="A15" s="1"/>
      <c r="B15" s="113" t="s">
        <v>195</v>
      </c>
      <c r="C15" s="104"/>
      <c r="D15" s="104"/>
      <c r="E15" s="104"/>
      <c r="F15" s="411">
        <f>F16-1%</f>
        <v>0.44</v>
      </c>
      <c r="G15" s="411">
        <f t="shared" ref="G15:K15" si="0">G16-1%</f>
        <v>0.435</v>
      </c>
      <c r="H15" s="411">
        <f t="shared" si="0"/>
        <v>0.43</v>
      </c>
      <c r="I15" s="411">
        <f t="shared" si="0"/>
        <v>0.42499999999999999</v>
      </c>
      <c r="J15" s="411">
        <f t="shared" si="0"/>
        <v>0.42</v>
      </c>
      <c r="K15" s="411">
        <f t="shared" si="0"/>
        <v>0.41499999999999998</v>
      </c>
      <c r="L15" s="404"/>
      <c r="M15" s="113" t="s">
        <v>195</v>
      </c>
      <c r="N15" s="104"/>
      <c r="O15" s="104"/>
      <c r="P15" s="104"/>
      <c r="Q15" s="427">
        <v>76</v>
      </c>
      <c r="R15" s="427">
        <v>76</v>
      </c>
      <c r="S15" s="427">
        <v>77</v>
      </c>
      <c r="T15" s="427">
        <v>77</v>
      </c>
      <c r="U15" s="427">
        <v>78</v>
      </c>
      <c r="V15" s="427">
        <v>78</v>
      </c>
      <c r="W15" s="370" t="s">
        <v>264</v>
      </c>
    </row>
    <row r="16" spans="1:23" ht="15.6">
      <c r="A16" s="1"/>
      <c r="B16" s="113" t="s">
        <v>197</v>
      </c>
      <c r="C16" s="104"/>
      <c r="D16" s="104"/>
      <c r="E16" s="104"/>
      <c r="F16" s="411">
        <v>0.45</v>
      </c>
      <c r="G16" s="411">
        <v>0.44500000000000001</v>
      </c>
      <c r="H16" s="411">
        <v>0.44</v>
      </c>
      <c r="I16" s="411">
        <v>0.435</v>
      </c>
      <c r="J16" s="411">
        <v>0.43</v>
      </c>
      <c r="K16" s="411">
        <v>0.42499999999999999</v>
      </c>
      <c r="L16" s="96"/>
      <c r="M16" s="113" t="s">
        <v>197</v>
      </c>
      <c r="N16" s="104"/>
      <c r="O16" s="104"/>
      <c r="P16" s="104"/>
      <c r="Q16" s="427">
        <v>75</v>
      </c>
      <c r="R16" s="427">
        <v>75</v>
      </c>
      <c r="S16" s="427">
        <v>75</v>
      </c>
      <c r="T16" s="427">
        <v>76</v>
      </c>
      <c r="U16" s="427">
        <v>76</v>
      </c>
      <c r="V16" s="427">
        <v>76</v>
      </c>
      <c r="W16" s="370" t="s">
        <v>265</v>
      </c>
    </row>
    <row r="17" spans="1:23" ht="15.6">
      <c r="A17" s="1"/>
      <c r="B17" s="113" t="s">
        <v>199</v>
      </c>
      <c r="C17" s="104"/>
      <c r="D17" s="104"/>
      <c r="E17" s="104"/>
      <c r="F17" s="411">
        <f>F16+1%</f>
        <v>0.46</v>
      </c>
      <c r="G17" s="411">
        <f t="shared" ref="G17:K17" si="1">G16+1%</f>
        <v>0.45500000000000002</v>
      </c>
      <c r="H17" s="411">
        <f t="shared" si="1"/>
        <v>0.45</v>
      </c>
      <c r="I17" s="411">
        <f t="shared" si="1"/>
        <v>0.44500000000000001</v>
      </c>
      <c r="J17" s="411">
        <f t="shared" si="1"/>
        <v>0.44</v>
      </c>
      <c r="K17" s="411">
        <f t="shared" si="1"/>
        <v>0.435</v>
      </c>
      <c r="L17" s="25"/>
      <c r="M17" s="113" t="s">
        <v>199</v>
      </c>
      <c r="N17" s="104"/>
      <c r="O17" s="104"/>
      <c r="P17" s="104"/>
      <c r="Q17" s="427">
        <v>74</v>
      </c>
      <c r="R17" s="427">
        <v>74</v>
      </c>
      <c r="S17" s="427">
        <v>73</v>
      </c>
      <c r="T17" s="427">
        <v>73</v>
      </c>
      <c r="U17" s="427">
        <v>72</v>
      </c>
      <c r="V17" s="427">
        <v>72</v>
      </c>
      <c r="W17" s="370" t="s">
        <v>266</v>
      </c>
    </row>
    <row r="18" spans="1:23" ht="15.6">
      <c r="A18" s="1"/>
      <c r="B18" s="371"/>
      <c r="C18" s="403"/>
      <c r="D18" s="403"/>
      <c r="E18" s="403"/>
      <c r="F18" s="403"/>
      <c r="G18" s="403"/>
      <c r="H18" s="403"/>
      <c r="I18" s="98"/>
      <c r="J18" s="98"/>
      <c r="K18" s="98"/>
      <c r="L18" s="98"/>
      <c r="M18" s="98"/>
      <c r="N18" s="98"/>
      <c r="O18" s="25"/>
      <c r="P18" s="25"/>
      <c r="Q18" s="25"/>
    </row>
    <row r="19" spans="1:23" ht="15.6">
      <c r="A19" s="1"/>
      <c r="B19" s="115" t="s">
        <v>267</v>
      </c>
      <c r="C19" s="116"/>
      <c r="D19" s="116"/>
      <c r="E19" s="116"/>
      <c r="F19" s="410">
        <f>CHOOSE(Cover!$F$9, F20,F21,F22)</f>
        <v>8.5000000000000006E-2</v>
      </c>
      <c r="G19" s="410">
        <f>CHOOSE(Cover!$F$9, G20,G21,G22)</f>
        <v>8.5000000000000006E-2</v>
      </c>
      <c r="H19" s="410">
        <f>CHOOSE(Cover!$F$9, H20,H21,H22)</f>
        <v>0.08</v>
      </c>
      <c r="I19" s="410">
        <f>CHOOSE(Cover!$F$9, I20,I21,I22)</f>
        <v>0.08</v>
      </c>
      <c r="J19" s="410">
        <f>CHOOSE(Cover!$F$9, J20,J21,J22)</f>
        <v>7.4999999999999997E-2</v>
      </c>
      <c r="K19" s="410">
        <f>CHOOSE(Cover!$F$9, K20,K21,K22)</f>
        <v>7.4999999999999997E-2</v>
      </c>
      <c r="L19" s="404"/>
      <c r="M19" s="115" t="s">
        <v>268</v>
      </c>
      <c r="N19" s="116"/>
      <c r="O19" s="116"/>
      <c r="P19" s="116"/>
      <c r="Q19" s="430">
        <f>CHOOSE(Cover!$F$9, Q20,Q21,Q22)</f>
        <v>1.2E-2</v>
      </c>
      <c r="R19" s="430">
        <f>CHOOSE(Cover!$F$9, R20,R21,R22)</f>
        <v>1.2E-2</v>
      </c>
      <c r="S19" s="430">
        <f>CHOOSE(Cover!$F$9, S20,S21,S22)</f>
        <v>1.2E-2</v>
      </c>
      <c r="T19" s="430">
        <f>CHOOSE(Cover!$F$9, T20,T21,T22)</f>
        <v>1.2E-2</v>
      </c>
      <c r="U19" s="430">
        <f>CHOOSE(Cover!$F$9, U20,U21,U22)</f>
        <v>1.2E-2</v>
      </c>
      <c r="V19" s="430">
        <f>CHOOSE(Cover!$F$9, V20,V21,V22)</f>
        <v>1.2E-2</v>
      </c>
    </row>
    <row r="20" spans="1:23" ht="15.6">
      <c r="A20" s="1"/>
      <c r="B20" s="113" t="s">
        <v>195</v>
      </c>
      <c r="C20" s="104"/>
      <c r="D20" s="104"/>
      <c r="E20" s="104"/>
      <c r="F20" s="411">
        <v>0.08</v>
      </c>
      <c r="G20" s="411">
        <v>0.08</v>
      </c>
      <c r="H20" s="411">
        <v>7.4999999999999997E-2</v>
      </c>
      <c r="I20" s="411">
        <v>7.4999999999999997E-2</v>
      </c>
      <c r="J20" s="411">
        <v>7.0000000000000007E-2</v>
      </c>
      <c r="K20" s="411">
        <v>7.0000000000000007E-2</v>
      </c>
      <c r="L20" s="96"/>
      <c r="M20" s="113" t="s">
        <v>195</v>
      </c>
      <c r="N20" s="104"/>
      <c r="O20" s="104"/>
      <c r="P20" s="104"/>
      <c r="Q20" s="429">
        <v>1.2999999999999999E-2</v>
      </c>
      <c r="R20" s="429">
        <v>1.2999999999999999E-2</v>
      </c>
      <c r="S20" s="429">
        <v>1.2999999999999999E-2</v>
      </c>
      <c r="T20" s="429">
        <v>1.2999999999999999E-2</v>
      </c>
      <c r="U20" s="429">
        <v>1.2999999999999999E-2</v>
      </c>
      <c r="V20" s="429">
        <v>1.2999999999999999E-2</v>
      </c>
    </row>
    <row r="21" spans="1:23" ht="15.6">
      <c r="A21" s="1"/>
      <c r="B21" s="113" t="s">
        <v>197</v>
      </c>
      <c r="C21" s="104"/>
      <c r="D21" s="104"/>
      <c r="E21" s="104"/>
      <c r="F21" s="411">
        <v>8.5000000000000006E-2</v>
      </c>
      <c r="G21" s="411">
        <v>8.5000000000000006E-2</v>
      </c>
      <c r="H21" s="411">
        <v>0.08</v>
      </c>
      <c r="I21" s="411">
        <v>0.08</v>
      </c>
      <c r="J21" s="411">
        <v>7.4999999999999997E-2</v>
      </c>
      <c r="K21" s="411">
        <v>7.4999999999999997E-2</v>
      </c>
      <c r="L21" s="25"/>
      <c r="M21" s="113" t="s">
        <v>197</v>
      </c>
      <c r="N21" s="104"/>
      <c r="O21" s="104"/>
      <c r="P21" s="104"/>
      <c r="Q21" s="429">
        <v>1.2E-2</v>
      </c>
      <c r="R21" s="429">
        <v>1.2E-2</v>
      </c>
      <c r="S21" s="429">
        <v>1.2E-2</v>
      </c>
      <c r="T21" s="429">
        <v>1.2E-2</v>
      </c>
      <c r="U21" s="429">
        <v>1.2E-2</v>
      </c>
      <c r="V21" s="429">
        <v>1.2E-2</v>
      </c>
    </row>
    <row r="22" spans="1:23" ht="15.6">
      <c r="A22" s="1"/>
      <c r="B22" s="113" t="s">
        <v>199</v>
      </c>
      <c r="C22" s="104"/>
      <c r="D22" s="104"/>
      <c r="E22" s="104"/>
      <c r="F22" s="411">
        <v>0.09</v>
      </c>
      <c r="G22" s="411">
        <v>0.09</v>
      </c>
      <c r="H22" s="411">
        <v>8.5000000000000006E-2</v>
      </c>
      <c r="I22" s="411">
        <v>8.5000000000000006E-2</v>
      </c>
      <c r="J22" s="411">
        <v>0.08</v>
      </c>
      <c r="K22" s="411">
        <v>0.08</v>
      </c>
      <c r="L22" s="98"/>
      <c r="M22" s="113" t="s">
        <v>199</v>
      </c>
      <c r="N22" s="104"/>
      <c r="O22" s="104"/>
      <c r="P22" s="104"/>
      <c r="Q22" s="429">
        <v>1.0999999999999999E-2</v>
      </c>
      <c r="R22" s="429">
        <v>1.0999999999999999E-2</v>
      </c>
      <c r="S22" s="429">
        <v>1.0999999999999999E-2</v>
      </c>
      <c r="T22" s="429">
        <v>1.0999999999999999E-2</v>
      </c>
      <c r="U22" s="429">
        <v>1.0999999999999999E-2</v>
      </c>
      <c r="V22" s="429">
        <v>1.0999999999999999E-2</v>
      </c>
    </row>
    <row r="23" spans="1:23" ht="15.6">
      <c r="A23" s="1"/>
      <c r="B23" s="408"/>
      <c r="C23" s="402"/>
      <c r="D23" s="96"/>
      <c r="E23" s="96"/>
      <c r="F23" s="96"/>
      <c r="G23" s="96"/>
      <c r="H23" s="96"/>
      <c r="I23" s="404"/>
      <c r="J23" s="404"/>
      <c r="K23" s="404"/>
      <c r="L23" s="404"/>
      <c r="M23" s="404"/>
      <c r="N23" s="404"/>
      <c r="O23" s="25"/>
      <c r="P23" s="25"/>
      <c r="Q23" s="25"/>
    </row>
    <row r="24" spans="1:23" ht="15.6">
      <c r="A24" s="1"/>
      <c r="B24" s="115" t="s">
        <v>269</v>
      </c>
      <c r="C24" s="116"/>
      <c r="D24" s="116"/>
      <c r="E24" s="116"/>
      <c r="F24" s="410">
        <f>CHOOSE(Cover!$F$9, F25,F26,F27)</f>
        <v>0.01</v>
      </c>
      <c r="G24" s="410">
        <f>CHOOSE(Cover!$F$9, G25,G26,G27)</f>
        <v>0.01</v>
      </c>
      <c r="H24" s="410">
        <f>CHOOSE(Cover!$F$9, H25,H26,H27)</f>
        <v>8.0000000000000002E-3</v>
      </c>
      <c r="I24" s="410">
        <f>CHOOSE(Cover!$F$9, I25,I26,I27)</f>
        <v>8.0000000000000002E-3</v>
      </c>
      <c r="J24" s="410">
        <f>CHOOSE(Cover!$F$9, J25,J26,J27)</f>
        <v>7.0000000000000001E-3</v>
      </c>
      <c r="K24" s="410">
        <f>CHOOSE(Cover!$F$9, K25,K26,K27)</f>
        <v>7.0000000000000001E-3</v>
      </c>
      <c r="L24" s="96"/>
      <c r="M24" s="115" t="s">
        <v>270</v>
      </c>
      <c r="N24" s="116"/>
      <c r="O24" s="116"/>
      <c r="P24" s="116"/>
      <c r="Q24" s="430">
        <f>CHOOSE(Cover!$F$9, Q25,Q26,Q27)</f>
        <v>3.0000000000000001E-3</v>
      </c>
      <c r="R24" s="430">
        <f>CHOOSE(Cover!$F$9, R25,R26,R27)</f>
        <v>3.0000000000000001E-3</v>
      </c>
      <c r="S24" s="430">
        <f>CHOOSE(Cover!$F$9, S25,S26,S27)</f>
        <v>3.0000000000000001E-3</v>
      </c>
      <c r="T24" s="430">
        <f>CHOOSE(Cover!$F$9, T25,T26,T27)</f>
        <v>3.0000000000000001E-3</v>
      </c>
      <c r="U24" s="430">
        <f>CHOOSE(Cover!$F$9, U25,U26,U27)</f>
        <v>3.0000000000000001E-3</v>
      </c>
      <c r="V24" s="430">
        <f>CHOOSE(Cover!$F$9, V25,V26,V27)</f>
        <v>3.0000000000000001E-3</v>
      </c>
    </row>
    <row r="25" spans="1:23" ht="15.6">
      <c r="A25" s="1"/>
      <c r="B25" s="113" t="s">
        <v>195</v>
      </c>
      <c r="C25" s="104"/>
      <c r="D25" s="104"/>
      <c r="E25" s="104"/>
      <c r="F25" s="411">
        <v>8.0000000000000002E-3</v>
      </c>
      <c r="G25" s="411">
        <v>8.0000000000000002E-3</v>
      </c>
      <c r="H25" s="411">
        <v>6.0000000000000001E-3</v>
      </c>
      <c r="I25" s="411">
        <v>6.0000000000000001E-3</v>
      </c>
      <c r="J25" s="411">
        <v>5.0000000000000001E-3</v>
      </c>
      <c r="K25" s="411">
        <v>5.0000000000000001E-3</v>
      </c>
      <c r="L25" s="25"/>
      <c r="M25" s="113" t="s">
        <v>195</v>
      </c>
      <c r="N25" s="104"/>
      <c r="O25" s="104"/>
      <c r="P25" s="104"/>
      <c r="Q25" s="429">
        <v>4.0000000000000001E-3</v>
      </c>
      <c r="R25" s="429">
        <v>4.0000000000000001E-3</v>
      </c>
      <c r="S25" s="429">
        <v>4.0000000000000001E-3</v>
      </c>
      <c r="T25" s="429">
        <v>4.0000000000000001E-3</v>
      </c>
      <c r="U25" s="429">
        <v>4.0000000000000001E-3</v>
      </c>
      <c r="V25" s="429">
        <v>4.0000000000000001E-3</v>
      </c>
    </row>
    <row r="26" spans="1:23" ht="15.6">
      <c r="A26" s="27"/>
      <c r="B26" s="113" t="s">
        <v>197</v>
      </c>
      <c r="C26" s="104"/>
      <c r="D26" s="104"/>
      <c r="E26" s="104"/>
      <c r="F26" s="411">
        <v>0.01</v>
      </c>
      <c r="G26" s="411">
        <v>0.01</v>
      </c>
      <c r="H26" s="411">
        <v>8.0000000000000002E-3</v>
      </c>
      <c r="I26" s="411">
        <v>8.0000000000000002E-3</v>
      </c>
      <c r="J26" s="411">
        <v>7.0000000000000001E-3</v>
      </c>
      <c r="K26" s="411">
        <v>7.0000000000000001E-3</v>
      </c>
      <c r="L26" s="98"/>
      <c r="M26" s="113" t="s">
        <v>197</v>
      </c>
      <c r="N26" s="104"/>
      <c r="O26" s="104"/>
      <c r="P26" s="104"/>
      <c r="Q26" s="429">
        <v>3.0000000000000001E-3</v>
      </c>
      <c r="R26" s="429">
        <v>3.0000000000000001E-3</v>
      </c>
      <c r="S26" s="429">
        <v>3.0000000000000001E-3</v>
      </c>
      <c r="T26" s="429">
        <v>3.0000000000000001E-3</v>
      </c>
      <c r="U26" s="429">
        <v>3.0000000000000001E-3</v>
      </c>
      <c r="V26" s="429">
        <v>3.0000000000000001E-3</v>
      </c>
    </row>
    <row r="27" spans="1:23" ht="15.6">
      <c r="A27" s="27"/>
      <c r="B27" s="113" t="s">
        <v>199</v>
      </c>
      <c r="C27" s="104"/>
      <c r="D27" s="104"/>
      <c r="E27" s="104"/>
      <c r="F27" s="411">
        <v>1.2E-2</v>
      </c>
      <c r="G27" s="411">
        <v>1.2E-2</v>
      </c>
      <c r="H27" s="411">
        <v>0.01</v>
      </c>
      <c r="I27" s="411">
        <v>0.01</v>
      </c>
      <c r="J27" s="411">
        <v>8.9999999999999993E-3</v>
      </c>
      <c r="K27" s="411">
        <v>8.9999999999999993E-3</v>
      </c>
      <c r="L27" s="404"/>
      <c r="M27" s="113" t="s">
        <v>199</v>
      </c>
      <c r="N27" s="104"/>
      <c r="O27" s="104"/>
      <c r="P27" s="104"/>
      <c r="Q27" s="429">
        <v>2E-3</v>
      </c>
      <c r="R27" s="429">
        <v>2E-3</v>
      </c>
      <c r="S27" s="429">
        <v>2E-3</v>
      </c>
      <c r="T27" s="429">
        <v>2E-3</v>
      </c>
      <c r="U27" s="429">
        <v>2E-3</v>
      </c>
      <c r="V27" s="429">
        <v>2E-3</v>
      </c>
    </row>
    <row r="28" spans="1:23" ht="15.6">
      <c r="A28" s="27"/>
      <c r="B28" s="408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25"/>
      <c r="P28" s="25"/>
      <c r="Q28" s="25"/>
    </row>
    <row r="29" spans="1:23" ht="15.6">
      <c r="A29" s="27"/>
      <c r="B29" s="25"/>
      <c r="C29" s="25"/>
      <c r="D29" s="25"/>
      <c r="E29" s="25"/>
      <c r="F29" s="25"/>
      <c r="G29" s="25"/>
      <c r="H29" s="25"/>
      <c r="I29" s="98"/>
      <c r="J29" s="98"/>
      <c r="K29" s="98"/>
      <c r="L29" s="98"/>
      <c r="M29" s="115" t="s">
        <v>244</v>
      </c>
      <c r="N29" s="116"/>
      <c r="O29" s="116"/>
      <c r="P29" s="116"/>
      <c r="Q29" s="428">
        <f>CHOOSE(Cover!$F$9, Q30,Q31,Q32)</f>
        <v>22</v>
      </c>
      <c r="R29" s="428">
        <f>CHOOSE(Cover!$F$9, R30,R31,R32)</f>
        <v>22</v>
      </c>
      <c r="S29" s="428">
        <f>CHOOSE(Cover!$F$9, S30,S31,S32)</f>
        <v>23</v>
      </c>
      <c r="T29" s="428">
        <f>CHOOSE(Cover!$F$9, T30,T31,T32)</f>
        <v>23</v>
      </c>
      <c r="U29" s="428">
        <f>CHOOSE(Cover!$F$9, U30,U31,U32)</f>
        <v>24</v>
      </c>
      <c r="V29" s="428">
        <f>CHOOSE(Cover!$F$9, V30,V31,V32)</f>
        <v>24</v>
      </c>
    </row>
    <row r="30" spans="1:23" ht="15.6">
      <c r="A30" s="27"/>
      <c r="L30" s="409"/>
      <c r="M30" s="113" t="s">
        <v>195</v>
      </c>
      <c r="N30" s="104"/>
      <c r="O30" s="104"/>
      <c r="P30" s="104"/>
      <c r="Q30" s="427">
        <v>23</v>
      </c>
      <c r="R30" s="427">
        <v>23</v>
      </c>
      <c r="S30" s="427">
        <v>24</v>
      </c>
      <c r="T30" s="427">
        <v>24</v>
      </c>
      <c r="U30" s="427">
        <v>25</v>
      </c>
      <c r="V30" s="427">
        <v>25</v>
      </c>
      <c r="W30" s="370" t="s">
        <v>271</v>
      </c>
    </row>
    <row r="31" spans="1:23" ht="15.6">
      <c r="A31" s="27"/>
      <c r="L31" s="25"/>
      <c r="M31" s="113" t="s">
        <v>197</v>
      </c>
      <c r="N31" s="104"/>
      <c r="O31" s="104"/>
      <c r="P31" s="104"/>
      <c r="Q31" s="427">
        <v>22</v>
      </c>
      <c r="R31" s="427">
        <v>22</v>
      </c>
      <c r="S31" s="427">
        <v>23</v>
      </c>
      <c r="T31" s="427">
        <v>23</v>
      </c>
      <c r="U31" s="427">
        <v>24</v>
      </c>
      <c r="V31" s="427">
        <v>24</v>
      </c>
      <c r="W31" s="370" t="s">
        <v>272</v>
      </c>
    </row>
    <row r="32" spans="1:23" ht="15.6">
      <c r="A32" s="27"/>
      <c r="L32" s="25"/>
      <c r="M32" s="113" t="s">
        <v>199</v>
      </c>
      <c r="N32" s="104"/>
      <c r="O32" s="104"/>
      <c r="P32" s="104"/>
      <c r="Q32" s="427">
        <v>21</v>
      </c>
      <c r="R32" s="427">
        <v>21</v>
      </c>
      <c r="S32" s="427">
        <v>21</v>
      </c>
      <c r="T32" s="427">
        <v>22</v>
      </c>
      <c r="U32" s="427">
        <v>22</v>
      </c>
      <c r="V32" s="427">
        <v>22</v>
      </c>
      <c r="W32" s="370" t="s">
        <v>273</v>
      </c>
    </row>
    <row r="33" spans="1:24" ht="15.6">
      <c r="A33" s="27"/>
      <c r="L33" s="405"/>
      <c r="N33" s="405"/>
      <c r="O33" s="25"/>
      <c r="P33" s="25"/>
      <c r="Q33" s="25"/>
    </row>
    <row r="34" spans="1:24" ht="15.6">
      <c r="A34" s="27"/>
      <c r="L34" s="25"/>
      <c r="M34" s="115" t="s">
        <v>274</v>
      </c>
      <c r="N34" s="116"/>
      <c r="O34" s="116"/>
      <c r="P34" s="116"/>
      <c r="Q34" s="430">
        <f>CHOOSE(Cover!$F$9, Q35,Q36,Q37)</f>
        <v>9.2999999999999999E-2</v>
      </c>
      <c r="R34" s="430">
        <f>CHOOSE(Cover!$F$9, R35,R36,R37)</f>
        <v>9.2999999999999999E-2</v>
      </c>
      <c r="S34" s="430">
        <f>CHOOSE(Cover!$F$9, S35,S36,S37)</f>
        <v>0.09</v>
      </c>
      <c r="T34" s="430">
        <f>CHOOSE(Cover!$F$9, T35,T36,T37)</f>
        <v>0.09</v>
      </c>
      <c r="U34" s="430">
        <f>CHOOSE(Cover!$F$9, U35,U36,U37)</f>
        <v>0.09</v>
      </c>
      <c r="V34" s="430">
        <f>CHOOSE(Cover!$F$9, V35,V36,V37)</f>
        <v>0.09</v>
      </c>
    </row>
    <row r="35" spans="1:24" ht="15.6">
      <c r="A35" s="27"/>
      <c r="L35" s="19"/>
      <c r="M35" s="113" t="s">
        <v>195</v>
      </c>
      <c r="N35" s="104"/>
      <c r="O35" s="104"/>
      <c r="P35" s="104"/>
      <c r="Q35" s="429">
        <v>9.5000000000000001E-2</v>
      </c>
      <c r="R35" s="429">
        <v>9.5000000000000001E-2</v>
      </c>
      <c r="S35" s="429">
        <v>9.2999999999999999E-2</v>
      </c>
      <c r="T35" s="429">
        <v>9.2999999999999999E-2</v>
      </c>
      <c r="U35" s="429">
        <v>9.2999999999999999E-2</v>
      </c>
      <c r="V35" s="429">
        <v>9.2999999999999999E-2</v>
      </c>
    </row>
    <row r="36" spans="1:24" ht="15.6">
      <c r="A36" s="27"/>
      <c r="B36" s="371"/>
      <c r="C36" s="98"/>
      <c r="D36" s="98"/>
      <c r="E36" s="98"/>
      <c r="F36" s="98"/>
      <c r="G36" s="98"/>
      <c r="H36" s="98"/>
      <c r="I36" s="17"/>
      <c r="J36" s="17"/>
      <c r="K36" s="17"/>
      <c r="L36" s="17"/>
      <c r="M36" s="113" t="s">
        <v>197</v>
      </c>
      <c r="N36" s="104"/>
      <c r="O36" s="104"/>
      <c r="P36" s="104"/>
      <c r="Q36" s="429">
        <v>9.2999999999999999E-2</v>
      </c>
      <c r="R36" s="429">
        <v>9.2999999999999999E-2</v>
      </c>
      <c r="S36" s="429">
        <v>0.09</v>
      </c>
      <c r="T36" s="429">
        <v>0.09</v>
      </c>
      <c r="U36" s="429">
        <v>0.09</v>
      </c>
      <c r="V36" s="429">
        <v>0.09</v>
      </c>
    </row>
    <row r="37" spans="1:24" ht="15.6">
      <c r="A37" s="1"/>
      <c r="B37" s="371"/>
      <c r="C37" s="98"/>
      <c r="D37" s="98"/>
      <c r="E37" s="98"/>
      <c r="F37" s="98"/>
      <c r="G37" s="98"/>
      <c r="H37" s="98"/>
      <c r="I37" s="17"/>
      <c r="J37" s="17"/>
      <c r="K37" s="17"/>
      <c r="L37" s="19"/>
      <c r="M37" s="113" t="s">
        <v>199</v>
      </c>
      <c r="N37" s="104"/>
      <c r="O37" s="104"/>
      <c r="P37" s="104"/>
      <c r="Q37" s="429">
        <v>0.09</v>
      </c>
      <c r="R37" s="429">
        <v>0.09</v>
      </c>
      <c r="S37" s="429">
        <v>8.6999999999999994E-2</v>
      </c>
      <c r="T37" s="429">
        <v>8.6999999999999994E-2</v>
      </c>
      <c r="U37" s="429">
        <v>8.6999999999999994E-2</v>
      </c>
      <c r="V37" s="429">
        <v>8.6999999999999994E-2</v>
      </c>
    </row>
    <row r="38" spans="1:24" ht="15.6">
      <c r="A38" s="1"/>
      <c r="B38" s="62" t="s">
        <v>249</v>
      </c>
      <c r="C38" s="222"/>
      <c r="D38" s="222"/>
      <c r="E38" s="222"/>
      <c r="F38" s="223"/>
      <c r="G38" s="223"/>
      <c r="H38" s="223"/>
      <c r="I38" s="223"/>
      <c r="J38" s="223"/>
      <c r="K38" s="223"/>
      <c r="L38" s="17"/>
      <c r="M38" s="17"/>
      <c r="N38" s="17"/>
      <c r="O38" s="17"/>
      <c r="P38" s="25"/>
      <c r="Q38" s="25"/>
    </row>
    <row r="39" spans="1:24" ht="15.6">
      <c r="A39" s="1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19"/>
      <c r="M39" s="17"/>
      <c r="N39" s="17"/>
      <c r="O39" s="17"/>
      <c r="P39" s="25"/>
      <c r="Q39" s="25"/>
    </row>
    <row r="40" spans="1:24" ht="15.6">
      <c r="A40" s="1"/>
      <c r="B40" s="115" t="s">
        <v>275</v>
      </c>
      <c r="C40" s="116"/>
      <c r="D40" s="116"/>
      <c r="E40" s="116"/>
      <c r="F40" s="410">
        <f>CHOOSE(Cover!$F$9, F41,F42,F43)</f>
        <v>0.12</v>
      </c>
      <c r="G40" s="410">
        <f>CHOOSE(Cover!$F$9, G41,G42,G43)</f>
        <v>0.1</v>
      </c>
      <c r="H40" s="410">
        <f>CHOOSE(Cover!$F$9, H41,H42,H43)</f>
        <v>0.08</v>
      </c>
      <c r="I40" s="410">
        <f>CHOOSE(Cover!$F$9, I41,I42,I43)</f>
        <v>0.08</v>
      </c>
      <c r="J40" s="410">
        <f>CHOOSE(Cover!$F$9, J41,J42,J43)</f>
        <v>0.08</v>
      </c>
      <c r="K40" s="410">
        <f>CHOOSE(Cover!$F$9, K41,K42,K43)</f>
        <v>0.08</v>
      </c>
      <c r="L40" s="17"/>
      <c r="M40" s="17"/>
      <c r="N40" s="17"/>
      <c r="O40" s="17"/>
      <c r="P40" s="25"/>
      <c r="Q40" s="25"/>
    </row>
    <row r="41" spans="1:24" ht="15.6">
      <c r="A41" s="1"/>
      <c r="B41" s="113" t="s">
        <v>195</v>
      </c>
      <c r="C41" s="104"/>
      <c r="D41" s="104"/>
      <c r="E41" s="104"/>
      <c r="F41" s="411">
        <v>0.13</v>
      </c>
      <c r="G41" s="411">
        <v>0.13</v>
      </c>
      <c r="H41" s="411">
        <v>0.09</v>
      </c>
      <c r="I41" s="411">
        <v>0.09</v>
      </c>
      <c r="J41" s="411">
        <v>0.09</v>
      </c>
      <c r="K41" s="411">
        <v>0.09</v>
      </c>
      <c r="L41" s="27" t="s">
        <v>276</v>
      </c>
      <c r="M41" s="17"/>
      <c r="N41" s="17"/>
      <c r="O41" s="17"/>
      <c r="P41" s="25"/>
      <c r="Q41" s="25"/>
    </row>
    <row r="42" spans="1:24" ht="15.6">
      <c r="A42" s="1"/>
      <c r="B42" s="113" t="s">
        <v>197</v>
      </c>
      <c r="C42" s="104"/>
      <c r="D42" s="104"/>
      <c r="E42" s="104"/>
      <c r="F42" s="411">
        <v>0.12</v>
      </c>
      <c r="G42" s="411">
        <v>0.1</v>
      </c>
      <c r="H42" s="411">
        <v>0.08</v>
      </c>
      <c r="I42" s="411">
        <v>0.08</v>
      </c>
      <c r="J42" s="411">
        <v>0.08</v>
      </c>
      <c r="K42" s="411">
        <v>0.08</v>
      </c>
      <c r="L42" s="27" t="s">
        <v>277</v>
      </c>
      <c r="M42" s="27"/>
      <c r="N42" s="27"/>
      <c r="O42" s="27"/>
      <c r="P42" s="25"/>
      <c r="Q42" s="25"/>
    </row>
    <row r="43" spans="1:24" ht="15.6">
      <c r="A43" s="1"/>
      <c r="B43" s="113" t="s">
        <v>199</v>
      </c>
      <c r="C43" s="104"/>
      <c r="D43" s="104"/>
      <c r="E43" s="104"/>
      <c r="F43" s="411">
        <v>0.11</v>
      </c>
      <c r="G43" s="411">
        <v>0.11</v>
      </c>
      <c r="H43" s="411">
        <v>7.0000000000000007E-2</v>
      </c>
      <c r="I43" s="411">
        <v>7.0000000000000007E-2</v>
      </c>
      <c r="J43" s="411">
        <v>7.0000000000000007E-2</v>
      </c>
      <c r="K43" s="411">
        <v>7.0000000000000007E-2</v>
      </c>
      <c r="L43" s="27" t="s">
        <v>278</v>
      </c>
      <c r="M43" s="27"/>
      <c r="N43" s="27"/>
      <c r="O43" s="27"/>
      <c r="P43" s="27"/>
      <c r="Q43" s="27"/>
      <c r="R43" s="1"/>
      <c r="S43" s="1"/>
      <c r="T43" s="1"/>
      <c r="U43" s="1"/>
      <c r="V43" s="1"/>
      <c r="W43" s="1"/>
      <c r="X43" s="1"/>
    </row>
    <row r="44" spans="1:24" ht="15.6">
      <c r="A44" s="1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/>
      <c r="S44" s="1"/>
      <c r="T44" s="1"/>
      <c r="U44" s="1"/>
      <c r="V44" s="1"/>
      <c r="W44" s="1"/>
      <c r="X44" s="1"/>
    </row>
    <row r="45" spans="1:24" ht="15.6">
      <c r="A45" s="1"/>
      <c r="B45" s="115" t="s">
        <v>279</v>
      </c>
      <c r="C45" s="116"/>
      <c r="D45" s="116"/>
      <c r="E45" s="116"/>
      <c r="F45" s="410">
        <f>CHOOSE(Cover!$F$9, F46,F47,F48)</f>
        <v>1E-3</v>
      </c>
      <c r="G45" s="410">
        <f>CHOOSE(Cover!$F$9, G46,G47,G48)</f>
        <v>1E-3</v>
      </c>
      <c r="H45" s="410">
        <f>CHOOSE(Cover!$F$9, H46,H47,H48)</f>
        <v>1E-3</v>
      </c>
      <c r="I45" s="410">
        <f>CHOOSE(Cover!$F$9, I46,I47,I48)</f>
        <v>1.5E-3</v>
      </c>
      <c r="J45" s="410">
        <f>CHOOSE(Cover!$F$9, J46,J47,J48)</f>
        <v>1.5E-3</v>
      </c>
      <c r="K45" s="410">
        <f>CHOOSE(Cover!$F$9, K46,K47,K48)</f>
        <v>1.5E-3</v>
      </c>
      <c r="L45" s="27"/>
      <c r="M45" s="27"/>
      <c r="N45" s="27"/>
      <c r="O45" s="27"/>
      <c r="P45" s="27"/>
      <c r="Q45" s="27"/>
      <c r="R45" s="1"/>
      <c r="S45" s="1"/>
      <c r="T45" s="1"/>
      <c r="U45" s="1"/>
      <c r="V45" s="1"/>
      <c r="W45" s="1"/>
      <c r="X45" s="1"/>
    </row>
    <row r="46" spans="1:24" ht="15.6">
      <c r="A46" s="1"/>
      <c r="B46" s="113" t="s">
        <v>195</v>
      </c>
      <c r="C46" s="104"/>
      <c r="D46" s="104"/>
      <c r="E46" s="104"/>
      <c r="F46" s="411">
        <v>5.0000000000000001E-4</v>
      </c>
      <c r="G46" s="411">
        <v>5.0000000000000001E-4</v>
      </c>
      <c r="H46" s="411">
        <v>5.0000000000000001E-4</v>
      </c>
      <c r="I46" s="411">
        <v>5.0000000000000001E-4</v>
      </c>
      <c r="J46" s="411">
        <v>5.0000000000000001E-4</v>
      </c>
      <c r="K46" s="411">
        <v>5.0000000000000001E-4</v>
      </c>
      <c r="L46" s="27"/>
      <c r="M46" s="27"/>
      <c r="N46" s="27"/>
      <c r="O46" s="27"/>
      <c r="P46" s="27"/>
      <c r="Q46" s="27"/>
      <c r="R46" s="1"/>
      <c r="S46" s="1"/>
      <c r="T46" s="1"/>
      <c r="U46" s="1"/>
      <c r="V46" s="1"/>
      <c r="W46" s="1"/>
      <c r="X46" s="1"/>
    </row>
    <row r="47" spans="1:24" ht="15.6">
      <c r="A47" s="1"/>
      <c r="B47" s="113" t="s">
        <v>197</v>
      </c>
      <c r="C47" s="104"/>
      <c r="D47" s="104"/>
      <c r="E47" s="104"/>
      <c r="F47" s="411">
        <v>1E-3</v>
      </c>
      <c r="G47" s="411">
        <v>1E-3</v>
      </c>
      <c r="H47" s="411">
        <v>1E-3</v>
      </c>
      <c r="I47" s="411">
        <v>1.5E-3</v>
      </c>
      <c r="J47" s="411">
        <v>1.5E-3</v>
      </c>
      <c r="K47" s="411">
        <v>1.5E-3</v>
      </c>
      <c r="L47" s="27"/>
      <c r="M47" s="27"/>
      <c r="N47" s="27"/>
      <c r="O47" s="27"/>
      <c r="P47" s="27"/>
      <c r="Q47" s="27"/>
      <c r="R47" s="1"/>
      <c r="S47" s="1"/>
      <c r="T47" s="1"/>
      <c r="U47" s="1"/>
      <c r="V47" s="1"/>
      <c r="W47" s="1"/>
      <c r="X47" s="1"/>
    </row>
    <row r="48" spans="1:24" ht="15.6">
      <c r="A48" s="1"/>
      <c r="B48" s="113" t="s">
        <v>199</v>
      </c>
      <c r="C48" s="104"/>
      <c r="D48" s="104"/>
      <c r="E48" s="104"/>
      <c r="F48" s="411">
        <v>1.5E-3</v>
      </c>
      <c r="G48" s="411">
        <v>1.5E-3</v>
      </c>
      <c r="H48" s="411">
        <v>1.5E-3</v>
      </c>
      <c r="I48" s="411">
        <v>2E-3</v>
      </c>
      <c r="J48" s="411">
        <v>2E-3</v>
      </c>
      <c r="K48" s="411">
        <v>2E-3</v>
      </c>
      <c r="L48" s="27"/>
      <c r="M48" s="27"/>
      <c r="N48" s="27"/>
      <c r="O48" s="27"/>
      <c r="P48" s="27"/>
      <c r="Q48" s="27"/>
      <c r="R48" s="1"/>
      <c r="S48" s="1"/>
      <c r="T48" s="1"/>
      <c r="U48" s="1"/>
      <c r="V48" s="1"/>
      <c r="W48" s="1"/>
      <c r="X48" s="1"/>
    </row>
    <row r="49" spans="1:24" ht="15.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5.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5.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5.6">
      <c r="A53" s="1"/>
      <c r="B53" s="1"/>
      <c r="C53" s="1"/>
      <c r="D53" s="1"/>
      <c r="E53" s="1"/>
      <c r="F53" s="1"/>
      <c r="G53" s="1"/>
      <c r="H53" s="1"/>
      <c r="I53" s="1"/>
    </row>
    <row r="54" spans="1:24" ht="15.6">
      <c r="A54" s="1"/>
      <c r="B54" s="1"/>
      <c r="C54" s="1"/>
      <c r="D54" s="1"/>
      <c r="E54" s="1"/>
      <c r="F54" s="1"/>
      <c r="G54" s="1"/>
      <c r="H54" s="1"/>
      <c r="I54" s="1"/>
    </row>
    <row r="55" spans="1:24" ht="15.6">
      <c r="A55" s="1"/>
      <c r="B55" s="1"/>
      <c r="C55" s="1"/>
      <c r="D55" s="1"/>
      <c r="E55" s="1"/>
      <c r="F55" s="1"/>
      <c r="G55" s="1"/>
      <c r="H55" s="1"/>
      <c r="I55" s="1"/>
    </row>
    <row r="56" spans="1:24" ht="15.6">
      <c r="A56" s="1"/>
      <c r="B56" s="1"/>
      <c r="C56" s="1"/>
      <c r="D56" s="1"/>
      <c r="E56" s="1"/>
      <c r="F56" s="1"/>
      <c r="G56" s="1"/>
      <c r="H56" s="1"/>
      <c r="I56" s="1"/>
    </row>
    <row r="57" spans="1:24" ht="15.6">
      <c r="A57" s="1"/>
      <c r="B57" s="1"/>
      <c r="C57" s="1"/>
      <c r="D57" s="1"/>
      <c r="E57" s="1"/>
      <c r="F57" s="1"/>
      <c r="G57" s="1"/>
      <c r="H57" s="1"/>
      <c r="I57" s="1"/>
    </row>
    <row r="58" spans="1:24" ht="15.6">
      <c r="A58" s="1"/>
      <c r="B58" s="1"/>
      <c r="C58" s="1"/>
      <c r="D58" s="1"/>
      <c r="E58" s="1"/>
      <c r="F58" s="1"/>
      <c r="G58" s="1"/>
      <c r="H58" s="1"/>
      <c r="I58" s="1"/>
    </row>
    <row r="59" spans="1:24" ht="15.6">
      <c r="A59" s="1"/>
      <c r="B59" s="1"/>
      <c r="C59" s="1"/>
      <c r="D59" s="1"/>
      <c r="E59" s="1"/>
      <c r="F59" s="1"/>
      <c r="G59" s="1"/>
      <c r="H59" s="1"/>
      <c r="I59" s="1"/>
    </row>
    <row r="60" spans="1:24" ht="15.6">
      <c r="A60" s="1"/>
      <c r="B60" s="1"/>
      <c r="C60" s="1"/>
      <c r="D60" s="1"/>
      <c r="E60" s="1"/>
      <c r="F60" s="1"/>
      <c r="G60" s="1"/>
      <c r="H60" s="1"/>
      <c r="I60" s="1"/>
    </row>
    <row r="61" spans="1:24" ht="15.6">
      <c r="A61" s="1"/>
      <c r="B61" s="1"/>
      <c r="C61" s="1"/>
      <c r="D61" s="1"/>
      <c r="E61" s="1"/>
      <c r="F61" s="1"/>
      <c r="G61" s="1"/>
      <c r="H61" s="1"/>
      <c r="I61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991"/>
  <sheetViews>
    <sheetView showGridLines="0" tabSelected="1" topLeftCell="G7" zoomScale="70" zoomScaleNormal="52" workbookViewId="0">
      <selection activeCell="T25" sqref="T25"/>
    </sheetView>
  </sheetViews>
  <sheetFormatPr defaultColWidth="14.42578125" defaultRowHeight="15" customHeight="1"/>
  <cols>
    <col min="1" max="1" width="8.42578125" style="2" customWidth="1"/>
    <col min="2" max="2" width="23.42578125" style="2" customWidth="1"/>
    <col min="3" max="3" width="14.7109375" style="2" customWidth="1"/>
    <col min="4" max="4" width="13.140625" style="2" customWidth="1"/>
    <col min="5" max="12" width="11.5703125" style="2" customWidth="1"/>
    <col min="13" max="13" width="7.42578125" style="2" customWidth="1"/>
    <col min="14" max="14" width="12.42578125" style="2" customWidth="1"/>
    <col min="15" max="15" width="13.85546875" style="2" customWidth="1"/>
    <col min="16" max="16" width="15.7109375" style="2" customWidth="1"/>
    <col min="17" max="17" width="19.140625" style="2" customWidth="1"/>
    <col min="18" max="18" width="9.7109375" style="2" customWidth="1"/>
    <col min="19" max="19" width="7.42578125" style="2" customWidth="1"/>
    <col min="20" max="20" width="19.7109375" style="2" customWidth="1"/>
    <col min="21" max="21" width="14.28515625" style="2" bestFit="1" customWidth="1"/>
    <col min="22" max="26" width="7.42578125" style="2" customWidth="1"/>
    <col min="27" max="16384" width="14.42578125" style="2"/>
  </cols>
  <sheetData>
    <row r="1" spans="1:26" ht="12.7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6.1">
      <c r="A2" s="3"/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3"/>
      <c r="B3" s="61" t="s">
        <v>280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2.75" customHeight="1">
      <c r="B4" s="57" t="s">
        <v>10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</row>
    <row r="5" spans="1:26" ht="12.75" customHeight="1"/>
    <row r="6" spans="1:26" ht="12.75" customHeight="1"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26" ht="12.75" customHeight="1">
      <c r="B7" s="73"/>
      <c r="C7" s="73"/>
      <c r="D7" s="74" t="s">
        <v>281</v>
      </c>
      <c r="E7" s="74" t="s">
        <v>282</v>
      </c>
      <c r="F7" s="73"/>
      <c r="G7" s="73"/>
      <c r="H7" s="75"/>
      <c r="I7" s="132"/>
      <c r="J7" s="132"/>
      <c r="K7" s="132"/>
      <c r="L7" s="132"/>
      <c r="M7" s="73"/>
      <c r="N7" s="74" t="s">
        <v>283</v>
      </c>
      <c r="O7" s="74" t="s">
        <v>62</v>
      </c>
      <c r="Q7" s="74" t="s">
        <v>62</v>
      </c>
      <c r="R7" s="74"/>
    </row>
    <row r="8" spans="1:26" ht="12.75" customHeight="1">
      <c r="B8" s="73"/>
      <c r="C8" s="74"/>
      <c r="D8" s="74" t="s">
        <v>284</v>
      </c>
      <c r="E8" s="74" t="s">
        <v>285</v>
      </c>
      <c r="F8" s="74" t="s">
        <v>286</v>
      </c>
      <c r="G8" s="74" t="s">
        <v>287</v>
      </c>
      <c r="H8" s="75"/>
      <c r="I8" s="74" t="s">
        <v>283</v>
      </c>
      <c r="J8" s="74"/>
      <c r="K8" s="74" t="s">
        <v>283</v>
      </c>
      <c r="L8" s="74"/>
      <c r="M8" s="74"/>
      <c r="N8" s="76" t="s">
        <v>56</v>
      </c>
      <c r="O8" s="76" t="s">
        <v>144</v>
      </c>
      <c r="Q8" s="76" t="s">
        <v>144</v>
      </c>
      <c r="R8" s="76" t="s">
        <v>143</v>
      </c>
    </row>
    <row r="9" spans="1:26" ht="12.75" customHeight="1">
      <c r="B9" s="77" t="s">
        <v>288</v>
      </c>
      <c r="C9" s="78" t="s">
        <v>289</v>
      </c>
      <c r="D9" s="79" t="s">
        <v>290</v>
      </c>
      <c r="E9" s="80" t="s">
        <v>291</v>
      </c>
      <c r="F9" s="78" t="s">
        <v>292</v>
      </c>
      <c r="G9" s="78" t="s">
        <v>292</v>
      </c>
      <c r="H9" s="81"/>
      <c r="I9" s="78" t="s">
        <v>293</v>
      </c>
      <c r="J9" s="78"/>
      <c r="K9" s="78" t="s">
        <v>294</v>
      </c>
      <c r="L9" s="78"/>
      <c r="M9" s="78"/>
      <c r="N9" s="82" t="s">
        <v>295</v>
      </c>
      <c r="O9" s="82" t="s">
        <v>56</v>
      </c>
      <c r="P9" s="82" t="s">
        <v>148</v>
      </c>
      <c r="Q9" s="82" t="s">
        <v>149</v>
      </c>
      <c r="R9" s="82" t="s">
        <v>148</v>
      </c>
    </row>
    <row r="10" spans="1:26" ht="12.75" customHeight="1">
      <c r="B10" s="83"/>
      <c r="C10" s="74"/>
      <c r="D10" s="84"/>
      <c r="E10" s="84"/>
      <c r="F10" s="87"/>
      <c r="G10" s="73"/>
      <c r="H10" s="73"/>
      <c r="I10" s="73"/>
      <c r="J10" s="73"/>
      <c r="K10" s="73"/>
      <c r="L10" s="73"/>
      <c r="M10" s="73"/>
      <c r="N10" s="73"/>
      <c r="O10" s="73"/>
    </row>
    <row r="11" spans="1:26" ht="12.75" customHeight="1">
      <c r="B11" s="73" t="s">
        <v>296</v>
      </c>
      <c r="C11" s="73" t="s">
        <v>1</v>
      </c>
      <c r="D11" s="441">
        <v>33.72</v>
      </c>
      <c r="E11" s="442">
        <v>0.77268560952999998</v>
      </c>
      <c r="F11" s="441">
        <v>9551</v>
      </c>
      <c r="G11" s="441">
        <v>8376</v>
      </c>
      <c r="H11" s="443"/>
      <c r="I11" s="444">
        <v>0.94</v>
      </c>
      <c r="J11" s="445"/>
      <c r="K11" s="445">
        <v>10.16</v>
      </c>
      <c r="L11" s="445"/>
      <c r="M11" s="445"/>
      <c r="N11" s="509">
        <v>0.115</v>
      </c>
      <c r="O11" s="510">
        <v>1.31</v>
      </c>
      <c r="P11" s="501">
        <f>'Factset Custom Comps'!P4</f>
        <v>0.34921200000000002</v>
      </c>
      <c r="Q11" s="502">
        <f>'Factset Custom Comps'!L4/100</f>
        <v>0.26821889999999998</v>
      </c>
      <c r="R11" s="503">
        <f>P11/(1+((1-0.28)*Q11))</f>
        <v>0.29268866510601366</v>
      </c>
    </row>
    <row r="12" spans="1:26" ht="12.75" customHeight="1">
      <c r="B12" s="85"/>
      <c r="C12" s="86"/>
      <c r="D12" s="448"/>
      <c r="E12" s="448"/>
      <c r="F12" s="449"/>
      <c r="G12" s="449"/>
      <c r="H12" s="450"/>
      <c r="I12" s="450"/>
      <c r="J12" s="450"/>
      <c r="K12" s="450"/>
      <c r="L12" s="450"/>
      <c r="M12" s="451"/>
      <c r="N12" s="451"/>
      <c r="O12" s="448"/>
      <c r="P12" s="448"/>
      <c r="Q12" s="448"/>
      <c r="R12" s="452"/>
    </row>
    <row r="13" spans="1:26" ht="12.75" customHeight="1">
      <c r="B13" s="194" t="s">
        <v>297</v>
      </c>
      <c r="C13" s="195"/>
      <c r="D13" s="511"/>
      <c r="E13" s="453"/>
      <c r="F13" s="454"/>
      <c r="G13" s="454"/>
      <c r="H13" s="453"/>
      <c r="I13" s="453"/>
      <c r="J13" s="453"/>
      <c r="K13" s="453"/>
      <c r="L13" s="453"/>
      <c r="M13" s="453"/>
      <c r="N13" s="453"/>
      <c r="O13" s="453"/>
      <c r="P13" s="453"/>
      <c r="Q13" s="453"/>
      <c r="R13" s="453"/>
    </row>
    <row r="14" spans="1:26" ht="12.75" customHeight="1">
      <c r="B14" s="85" t="s">
        <v>298</v>
      </c>
      <c r="C14" s="101" t="s">
        <v>299</v>
      </c>
      <c r="D14" s="441">
        <v>92.7</v>
      </c>
      <c r="E14" s="442">
        <f xml:space="preserve"> 92.7 / 104.82</f>
        <v>0.88437321121923307</v>
      </c>
      <c r="F14" s="441">
        <v>105610</v>
      </c>
      <c r="G14" s="441">
        <v>118644</v>
      </c>
      <c r="H14" s="443"/>
      <c r="I14" s="444">
        <v>3.02</v>
      </c>
      <c r="J14" s="445"/>
      <c r="K14" s="445">
        <v>24.97</v>
      </c>
      <c r="L14" s="445"/>
      <c r="M14" s="445"/>
      <c r="N14" s="442">
        <v>8.8999999999999996E-2</v>
      </c>
      <c r="O14" s="445">
        <v>7.64</v>
      </c>
      <c r="P14" s="446">
        <f>'Factset Custom Comps'!P5</f>
        <v>1.1630990000000001</v>
      </c>
      <c r="Q14" s="445" t="s">
        <v>300</v>
      </c>
      <c r="R14" s="452"/>
    </row>
    <row r="15" spans="1:26" ht="12.75" customHeight="1">
      <c r="B15" s="85" t="s">
        <v>301</v>
      </c>
      <c r="C15" s="85" t="s">
        <v>302</v>
      </c>
      <c r="D15" s="441">
        <v>159.16</v>
      </c>
      <c r="E15" s="442">
        <f xml:space="preserve"> D15 / 169.39</f>
        <v>0.93960682448786825</v>
      </c>
      <c r="F15" s="441">
        <v>44000</v>
      </c>
      <c r="G15" s="441">
        <v>55545</v>
      </c>
      <c r="H15" s="443"/>
      <c r="I15" s="444">
        <v>6.02</v>
      </c>
      <c r="J15" s="445"/>
      <c r="K15" s="445">
        <v>20.14</v>
      </c>
      <c r="L15" s="445"/>
      <c r="M15" s="445"/>
      <c r="N15" s="442">
        <v>0.309</v>
      </c>
      <c r="O15" s="445">
        <v>5.2</v>
      </c>
      <c r="P15" s="446">
        <f>'Factset Custom Comps'!P6</f>
        <v>0.439666</v>
      </c>
      <c r="Q15" s="445" t="s">
        <v>300</v>
      </c>
      <c r="R15" s="452"/>
    </row>
    <row r="16" spans="1:26" ht="12.75" customHeight="1">
      <c r="B16" s="85"/>
      <c r="C16" s="85"/>
      <c r="D16" s="455"/>
      <c r="E16" s="456"/>
      <c r="F16" s="455"/>
      <c r="G16" s="455"/>
      <c r="H16" s="457"/>
      <c r="I16" s="458"/>
      <c r="J16" s="458"/>
      <c r="K16" s="458"/>
      <c r="L16" s="458"/>
      <c r="M16" s="458"/>
      <c r="N16" s="456"/>
      <c r="O16" s="458"/>
      <c r="P16" s="458"/>
      <c r="Q16" s="458"/>
      <c r="R16" s="452"/>
    </row>
    <row r="17" spans="1:30" ht="12.75" customHeight="1">
      <c r="B17" s="88"/>
      <c r="C17" s="89"/>
      <c r="D17" s="488"/>
      <c r="E17" s="89"/>
      <c r="F17" s="89"/>
      <c r="G17" s="488"/>
      <c r="H17" s="74"/>
      <c r="I17" s="459"/>
      <c r="J17" s="459"/>
      <c r="K17" s="459"/>
      <c r="L17" s="459"/>
      <c r="M17" s="459"/>
      <c r="N17" s="460"/>
      <c r="O17" s="459"/>
      <c r="P17" s="459"/>
      <c r="Q17" s="459"/>
      <c r="R17" s="452"/>
    </row>
    <row r="18" spans="1:30" ht="12.75" customHeight="1">
      <c r="B18" s="194" t="s">
        <v>303</v>
      </c>
      <c r="C18" s="194"/>
      <c r="D18" s="512"/>
      <c r="E18" s="461"/>
      <c r="F18" s="461"/>
      <c r="G18" s="512"/>
      <c r="H18" s="461"/>
      <c r="I18" s="461"/>
      <c r="J18" s="461"/>
      <c r="K18" s="461"/>
      <c r="L18" s="461"/>
      <c r="M18" s="461"/>
      <c r="N18" s="461"/>
      <c r="O18" s="461"/>
      <c r="P18" s="461"/>
      <c r="Q18" s="461"/>
      <c r="R18" s="461"/>
    </row>
    <row r="19" spans="1:30" ht="12.75" customHeight="1">
      <c r="B19" s="85" t="s">
        <v>304</v>
      </c>
      <c r="C19" s="101" t="s">
        <v>305</v>
      </c>
      <c r="D19" s="441">
        <v>51.33</v>
      </c>
      <c r="E19" s="442">
        <f xml:space="preserve"> 51.33 / 77.88</f>
        <v>0.65909090909090906</v>
      </c>
      <c r="F19" s="441">
        <v>8450</v>
      </c>
      <c r="G19" s="441">
        <v>9089</v>
      </c>
      <c r="H19" s="443"/>
      <c r="I19" s="444">
        <v>4.22</v>
      </c>
      <c r="J19" s="445"/>
      <c r="K19" s="445">
        <v>28.72</v>
      </c>
      <c r="L19" s="445"/>
      <c r="M19" s="445"/>
      <c r="N19" s="442">
        <v>9.8000000000000004E-2</v>
      </c>
      <c r="O19" s="445">
        <v>6.76</v>
      </c>
      <c r="P19" s="446">
        <f>'Factset Custom Comps'!P7</f>
        <v>1.84128</v>
      </c>
      <c r="Q19" s="447">
        <f>'Factset Custom Comps'!L7/100</f>
        <v>1.5403162100000001</v>
      </c>
      <c r="R19" s="496">
        <f>P19/(1+((1-0.28)*Q19))</f>
        <v>0.87304686664084585</v>
      </c>
    </row>
    <row r="20" spans="1:30" ht="12.75" customHeight="1">
      <c r="B20" s="85"/>
      <c r="C20" s="85"/>
      <c r="D20" s="441"/>
      <c r="E20" s="442"/>
      <c r="F20" s="441"/>
      <c r="G20" s="441"/>
      <c r="H20" s="443"/>
      <c r="I20" s="444"/>
      <c r="J20" s="445"/>
      <c r="K20" s="445"/>
      <c r="L20" s="445"/>
      <c r="M20" s="445"/>
      <c r="N20" s="442"/>
      <c r="O20" s="445"/>
      <c r="P20" s="446"/>
      <c r="Q20" s="445"/>
      <c r="R20" s="452"/>
    </row>
    <row r="21" spans="1:30" ht="12.75" customHeight="1">
      <c r="B21" s="88"/>
      <c r="C21" s="89"/>
      <c r="D21" s="488"/>
      <c r="E21" s="89"/>
      <c r="F21" s="89"/>
      <c r="G21" s="488"/>
      <c r="H21" s="74"/>
      <c r="I21" s="459"/>
      <c r="J21" s="459"/>
      <c r="K21" s="459"/>
      <c r="L21" s="459"/>
      <c r="M21" s="459"/>
      <c r="N21" s="460"/>
      <c r="O21" s="459"/>
      <c r="P21" s="459"/>
      <c r="Q21" s="459"/>
      <c r="R21" s="452"/>
    </row>
    <row r="22" spans="1:30" ht="12.75" customHeight="1">
      <c r="B22" s="194" t="s">
        <v>306</v>
      </c>
      <c r="C22" s="195"/>
      <c r="D22" s="511"/>
      <c r="E22" s="453"/>
      <c r="F22" s="453"/>
      <c r="G22" s="511"/>
      <c r="H22" s="453"/>
      <c r="I22" s="453"/>
      <c r="J22" s="453"/>
      <c r="K22" s="453"/>
      <c r="L22" s="453"/>
      <c r="M22" s="453"/>
      <c r="N22" s="453"/>
      <c r="O22" s="453"/>
      <c r="P22" s="453"/>
      <c r="Q22" s="453"/>
      <c r="R22" s="453"/>
    </row>
    <row r="23" spans="1:30" ht="12.75" customHeight="1">
      <c r="B23" s="85" t="s">
        <v>307</v>
      </c>
      <c r="C23" s="85" t="s">
        <v>308</v>
      </c>
      <c r="D23" s="441">
        <v>20.309999999999999</v>
      </c>
      <c r="E23" s="442">
        <v>0.88611229206499664</v>
      </c>
      <c r="F23" s="441">
        <v>2068</v>
      </c>
      <c r="G23" s="441">
        <v>2021</v>
      </c>
      <c r="H23" s="443"/>
      <c r="I23" s="444">
        <v>0.65</v>
      </c>
      <c r="J23" s="445"/>
      <c r="K23" s="445">
        <v>6.03</v>
      </c>
      <c r="L23" s="445"/>
      <c r="M23" s="445"/>
      <c r="N23" s="442">
        <v>9.0999999999999998E-2</v>
      </c>
      <c r="O23" s="445">
        <v>2.5099999999999998</v>
      </c>
      <c r="P23" s="446">
        <f>'Factset Custom Comps'!P8</f>
        <v>0.58556399999999997</v>
      </c>
      <c r="Q23" s="447">
        <f>'Factset Custom Comps'!L8/100</f>
        <v>0.69437610000000005</v>
      </c>
      <c r="R23" s="496">
        <f>P23/(1+((1-0.28)*Q23))</f>
        <v>0.39038880683493782</v>
      </c>
    </row>
    <row r="24" spans="1:30" ht="12.75" customHeight="1">
      <c r="B24" s="85" t="s">
        <v>309</v>
      </c>
      <c r="C24" s="85" t="s">
        <v>310</v>
      </c>
      <c r="D24" s="441">
        <v>10.119999999999999</v>
      </c>
      <c r="E24" s="442">
        <v>0.58320406807583847</v>
      </c>
      <c r="F24" s="441">
        <v>1879</v>
      </c>
      <c r="G24" s="441">
        <v>623</v>
      </c>
      <c r="H24" s="443"/>
      <c r="I24" s="444">
        <v>0.28999999999999998</v>
      </c>
      <c r="J24" s="445"/>
      <c r="K24" s="445">
        <v>1.95</v>
      </c>
      <c r="L24" s="445"/>
      <c r="M24" s="445"/>
      <c r="N24" s="442">
        <v>0.151</v>
      </c>
      <c r="O24" s="445">
        <v>0.5</v>
      </c>
      <c r="P24" s="446">
        <f>'Factset Custom Comps'!P9</f>
        <v>1.0624690000000001</v>
      </c>
      <c r="Q24" s="447">
        <f>'Factset Custom Comps'!L9/100</f>
        <v>8.0958349999999998E-2</v>
      </c>
      <c r="R24" s="496">
        <f>P24/(1+((1-0.28)*Q24))</f>
        <v>1.0039488117175956</v>
      </c>
    </row>
    <row r="25" spans="1:30" ht="12.75" customHeight="1">
      <c r="B25" s="85"/>
      <c r="C25" s="85"/>
      <c r="D25" s="493"/>
      <c r="E25" s="462"/>
      <c r="F25" s="463"/>
      <c r="G25" s="494"/>
      <c r="H25" s="462"/>
      <c r="I25" s="462"/>
      <c r="J25" s="462"/>
      <c r="K25" s="462"/>
      <c r="L25" s="462"/>
      <c r="M25" s="462"/>
      <c r="N25" s="456"/>
      <c r="O25" s="462"/>
      <c r="P25" s="462"/>
      <c r="Q25" s="462"/>
      <c r="R25" s="452"/>
    </row>
    <row r="26" spans="1:30" ht="12.75" customHeight="1">
      <c r="B26" s="88"/>
      <c r="C26" s="89"/>
      <c r="D26" s="488"/>
      <c r="E26" s="89"/>
      <c r="F26" s="89"/>
      <c r="G26" s="488"/>
      <c r="H26" s="74"/>
      <c r="I26" s="459"/>
      <c r="J26" s="459"/>
      <c r="K26" s="459"/>
      <c r="L26" s="459"/>
      <c r="M26" s="459"/>
      <c r="N26" s="460"/>
      <c r="O26" s="459"/>
      <c r="P26" s="459"/>
      <c r="Q26" s="459"/>
      <c r="R26" s="452"/>
    </row>
    <row r="27" spans="1:30" ht="12.75" customHeight="1">
      <c r="B27" s="194" t="s">
        <v>311</v>
      </c>
      <c r="C27" s="194"/>
      <c r="D27" s="512"/>
      <c r="E27" s="461"/>
      <c r="F27" s="461"/>
      <c r="G27" s="512"/>
      <c r="H27" s="461"/>
      <c r="I27" s="461"/>
      <c r="J27" s="461"/>
      <c r="K27" s="461"/>
      <c r="L27" s="461"/>
      <c r="M27" s="461"/>
      <c r="N27" s="461"/>
      <c r="O27" s="461"/>
      <c r="P27" s="461"/>
      <c r="Q27" s="461"/>
      <c r="R27" s="461"/>
      <c r="AD27" s="20"/>
    </row>
    <row r="28" spans="1:30" ht="12.75" customHeight="1">
      <c r="A28" s="4"/>
      <c r="B28" s="85"/>
      <c r="C28" s="85"/>
      <c r="D28" s="493"/>
      <c r="E28" s="462"/>
      <c r="F28" s="463"/>
      <c r="G28" s="494"/>
      <c r="H28" s="462"/>
      <c r="I28" s="462"/>
      <c r="J28" s="462"/>
      <c r="K28" s="462"/>
      <c r="L28" s="462"/>
      <c r="M28" s="462"/>
      <c r="N28" s="464"/>
      <c r="O28" s="465"/>
      <c r="P28" s="465"/>
      <c r="Q28" s="465"/>
      <c r="R28" s="495"/>
      <c r="AD28" s="20"/>
    </row>
    <row r="29" spans="1:30" ht="12.75" customHeight="1">
      <c r="A29" s="5"/>
      <c r="B29" s="499" t="s">
        <v>312</v>
      </c>
      <c r="C29" s="488"/>
      <c r="D29" s="487">
        <f xml:space="preserve"> AVERAGE(D14:D24)</f>
        <v>66.724000000000004</v>
      </c>
      <c r="E29" s="498">
        <f xml:space="preserve"> AVERAGE(E14:E24)</f>
        <v>0.79047746098776916</v>
      </c>
      <c r="F29" s="487">
        <f xml:space="preserve"> AVERAGE(F14:F24)</f>
        <v>32401.4</v>
      </c>
      <c r="G29" s="487">
        <f xml:space="preserve"> AVERAGE(G14:G24)</f>
        <v>37184.400000000001</v>
      </c>
      <c r="H29" s="489"/>
      <c r="I29" s="490">
        <f xml:space="preserve"> AVERAGE(I14:I24)</f>
        <v>2.8399999999999994</v>
      </c>
      <c r="J29" s="490"/>
      <c r="K29" s="490">
        <f xml:space="preserve"> AVERAGE(K14:K24)</f>
        <v>16.362000000000002</v>
      </c>
      <c r="L29" s="490"/>
      <c r="M29" s="491"/>
      <c r="N29" s="492">
        <f xml:space="preserve"> AVERAGE(N14:N24)</f>
        <v>0.14760000000000001</v>
      </c>
      <c r="O29" s="490">
        <f xml:space="preserve"> AVERAGE(O14:O24)</f>
        <v>4.5220000000000002</v>
      </c>
      <c r="P29" s="497">
        <f xml:space="preserve"> AVERAGE(P14:P24)</f>
        <v>1.0184156</v>
      </c>
      <c r="Q29" s="513">
        <f xml:space="preserve"> AVERAGE(Q14:Q24)</f>
        <v>0.77188355333333336</v>
      </c>
      <c r="R29" s="490">
        <f xml:space="preserve"> AVERAGE(R14:R24)</f>
        <v>0.75579482839779322</v>
      </c>
      <c r="S29" s="20"/>
    </row>
    <row r="30" spans="1:30" ht="12.75" customHeight="1">
      <c r="A30" s="5"/>
      <c r="B30" s="499" t="s">
        <v>313</v>
      </c>
      <c r="C30" s="488"/>
      <c r="D30" s="487">
        <f xml:space="preserve"> MEDIAN(D14:D24)</f>
        <v>51.33</v>
      </c>
      <c r="E30" s="498">
        <f xml:space="preserve"> MEDIAN(E14:E24)</f>
        <v>0.88437321121923307</v>
      </c>
      <c r="F30" s="487">
        <f xml:space="preserve"> MEDIAN(F14:F24)</f>
        <v>8450</v>
      </c>
      <c r="G30" s="487">
        <f xml:space="preserve"> MEDIAN(G14:G24)</f>
        <v>9089</v>
      </c>
      <c r="H30" s="489"/>
      <c r="I30" s="490">
        <f xml:space="preserve"> MEDIAN(I14:I24)</f>
        <v>3.02</v>
      </c>
      <c r="J30" s="490"/>
      <c r="K30" s="490">
        <f xml:space="preserve"> MEDIAN(K14:K24)</f>
        <v>20.14</v>
      </c>
      <c r="L30" s="490"/>
      <c r="M30" s="491"/>
      <c r="N30" s="492">
        <f xml:space="preserve"> MEDIAN(N14:N24)</f>
        <v>9.8000000000000004E-2</v>
      </c>
      <c r="O30" s="490">
        <f xml:space="preserve"> MEDIAN(O14:O24)</f>
        <v>5.2</v>
      </c>
      <c r="P30" s="497">
        <f xml:space="preserve"> MEDIAN(P14:P24)</f>
        <v>1.0624690000000001</v>
      </c>
      <c r="Q30" s="513">
        <f xml:space="preserve"> MEDIAN(Q14:Q24)</f>
        <v>0.69437610000000005</v>
      </c>
      <c r="R30" s="490">
        <f xml:space="preserve"> MEDIAN(R14:R24)</f>
        <v>0.87304686664084585</v>
      </c>
      <c r="S30" s="20"/>
      <c r="AD30" s="20"/>
    </row>
    <row r="31" spans="1:30" ht="12.75" customHeight="1">
      <c r="A31" s="4"/>
      <c r="B31" s="88"/>
      <c r="C31" s="89"/>
      <c r="D31" s="480"/>
      <c r="E31" s="481"/>
      <c r="F31" s="480"/>
      <c r="G31" s="480"/>
      <c r="H31" s="74"/>
      <c r="I31" s="459"/>
      <c r="J31" s="459"/>
      <c r="K31" s="459"/>
      <c r="L31" s="459"/>
      <c r="M31" s="459"/>
      <c r="N31" s="460"/>
      <c r="O31" s="459"/>
      <c r="P31" s="459"/>
      <c r="Q31" s="491"/>
      <c r="R31" s="495"/>
      <c r="AD31" s="20"/>
    </row>
    <row r="32" spans="1:30" ht="12.75" customHeight="1">
      <c r="A32" s="4"/>
      <c r="B32" s="207" t="s">
        <v>291</v>
      </c>
      <c r="C32" s="208"/>
      <c r="D32" s="466">
        <f xml:space="preserve"> MAXA(D14:D24)</f>
        <v>159.16</v>
      </c>
      <c r="E32" s="467">
        <f t="shared" ref="E32:G32" si="0" xml:space="preserve"> MAXA(E14:E24)</f>
        <v>0.93960682448786825</v>
      </c>
      <c r="F32" s="466">
        <f t="shared" si="0"/>
        <v>105610</v>
      </c>
      <c r="G32" s="466">
        <f t="shared" si="0"/>
        <v>118644</v>
      </c>
      <c r="H32" s="468"/>
      <c r="I32" s="469">
        <f xml:space="preserve"> MAXA(I14:I24)</f>
        <v>6.02</v>
      </c>
      <c r="J32" s="469"/>
      <c r="K32" s="469">
        <f xml:space="preserve"> MAXA(K14:K24)</f>
        <v>28.72</v>
      </c>
      <c r="L32" s="469"/>
      <c r="M32" s="470"/>
      <c r="N32" s="467">
        <f xml:space="preserve"> MAXA(N14:N24)</f>
        <v>0.309</v>
      </c>
      <c r="O32" s="469">
        <f xml:space="preserve"> MAXA(O14:O24)</f>
        <v>7.64</v>
      </c>
      <c r="P32" s="471">
        <f xml:space="preserve"> MAXA(P14:P24)</f>
        <v>1.84128</v>
      </c>
      <c r="Q32" s="469">
        <f xml:space="preserve"> MAXA(Q14:Q24)</f>
        <v>1.5403162100000001</v>
      </c>
      <c r="R32" s="472">
        <f xml:space="preserve"> MAXA(R14:R24)</f>
        <v>1.0039488117175956</v>
      </c>
      <c r="AD32" s="20"/>
    </row>
    <row r="33" spans="1:30" ht="12.75" customHeight="1">
      <c r="A33" s="4"/>
      <c r="B33" s="209" t="s">
        <v>314</v>
      </c>
      <c r="C33" s="89"/>
      <c r="D33" s="487">
        <f xml:space="preserve"> _xlfn.QUARTILE.INC(D14:D24, 3)</f>
        <v>92.7</v>
      </c>
      <c r="E33" s="483">
        <f t="shared" ref="E33:G33" si="1" xml:space="preserve"> _xlfn.QUARTILE.INC(E14:E24, 3)</f>
        <v>0.88611229206499664</v>
      </c>
      <c r="F33" s="482">
        <f t="shared" si="1"/>
        <v>44000</v>
      </c>
      <c r="G33" s="482">
        <f t="shared" si="1"/>
        <v>55545</v>
      </c>
      <c r="H33" s="482"/>
      <c r="I33" s="484">
        <f xml:space="preserve"> _xlfn.QUARTILE.INC(I14:I24, 3)</f>
        <v>4.22</v>
      </c>
      <c r="J33" s="484"/>
      <c r="K33" s="484">
        <f xml:space="preserve"> _xlfn.QUARTILE.INC(K14:K24, 3)</f>
        <v>24.97</v>
      </c>
      <c r="L33" s="484"/>
      <c r="M33" s="482"/>
      <c r="N33" s="483">
        <f xml:space="preserve"> _xlfn.QUARTILE.INC(N14:N24, 3)</f>
        <v>0.151</v>
      </c>
      <c r="O33" s="484">
        <f xml:space="preserve"> _xlfn.QUARTILE.INC(O14:O24, 3)</f>
        <v>6.76</v>
      </c>
      <c r="P33" s="485">
        <f xml:space="preserve"> _xlfn.QUARTILE.INC(P14:P24, 3)</f>
        <v>1.1630990000000001</v>
      </c>
      <c r="Q33" s="500">
        <f xml:space="preserve"> _xlfn.QUARTILE.INC(Q14:Q24, 3)</f>
        <v>1.1173461550000001</v>
      </c>
      <c r="R33" s="486">
        <f xml:space="preserve"> _xlfn.QUARTILE.INC(R14:R24, 3)</f>
        <v>0.93849783917922069</v>
      </c>
      <c r="AD33" s="20"/>
    </row>
    <row r="34" spans="1:30" ht="12.75" customHeight="1">
      <c r="A34" s="4"/>
      <c r="B34" s="209" t="s">
        <v>315</v>
      </c>
      <c r="C34" s="89"/>
      <c r="D34" s="487">
        <f xml:space="preserve"> _xlfn.QUARTILE.INC(D14:D24, 1)</f>
        <v>20.309999999999999</v>
      </c>
      <c r="E34" s="483">
        <f t="shared" ref="E34:G34" si="2" xml:space="preserve"> _xlfn.QUARTILE.INC(E14:E24, 1)</f>
        <v>0.65909090909090906</v>
      </c>
      <c r="F34" s="482">
        <f t="shared" si="2"/>
        <v>2068</v>
      </c>
      <c r="G34" s="482">
        <f t="shared" si="2"/>
        <v>2021</v>
      </c>
      <c r="H34" s="482"/>
      <c r="I34" s="484">
        <f xml:space="preserve"> _xlfn.QUARTILE.INC(I14:I24, 1)</f>
        <v>0.65</v>
      </c>
      <c r="J34" s="484"/>
      <c r="K34" s="484">
        <f xml:space="preserve"> _xlfn.QUARTILE.INC(K14:K24, 1)</f>
        <v>6.03</v>
      </c>
      <c r="L34" s="484"/>
      <c r="M34" s="482"/>
      <c r="N34" s="483">
        <f xml:space="preserve"> _xlfn.QUARTILE.INC(N14:N24, 1)</f>
        <v>9.0999999999999998E-2</v>
      </c>
      <c r="O34" s="484">
        <f xml:space="preserve"> _xlfn.QUARTILE.INC(O14:O24, 1)</f>
        <v>2.5099999999999998</v>
      </c>
      <c r="P34" s="485">
        <f xml:space="preserve"> _xlfn.QUARTILE.INC(P14:P24, 1)</f>
        <v>0.58556399999999997</v>
      </c>
      <c r="Q34" s="500">
        <f xml:space="preserve"> _xlfn.QUARTILE.INC(Q14:Q24, 1)</f>
        <v>0.38766722500000006</v>
      </c>
      <c r="R34" s="486">
        <f xml:space="preserve"> _xlfn.QUARTILE.INC(R14:R24, 1)</f>
        <v>0.63171783673789184</v>
      </c>
      <c r="S34" s="4" t="s">
        <v>316</v>
      </c>
      <c r="T34" s="4"/>
      <c r="U34" s="4"/>
      <c r="V34" s="4"/>
      <c r="W34" s="4"/>
      <c r="X34" s="4"/>
      <c r="Y34" s="4"/>
      <c r="Z34" s="4"/>
    </row>
    <row r="35" spans="1:30" ht="12.75" customHeight="1">
      <c r="A35" s="4"/>
      <c r="B35" s="211" t="s">
        <v>317</v>
      </c>
      <c r="C35" s="210"/>
      <c r="D35" s="473">
        <f xml:space="preserve"> MINA(D14:D24)</f>
        <v>10.119999999999999</v>
      </c>
      <c r="E35" s="474">
        <f t="shared" ref="E35:G35" si="3" xml:space="preserve"> MINA(E14:E24)</f>
        <v>0.58320406807583847</v>
      </c>
      <c r="F35" s="473">
        <f t="shared" si="3"/>
        <v>1879</v>
      </c>
      <c r="G35" s="473">
        <f t="shared" si="3"/>
        <v>623</v>
      </c>
      <c r="H35" s="475"/>
      <c r="I35" s="476">
        <f xml:space="preserve"> MINA(I14:I24)</f>
        <v>0.28999999999999998</v>
      </c>
      <c r="J35" s="476"/>
      <c r="K35" s="476">
        <f xml:space="preserve"> MINA(K14:K24)</f>
        <v>1.95</v>
      </c>
      <c r="L35" s="476"/>
      <c r="M35" s="477"/>
      <c r="N35" s="474">
        <f xml:space="preserve"> MINA(N14:N24)</f>
        <v>8.8999999999999996E-2</v>
      </c>
      <c r="O35" s="476">
        <f xml:space="preserve"> MINA(O14:O24)</f>
        <v>0.5</v>
      </c>
      <c r="P35" s="478">
        <f xml:space="preserve"> MINA(P14:P24)</f>
        <v>0.439666</v>
      </c>
      <c r="Q35" s="476">
        <f xml:space="preserve"> MINA(Q14:Q24)</f>
        <v>0</v>
      </c>
      <c r="R35" s="479">
        <f xml:space="preserve"> MINA(R14:R24)</f>
        <v>0.39038880683493782</v>
      </c>
      <c r="S35" s="4"/>
      <c r="T35" s="4"/>
      <c r="U35" s="4"/>
      <c r="V35" s="4"/>
      <c r="W35" s="4"/>
      <c r="X35" s="4"/>
      <c r="Y35" s="4"/>
      <c r="Z35" s="4"/>
    </row>
    <row r="36" spans="1:30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30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30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30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3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30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30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30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30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30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30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30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30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</sheetData>
  <pageMargins left="0.5" right="0.5" top="0.5" bottom="0.5" header="0" footer="0"/>
  <pageSetup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4"/>
  <sheetViews>
    <sheetView showGridLines="0" zoomScale="80" workbookViewId="0">
      <selection activeCell="I19" sqref="I19"/>
    </sheetView>
  </sheetViews>
  <sheetFormatPr defaultColWidth="14.42578125" defaultRowHeight="15" customHeight="1"/>
  <cols>
    <col min="1" max="1" width="6.42578125" customWidth="1"/>
    <col min="2" max="2" width="18" customWidth="1"/>
    <col min="3" max="3" width="31.42578125" customWidth="1"/>
    <col min="4" max="4" width="16.140625" customWidth="1"/>
    <col min="5" max="5" width="16.42578125" customWidth="1"/>
    <col min="6" max="6" width="18.5703125" bestFit="1" customWidth="1"/>
    <col min="7" max="7" width="11.42578125" customWidth="1"/>
    <col min="8" max="8" width="15.140625" customWidth="1"/>
    <col min="9" max="9" width="13.85546875" customWidth="1"/>
    <col min="10" max="10" width="8.42578125" customWidth="1"/>
    <col min="11" max="11" width="10.85546875" customWidth="1"/>
    <col min="12" max="12" width="11.42578125" customWidth="1"/>
    <col min="13" max="27" width="7.42578125" customWidth="1"/>
  </cols>
  <sheetData>
    <row r="1" spans="1:27" ht="12.75" customHeight="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6.1">
      <c r="B2" s="55" t="s">
        <v>8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12.75" customHeight="1">
      <c r="B3" s="61" t="s">
        <v>318</v>
      </c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4"/>
      <c r="P3" s="4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ht="12.75" customHeight="1">
      <c r="B4" s="57" t="s">
        <v>10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2.75" customHeight="1"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2.75" customHeight="1">
      <c r="B6" s="78" t="s">
        <v>288</v>
      </c>
      <c r="C6" s="78" t="s">
        <v>319</v>
      </c>
      <c r="D6" s="78" t="s">
        <v>320</v>
      </c>
      <c r="E6" s="78" t="s">
        <v>321</v>
      </c>
      <c r="F6" s="78" t="s">
        <v>322</v>
      </c>
      <c r="G6" s="78" t="s">
        <v>323</v>
      </c>
      <c r="H6" s="77"/>
      <c r="I6" s="104"/>
      <c r="J6" s="3"/>
      <c r="K6" s="3"/>
      <c r="L6" s="3"/>
      <c r="M6" s="3"/>
      <c r="N6" s="3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2.75" customHeight="1">
      <c r="B7" s="358" t="s">
        <v>324</v>
      </c>
      <c r="C7" s="358" t="s">
        <v>325</v>
      </c>
      <c r="D7" s="358">
        <v>2024</v>
      </c>
      <c r="E7" s="358" t="s">
        <v>326</v>
      </c>
      <c r="F7" s="359">
        <v>1159</v>
      </c>
      <c r="G7" s="360" t="s">
        <v>327</v>
      </c>
      <c r="H7" s="104"/>
      <c r="I7" s="10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2.75" customHeight="1">
      <c r="B8" s="358" t="s">
        <v>328</v>
      </c>
      <c r="C8" s="358" t="s">
        <v>329</v>
      </c>
      <c r="D8" s="358">
        <v>2018</v>
      </c>
      <c r="E8" s="358" t="s">
        <v>326</v>
      </c>
      <c r="F8" s="359">
        <v>5100</v>
      </c>
      <c r="G8" s="360">
        <v>16.399999999999999</v>
      </c>
      <c r="H8" s="104"/>
      <c r="I8" s="10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2.75" customHeight="1">
      <c r="B9" s="358" t="s">
        <v>330</v>
      </c>
      <c r="C9" s="358" t="s">
        <v>331</v>
      </c>
      <c r="D9" s="358">
        <v>2025</v>
      </c>
      <c r="E9" s="358" t="s">
        <v>332</v>
      </c>
      <c r="F9" s="359">
        <v>4000</v>
      </c>
      <c r="G9" s="360" t="s">
        <v>333</v>
      </c>
      <c r="H9" s="104"/>
      <c r="I9" s="10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2.75" customHeight="1">
      <c r="B10" s="358" t="s">
        <v>334</v>
      </c>
      <c r="C10" s="358" t="s">
        <v>335</v>
      </c>
      <c r="D10" s="358">
        <v>2017</v>
      </c>
      <c r="E10" s="358" t="s">
        <v>326</v>
      </c>
      <c r="F10" s="359">
        <v>2100</v>
      </c>
      <c r="G10" s="360">
        <v>10.199999999999999</v>
      </c>
      <c r="H10" s="354" t="s">
        <v>336</v>
      </c>
      <c r="I10" s="4"/>
      <c r="J10" s="3"/>
      <c r="K10" s="3"/>
      <c r="L10" s="3"/>
      <c r="M10" s="3"/>
      <c r="N10" s="3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2.75" customHeight="1">
      <c r="B11" s="104"/>
      <c r="C11" s="104"/>
      <c r="D11" s="104"/>
      <c r="E11" s="104"/>
      <c r="F11" s="355"/>
      <c r="G11" s="104"/>
      <c r="H11" s="104"/>
      <c r="I11" s="10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s="25" customFormat="1" ht="12.75" customHeight="1">
      <c r="A12"/>
      <c r="C12" s="89"/>
      <c r="D12" s="92"/>
      <c r="H12" s="73"/>
      <c r="I12" s="203"/>
      <c r="J12" s="203"/>
      <c r="K12" s="203"/>
      <c r="L12" s="203"/>
      <c r="M12" s="90"/>
      <c r="N12" s="205"/>
      <c r="O12" s="203"/>
      <c r="P12" s="202"/>
      <c r="Q12" s="203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s="25" customFormat="1" ht="12.75" customHeight="1">
      <c r="A13"/>
      <c r="C13" s="89"/>
      <c r="D13" s="92"/>
      <c r="E13" s="204" t="s">
        <v>312</v>
      </c>
      <c r="F13" s="356">
        <f>AVERAGE(F7:F11)</f>
        <v>3089.75</v>
      </c>
      <c r="G13" s="357">
        <f>AVERAGE(G7:G11)</f>
        <v>13.299999999999999</v>
      </c>
      <c r="H13" s="73"/>
      <c r="I13" s="203"/>
      <c r="J13" s="203"/>
      <c r="K13" s="203"/>
      <c r="L13" s="203"/>
      <c r="M13" s="90"/>
      <c r="N13" s="205"/>
      <c r="O13" s="203"/>
      <c r="P13" s="202"/>
      <c r="Q13" s="203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75" customHeight="1">
      <c r="B14" s="88"/>
      <c r="C14" s="89"/>
      <c r="D14" s="206"/>
      <c r="E14" s="204" t="s">
        <v>313</v>
      </c>
      <c r="F14" s="356">
        <f>MEDIAN(F7:F11)</f>
        <v>3050</v>
      </c>
      <c r="G14" s="357">
        <f>MEDIAN(G7:G11)</f>
        <v>13.299999999999999</v>
      </c>
      <c r="H14" s="73"/>
      <c r="I14" s="90"/>
      <c r="J14" s="90"/>
      <c r="K14" s="90"/>
      <c r="L14" s="90"/>
      <c r="M14" s="90"/>
      <c r="N14" s="91"/>
      <c r="O14" s="90"/>
      <c r="P14" s="90"/>
      <c r="Q14" s="90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2.75" customHeight="1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2.7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2:27" ht="12.7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2:27" ht="12.75" customHeight="1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2:27" ht="12.75" customHeight="1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2:27" ht="12.7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2:27" ht="12.7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2:27" ht="12.7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2:27" ht="12.7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2:27" ht="12.75" customHeight="1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2:27" ht="12.75" customHeight="1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2:27" ht="12.75" customHeight="1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2:27" ht="12.75" customHeight="1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2:27" ht="12.75" customHeight="1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2:27" ht="12.75" customHeight="1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2:27" ht="12.75" customHeight="1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2:27" ht="12.75" customHeight="1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2:27" ht="12.75" customHeight="1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2:27" ht="12.75" customHeight="1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2:27" ht="12.75" customHeight="1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2:27" ht="12.75" customHeight="1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2:27" ht="12.75" customHeight="1">
      <c r="B36" s="4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2:27" ht="12.75" customHeight="1">
      <c r="B37" s="4"/>
      <c r="C37" s="21"/>
      <c r="D37" s="22"/>
      <c r="E37" s="23"/>
      <c r="F37" s="22"/>
      <c r="G37" s="22"/>
      <c r="H37" s="22"/>
      <c r="I37" s="22"/>
      <c r="J37" s="22"/>
      <c r="K37" s="22"/>
      <c r="L37" s="2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2:27" ht="12.75" customHeight="1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2:27" ht="12.75" customHeight="1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2:27" ht="12.75" customHeight="1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2:27" ht="12.75" customHeight="1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2:27" ht="12.75" customHeight="1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2:27" ht="12.75" customHeight="1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2:27" ht="12.75" customHeight="1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2:27" ht="12.75" customHeight="1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2:27" ht="12.75" customHeight="1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2:27" ht="12.75" customHeight="1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2:27" ht="12.75" customHeight="1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2:27" ht="12.75" customHeight="1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2:27" ht="12.75" customHeight="1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2:27" ht="12.75" customHeight="1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2:27" ht="12.75" customHeight="1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2:27" ht="12.75" customHeight="1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2:27" ht="12.75" customHeight="1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2:27" ht="12.75" customHeight="1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2:27" ht="12.75" customHeight="1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2:27" ht="12.75" customHeight="1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2:27" ht="12.75" customHeight="1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2:27" ht="12.75" customHeight="1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2:27" ht="12.75" customHeight="1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2:27" ht="12.75" customHeight="1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2:27" ht="12.75" customHeight="1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2:27" ht="12.75" customHeight="1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2:27" ht="12.75" customHeight="1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2:27" ht="12.75" customHeight="1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2:27" ht="12.75" customHeight="1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2:27" ht="12.75" customHeight="1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2:27" ht="12.75" customHeight="1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2:27" ht="12.75" customHeight="1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2:27" ht="12.75" customHeight="1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2:27" ht="12.75" customHeight="1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2:27" ht="12.75" customHeight="1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2:27" ht="12.75" customHeight="1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2:27" ht="12.75" customHeight="1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2:27" ht="12.75" customHeight="1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2:27" ht="12.75" customHeight="1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2:27" ht="12.75" customHeight="1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2:27" ht="12.75" customHeight="1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2:27" ht="12.75" customHeight="1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2:27" ht="12.75" customHeight="1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2:27" ht="12.75" customHeight="1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2:27" ht="12.75" customHeight="1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2:27" ht="12.75" customHeight="1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2:27" ht="12.75" customHeight="1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2:27" ht="12.75" customHeight="1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2:27" ht="12.75" customHeight="1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2:27" ht="12.75" customHeight="1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2:27" ht="12.75" customHeight="1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2:27" ht="12.75" customHeight="1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2:27" ht="12.75" customHeight="1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2:27" ht="12.75" customHeight="1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2:27" ht="12.75" customHeight="1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2:27" ht="12.75" customHeight="1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2:27" ht="12.75" customHeight="1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2:27" ht="12.75" customHeight="1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2:27" ht="12.75" customHeight="1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2:27" ht="12.75" customHeight="1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2:27" ht="12.75" customHeight="1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2:27" ht="12.75" customHeight="1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2:27" ht="12.75" customHeight="1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2:27" ht="12.75" customHeight="1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2:27" ht="12.75" customHeight="1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2:27" ht="12.75" customHeight="1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2:27" ht="12.75" customHeight="1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2:27" ht="12.75" customHeight="1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2:27" ht="12.75" customHeight="1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2:27" ht="12.75" customHeight="1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2:27" ht="12.75" customHeight="1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2:27" ht="12.75" customHeight="1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2:27" ht="12.75" customHeight="1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2:27" ht="12.75" customHeight="1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2:27" ht="12.75" customHeight="1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2:27" ht="12.75" customHeight="1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2:27" ht="12.75" customHeight="1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2:27" ht="12.75" customHeight="1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2:27" ht="12.75" customHeight="1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2:27" ht="12.75" customHeight="1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2:27" ht="12.75" customHeight="1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2:27" ht="12.75" customHeight="1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2:27" ht="12.75" customHeight="1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2:27" ht="12.75" customHeight="1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2:27" ht="12.75" customHeight="1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2:27" ht="12.75" customHeight="1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2:27" ht="12.75" customHeight="1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2:27" ht="12.75" customHeight="1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2:27" ht="12.75" customHeight="1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2:27" ht="12.75" customHeight="1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2:27" ht="12.75" customHeight="1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2:27" ht="12.75" customHeight="1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2:27" ht="12.75" customHeight="1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2:27" ht="12.75" customHeight="1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2:27" ht="12.75" customHeight="1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2:27" ht="12.75" customHeight="1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2:27" ht="12.75" customHeight="1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2:27" ht="12.75" customHeight="1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2:27" ht="12.75" customHeight="1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2:27" ht="12.75" customHeight="1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2:27" ht="12.75" customHeight="1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2:27" ht="12.75" customHeight="1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2:27" ht="12.75" customHeight="1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2:27" ht="12.75" customHeight="1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2:27" ht="12.75" customHeight="1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2:27" ht="12.75" customHeight="1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2:27" ht="12.75" customHeight="1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2:27" ht="12.75" customHeight="1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2:27" ht="12.75" customHeight="1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2:27" ht="12.75" customHeight="1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2:27" ht="12.75" customHeight="1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2:27" ht="12.75" customHeight="1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2:27" ht="12.75" customHeight="1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2:27" ht="12.75" customHeight="1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2:27" ht="12.75" customHeight="1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2:27" ht="12.75" customHeight="1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2:27" ht="12.75" customHeight="1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2:27" ht="12.75" customHeight="1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2:27" ht="12.75" customHeight="1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2:27" ht="12.75" customHeight="1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2:27" ht="12.75" customHeight="1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2:27" ht="12.75" customHeight="1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2:27" ht="12.75" customHeight="1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2:27" ht="12.75" customHeight="1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2:27" ht="12.75" customHeight="1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2:27" ht="12.75" customHeight="1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2:27" ht="12.75" customHeight="1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2:27" ht="12.75" customHeight="1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2:27" ht="12.75" customHeight="1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2:27" ht="12.75" customHeight="1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2:27" ht="12.75" customHeight="1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2:27" ht="12.75" customHeight="1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2:27" ht="12.75" customHeight="1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2:27" ht="12.75" customHeight="1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2:27" ht="12.75" customHeight="1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2:27" ht="12.75" customHeight="1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2:27" ht="12.75" customHeight="1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2:27" ht="12.75" customHeight="1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2:27" ht="12.75" customHeight="1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2:27" ht="12.75" customHeight="1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2:27" ht="12.75" customHeight="1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2:27" ht="12.75" customHeight="1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2:27" ht="12.75" customHeight="1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2:27" ht="12.75" customHeight="1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2:27" ht="12.75" customHeight="1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2:27" ht="12.75" customHeight="1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2:27" ht="12.75" customHeight="1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2:27" ht="12.75" customHeight="1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2:27" ht="12.75" customHeight="1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2:27" ht="12.75" customHeight="1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2:27" ht="12.75" customHeight="1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2:27" ht="12.75" customHeight="1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2:27" ht="12.75" customHeight="1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2:27" ht="12.75" customHeight="1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2:27" ht="12.75" customHeight="1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2:27" ht="12.75" customHeight="1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2:27" ht="12.75" customHeight="1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2:27" ht="12.75" customHeight="1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2:27" ht="12.75" customHeight="1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2:27" ht="12.75" customHeight="1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2:27" ht="12.75" customHeight="1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2:27" ht="12.75" customHeight="1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2:27" ht="12.75" customHeight="1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2:27" ht="12.75" customHeight="1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2:27" ht="12.75" customHeight="1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2:27" ht="12.75" customHeight="1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2:27" ht="12.75" customHeight="1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2:27" ht="12.75" customHeight="1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2:27" ht="12.75" customHeight="1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2:27" ht="12.75" customHeight="1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2:27" ht="12.75" customHeight="1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2:27" ht="12.75" customHeight="1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2:27" ht="12.75" customHeight="1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2:27" ht="12.75" customHeight="1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2:27" ht="12.75" customHeight="1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2:27" ht="12.75" customHeight="1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2:27" ht="12.75" customHeight="1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2:27" ht="12.75" customHeight="1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2:27" ht="12.75" customHeight="1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2:27" ht="12.75" customHeight="1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2:27" ht="12.75" customHeight="1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2:27" ht="12.75" customHeight="1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2:27" ht="12.75" customHeight="1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2:27" ht="12.75" customHeight="1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2:27" ht="12.75" customHeight="1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2:27" ht="12.75" customHeight="1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2:27" ht="12.75" customHeight="1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2:27" ht="12.75" customHeight="1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2:27" ht="12.75" customHeight="1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2:27" ht="12.75" customHeight="1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2:27" ht="12.75" customHeight="1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2:27" ht="12.75" customHeight="1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2:27" ht="12.75" customHeight="1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2:27" ht="12.75" customHeight="1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2:27" ht="12.75" customHeight="1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2:27" ht="12.75" customHeight="1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2:27" ht="12.75" customHeight="1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2:27" ht="12.75" customHeight="1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2:27" ht="12.75" customHeight="1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2:27" ht="12.75" customHeight="1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2:27" ht="12.75" customHeight="1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2:27" ht="12.75" customHeight="1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2:27" ht="12.75" customHeight="1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2:27" ht="12.75" customHeight="1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2:27" ht="12.75" customHeight="1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2:27" ht="12.75" customHeight="1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2:27" ht="12.75" customHeight="1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2:27" ht="12.75" customHeight="1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2:27" ht="12.75" customHeight="1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2:27" ht="12.75" customHeight="1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2:27" ht="12.75" customHeight="1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2:27" ht="12.75" customHeight="1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2:27" ht="12.75" customHeight="1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2:27" ht="12.75" customHeight="1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2:27" ht="12.75" customHeight="1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2:27" ht="12.75" customHeight="1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2:27" ht="12.75" customHeight="1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2:27" ht="12.75" customHeight="1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2:27" ht="12.75" customHeight="1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2:27" ht="12.75" customHeight="1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2:27" ht="12.75" customHeight="1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2:27" ht="12.75" customHeight="1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2:27" ht="12.75" customHeight="1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2:27" ht="12.75" customHeight="1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2:27" ht="12.75" customHeight="1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2:27" ht="12.75" customHeight="1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2:27" ht="12.75" customHeight="1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2:27" ht="12.75" customHeight="1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2:27" ht="12.75" customHeight="1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2:27" ht="12.75" customHeight="1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2:27" ht="12.75" customHeight="1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2:27" ht="12.75" customHeight="1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2:27" ht="12.75" customHeight="1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2:27" ht="12.75" customHeight="1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2:27" ht="12.75" customHeight="1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2:27" ht="12.75" customHeight="1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2:27" ht="12.75" customHeight="1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2:27" ht="12.75" customHeight="1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2:27" ht="12.75" customHeight="1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2:27" ht="12.75" customHeight="1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2:27" ht="12.75" customHeight="1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2:27" ht="12.75" customHeight="1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2:27" ht="12.75" customHeight="1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2:27" ht="12.75" customHeight="1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2:27" ht="12.75" customHeight="1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2:27" ht="12.75" customHeight="1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2:27" ht="12.75" customHeight="1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2:27" ht="12.75" customHeight="1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2:27" ht="12.75" customHeight="1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2:27" ht="12.75" customHeight="1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2:27" ht="12.75" customHeight="1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2:27" ht="12.75" customHeight="1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2:27" ht="12.75" customHeight="1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2:27" ht="12.75" customHeight="1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2:27" ht="12.75" customHeight="1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2:27" ht="12.75" customHeight="1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2:27" ht="12.75" customHeight="1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2:27" ht="12.75" customHeight="1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2:27" ht="12.75" customHeight="1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2:27" ht="12.75" customHeight="1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2:27" ht="12.75" customHeight="1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2:27" ht="12.75" customHeight="1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2:27" ht="12.75" customHeight="1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2:27" ht="12.75" customHeight="1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2:27" ht="12.75" customHeight="1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2:27" ht="12.75" customHeight="1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2:27" ht="12.75" customHeight="1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2:27" ht="12.75" customHeight="1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2:27" ht="12.75" customHeight="1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2:27" ht="12.75" customHeight="1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2:27" ht="12.75" customHeight="1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2:27" ht="12.75" customHeight="1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2:27" ht="12.75" customHeight="1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2:27" ht="12.75" customHeight="1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2:27" ht="12.75" customHeight="1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2:27" ht="12.75" customHeight="1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2:27" ht="12.75" customHeight="1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2:27" ht="12.75" customHeight="1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2:27" ht="12.75" customHeight="1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2:27" ht="12.75" customHeight="1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2:27" ht="12.75" customHeight="1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2:27" ht="12.75" customHeight="1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2:27" ht="12.75" customHeight="1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2:27" ht="12.75" customHeight="1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2:27" ht="12.75" customHeight="1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2:27" ht="12.75" customHeight="1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2:27" ht="12.75" customHeight="1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2:27" ht="12.75" customHeight="1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2:27" ht="12.75" customHeight="1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2:27" ht="12.75" customHeight="1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2:27" ht="12.75" customHeight="1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2:27" ht="12.75" customHeight="1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2:27" ht="12.75" customHeight="1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2:27" ht="12.75" customHeight="1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2:27" ht="12.75" customHeight="1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2:27" ht="12.75" customHeight="1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2:27" ht="12.75" customHeight="1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2:27" ht="12.75" customHeight="1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2:27" ht="12.75" customHeight="1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2:27" ht="12.75" customHeight="1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2:27" ht="12.75" customHeight="1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2:27" ht="12.75" customHeight="1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2:27" ht="12.75" customHeight="1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2:27" ht="12.75" customHeight="1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2:27" ht="12.75" customHeight="1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2:27" ht="12.75" customHeight="1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2:27" ht="12.75" customHeight="1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2:27" ht="12.75" customHeight="1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2:27" ht="12.75" customHeight="1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2:27" ht="12.75" customHeight="1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2:27" ht="12.75" customHeight="1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2:27" ht="12.75" customHeight="1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2:27" ht="12.75" customHeight="1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2:27" ht="12.75" customHeight="1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2:27" ht="12.75" customHeight="1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2:27" ht="12.75" customHeight="1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2:27" ht="12.75" customHeight="1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2:27" ht="12.75" customHeight="1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2:27" ht="12.75" customHeight="1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2:27" ht="12.75" customHeight="1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2:27" ht="12.75" customHeight="1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2:27" ht="12.75" customHeight="1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2:27" ht="12.75" customHeight="1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2:27" ht="12.75" customHeight="1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2:27" ht="12.75" customHeight="1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2:27" ht="12.75" customHeight="1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2:27" ht="12.75" customHeight="1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2:27" ht="12.75" customHeight="1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2:27" ht="12.75" customHeight="1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2:27" ht="12.75" customHeight="1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2:27" ht="12.75" customHeight="1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2:27" ht="12.75" customHeight="1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2:27" ht="12.75" customHeight="1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2:27" ht="12.75" customHeight="1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2:27" ht="12.75" customHeight="1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2:27" ht="12.75" customHeight="1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2:27" ht="12.75" customHeight="1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2:27" ht="12.75" customHeight="1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2:27" ht="12.75" customHeight="1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2:27" ht="12.75" customHeight="1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2:27" ht="12.75" customHeight="1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2:27" ht="12.75" customHeight="1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2:27" ht="12.75" customHeight="1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2:27" ht="12.75" customHeight="1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2:27" ht="12.75" customHeight="1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2:27" ht="12.75" customHeight="1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2:27" ht="12.75" customHeight="1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2:27" ht="12.75" customHeight="1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2:27" ht="12.75" customHeight="1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2:27" ht="12.75" customHeight="1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2:27" ht="12.75" customHeight="1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2:27" ht="12.75" customHeight="1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2:27" ht="12.75" customHeight="1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2:27" ht="12.75" customHeight="1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2:27" ht="12.75" customHeight="1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2:27" ht="12.75" customHeight="1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2:27" ht="12.75" customHeight="1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2:27" ht="12.75" customHeight="1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2:27" ht="12.75" customHeight="1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2:27" ht="12.75" customHeight="1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2:27" ht="12.75" customHeight="1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2:27" ht="12.75" customHeight="1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2:27" ht="12.75" customHeight="1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2:27" ht="12.75" customHeight="1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2:27" ht="12.75" customHeight="1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2:27" ht="12.75" customHeight="1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2:27" ht="12.75" customHeight="1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2:27" ht="12.75" customHeight="1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2:27" ht="12.75" customHeight="1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2:27" ht="12.75" customHeight="1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2:27" ht="12.75" customHeight="1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2:27" ht="12.75" customHeight="1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2:27" ht="12.75" customHeight="1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2:27" ht="12.75" customHeight="1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2:27" ht="12.75" customHeight="1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2:27" ht="12.75" customHeight="1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2:27" ht="12.75" customHeight="1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2:27" ht="12.75" customHeight="1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2:27" ht="12.75" customHeight="1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2:27" ht="12.75" customHeight="1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2:27" ht="12.75" customHeight="1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2:27" ht="12.75" customHeight="1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2:27" ht="12.75" customHeight="1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2:27" ht="12.75" customHeight="1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2:27" ht="12.75" customHeight="1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2:27" ht="12.75" customHeight="1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2:27" ht="12.75" customHeight="1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2:27" ht="12.75" customHeight="1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2:27" ht="12.75" customHeight="1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2:27" ht="12.75" customHeight="1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2:27" ht="12.75" customHeight="1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2:27" ht="12.75" customHeight="1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2:27" ht="12.75" customHeight="1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2:27" ht="12.75" customHeight="1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2:27" ht="12.75" customHeight="1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2:27" ht="12.75" customHeight="1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2:27" ht="12.75" customHeight="1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2:27" ht="12.75" customHeight="1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2:27" ht="12.75" customHeight="1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2:27" ht="12.75" customHeight="1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2:27" ht="12.75" customHeight="1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2:27" ht="12.75" customHeight="1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2:27" ht="12.75" customHeight="1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2:27" ht="12.75" customHeight="1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2:27" ht="12.75" customHeight="1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2:27" ht="12.75" customHeight="1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2:27" ht="12.75" customHeight="1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2:27" ht="12.75" customHeight="1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2:27" ht="12.75" customHeight="1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2:27" ht="12.75" customHeight="1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2:27" ht="12.75" customHeight="1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2:27" ht="12.75" customHeight="1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2:27" ht="12.75" customHeight="1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2:27" ht="12.75" customHeight="1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2:27" ht="12.75" customHeight="1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2:27" ht="12.75" customHeight="1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2:27" ht="12.75" customHeight="1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2:27" ht="12.75" customHeight="1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2:27" ht="12.75" customHeight="1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2:27" ht="12.75" customHeight="1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2:27" ht="12.75" customHeight="1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2:27" ht="12.75" customHeight="1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2:27" ht="12.75" customHeight="1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2:27" ht="12.75" customHeight="1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2:27" ht="12.75" customHeight="1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2:27" ht="12.75" customHeight="1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2:27" ht="12.75" customHeight="1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2:27" ht="12.75" customHeight="1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2:27" ht="12.75" customHeight="1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2:27" ht="12.75" customHeight="1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2:27" ht="12.75" customHeight="1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2:27" ht="12.75" customHeight="1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2:27" ht="12.75" customHeight="1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2:27" ht="12.75" customHeight="1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2:27" ht="12.75" customHeight="1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2:27" ht="12.75" customHeight="1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2:27" ht="12.75" customHeight="1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2:27" ht="12.75" customHeight="1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2:27" ht="12.75" customHeight="1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2:27" ht="12.75" customHeight="1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2:27" ht="12.75" customHeight="1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2:27" ht="12.75" customHeight="1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2:27" ht="12.75" customHeight="1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2:27" ht="12.75" customHeight="1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2:27" ht="12.75" customHeight="1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2:27" ht="12.75" customHeight="1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2:27" ht="12.75" customHeight="1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2:27" ht="12.75" customHeight="1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2:27" ht="12.75" customHeight="1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2:27" ht="12.75" customHeight="1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2:27" ht="12.75" customHeight="1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2:27" ht="12.75" customHeight="1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2:27" ht="12.75" customHeight="1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2:27" ht="12.75" customHeight="1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2:27" ht="12.75" customHeight="1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2:27" ht="12.75" customHeight="1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2:27" ht="12.75" customHeight="1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2:27" ht="12.75" customHeight="1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2:27" ht="12.75" customHeight="1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2:27" ht="12.75" customHeight="1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2:27" ht="12.75" customHeight="1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2:27" ht="12.75" customHeight="1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2:27" ht="12.75" customHeight="1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2:27" ht="12.75" customHeight="1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2:27" ht="12.75" customHeight="1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2:27" ht="12.75" customHeight="1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2:27" ht="12.75" customHeight="1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2:27" ht="12.75" customHeight="1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2:27" ht="12.75" customHeight="1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2:27" ht="12.75" customHeight="1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2:27" ht="12.75" customHeight="1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2:27" ht="12.75" customHeight="1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2:27" ht="12.75" customHeight="1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2:27" ht="12.75" customHeight="1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2:27" ht="12.75" customHeight="1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2:27" ht="12.75" customHeight="1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2:27" ht="12.75" customHeight="1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2:27" ht="12.75" customHeight="1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2:27" ht="12.75" customHeight="1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2:27" ht="12.75" customHeight="1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2:27" ht="12.75" customHeight="1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2:27" ht="12.75" customHeight="1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2:27" ht="12.75" customHeight="1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2:27" ht="12.75" customHeight="1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2:27" ht="12.75" customHeight="1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2:27" ht="12.75" customHeight="1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2:27" ht="12.75" customHeight="1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2:27" ht="12.75" customHeight="1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2:27" ht="12.75" customHeight="1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2:27" ht="12.75" customHeight="1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2:27" ht="12.75" customHeight="1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2:27" ht="12.75" customHeight="1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2:27" ht="12.75" customHeight="1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2:27" ht="12.75" customHeight="1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2:27" ht="12.75" customHeight="1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2:27" ht="12.75" customHeight="1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2:27" ht="12.75" customHeight="1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2:27" ht="12.75" customHeight="1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2:27" ht="12.75" customHeight="1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2:27" ht="12.75" customHeight="1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2:27" ht="12.75" customHeight="1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2:27" ht="12.75" customHeight="1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2:27" ht="12.75" customHeight="1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2:27" ht="12.75" customHeight="1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2:27" ht="12.75" customHeight="1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2:27" ht="12.75" customHeight="1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2:27" ht="12.75" customHeight="1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2:27" ht="12.75" customHeight="1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2:27" ht="12.75" customHeight="1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2:27" ht="12.75" customHeight="1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2:27" ht="12.75" customHeight="1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2:27" ht="12.75" customHeight="1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2:27" ht="12.75" customHeight="1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2:27" ht="12.75" customHeight="1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2:27" ht="12.75" customHeight="1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2:27" ht="12.75" customHeight="1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2:27" ht="12.75" customHeight="1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2:27" ht="12.75" customHeight="1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2:27" ht="12.75" customHeight="1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2:27" ht="12.75" customHeight="1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2:27" ht="12.75" customHeight="1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2:27" ht="12.75" customHeight="1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2:27" ht="12.75" customHeight="1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2:27" ht="12.75" customHeight="1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2:27" ht="12.75" customHeight="1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2:27" ht="12.75" customHeight="1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2:27" ht="12.75" customHeight="1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2:27" ht="12.75" customHeight="1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2:27" ht="12.75" customHeight="1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2:27" ht="12.75" customHeight="1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2:27" ht="12.75" customHeight="1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2:27" ht="12.75" customHeight="1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2:27" ht="12.75" customHeight="1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2:27" ht="12.75" customHeight="1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2:27" ht="12.75" customHeight="1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2:27" ht="12.75" customHeight="1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2:27" ht="12.75" customHeight="1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2:27" ht="12.75" customHeight="1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2:27" ht="12.75" customHeight="1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2:27" ht="12.75" customHeight="1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2:27" ht="12.75" customHeight="1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2:27" ht="12.75" customHeight="1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2:27" ht="12.75" customHeight="1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2:27" ht="12.75" customHeight="1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2:27" ht="12.75" customHeight="1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2:27" ht="12.75" customHeight="1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2:27" ht="12.75" customHeight="1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2:27" ht="12.75" customHeight="1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2:27" ht="12.75" customHeight="1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2:27" ht="12.75" customHeight="1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2:27" ht="12.75" customHeight="1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2:27" ht="12.75" customHeight="1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2:27" ht="12.75" customHeight="1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2:27" ht="12.75" customHeight="1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2:27" ht="12.75" customHeight="1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2:27" ht="12.75" customHeight="1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2:27" ht="12.75" customHeight="1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2:27" ht="12.75" customHeight="1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2:27" ht="12.75" customHeight="1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2:27" ht="12.75" customHeight="1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2:27" ht="12.75" customHeight="1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2:27" ht="12.75" customHeight="1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2:27" ht="12.75" customHeight="1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2:27" ht="12.75" customHeight="1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2:27" ht="12.75" customHeight="1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2:27" ht="12.75" customHeight="1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2:27" ht="12.75" customHeight="1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2:27" ht="12.75" customHeight="1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2:27" ht="12.75" customHeight="1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2:27" ht="12.75" customHeight="1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2:27" ht="12.75" customHeight="1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2:27" ht="12.75" customHeight="1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2:27" ht="12.75" customHeight="1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2:27" ht="12.75" customHeight="1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2:27" ht="12.75" customHeight="1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2:27" ht="12.75" customHeight="1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2:27" ht="12.75" customHeight="1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2:27" ht="12.75" customHeight="1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2:27" ht="12.75" customHeight="1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2:27" ht="12.75" customHeight="1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2:27" ht="12.75" customHeight="1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2:27" ht="12.75" customHeight="1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2:27" ht="12.75" customHeight="1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2:27" ht="12.75" customHeight="1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2:27" ht="12.75" customHeight="1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2:27" ht="12.75" customHeight="1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2:27" ht="12.75" customHeight="1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2:27" ht="12.75" customHeight="1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2:27" ht="12.75" customHeight="1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2:27" ht="12.75" customHeight="1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2:27" ht="12.75" customHeight="1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2:27" ht="12.75" customHeight="1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2:27" ht="12.75" customHeight="1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2:27" ht="12.75" customHeight="1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2:27" ht="12.75" customHeight="1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2:27" ht="12.75" customHeight="1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2:27" ht="12.75" customHeight="1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2:27" ht="12.75" customHeight="1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2:27" ht="12.75" customHeight="1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2:27" ht="12.75" customHeight="1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2:27" ht="12.75" customHeight="1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2:27" ht="12.75" customHeight="1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2:27" ht="12.75" customHeight="1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2:27" ht="12.75" customHeight="1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2:27" ht="12.75" customHeight="1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2:27" ht="12.75" customHeight="1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2:27" ht="12.75" customHeight="1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2:27" ht="12.75" customHeight="1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2:27" ht="12.75" customHeight="1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2:27" ht="12.75" customHeight="1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2:27" ht="12.75" customHeight="1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2:27" ht="12.75" customHeight="1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2:27" ht="12.75" customHeight="1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2:27" ht="12.75" customHeight="1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2:27" ht="12.75" customHeight="1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2:27" ht="12.75" customHeight="1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2:27" ht="12.75" customHeight="1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2:27" ht="12.75" customHeight="1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2:27" ht="12.75" customHeight="1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2:27" ht="12.75" customHeight="1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2:27" ht="12.75" customHeight="1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2:27" ht="12.75" customHeight="1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2:27" ht="12.75" customHeight="1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2:27" ht="12.75" customHeight="1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2:27" ht="12.75" customHeight="1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2:27" ht="12.75" customHeight="1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2:27" ht="12.75" customHeight="1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2:27" ht="12.75" customHeight="1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2:27" ht="12.75" customHeight="1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2:27" ht="12.75" customHeight="1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2:27" ht="12.75" customHeight="1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2:27" ht="12.75" customHeight="1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2:27" ht="12.75" customHeight="1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2:27" ht="12.75" customHeight="1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2:27" ht="12.75" customHeight="1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2:27" ht="12.75" customHeight="1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2:27" ht="12.75" customHeight="1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2:27" ht="12.75" customHeight="1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2:27" ht="12.75" customHeight="1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2:27" ht="12.75" customHeight="1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2:27" ht="12.75" customHeight="1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2:27" ht="12.75" customHeight="1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2:27" ht="12.75" customHeight="1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2:27" ht="12.75" customHeight="1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2:27" ht="12.75" customHeight="1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2:27" ht="12.75" customHeight="1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2:27" ht="12.75" customHeight="1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2:27" ht="12.75" customHeight="1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2:27" ht="12.75" customHeight="1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2:27" ht="12.75" customHeight="1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2:27" ht="12.75" customHeight="1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2:27" ht="12.75" customHeight="1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2:27" ht="12.75" customHeight="1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2:27" ht="12.75" customHeight="1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2:27" ht="12.75" customHeight="1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2:27" ht="12.75" customHeight="1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2:27" ht="12.75" customHeight="1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2:27" ht="12.75" customHeight="1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2:27" ht="12.75" customHeight="1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2:27" ht="12.75" customHeight="1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2:27" ht="12.75" customHeight="1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2:27" ht="12.75" customHeight="1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2:27" ht="12.75" customHeight="1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2:27" ht="12.75" customHeight="1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2:27" ht="12.75" customHeight="1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2:27" ht="12.75" customHeight="1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2:27" ht="12.75" customHeight="1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2:27" ht="12.75" customHeight="1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2:27" ht="12.75" customHeight="1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2:27" ht="12.75" customHeight="1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2:27" ht="12.75" customHeight="1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2:27" ht="12.75" customHeight="1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2:27" ht="12.75" customHeight="1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2:27" ht="12.75" customHeight="1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2:27" ht="12.75" customHeight="1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2:27" ht="12.75" customHeight="1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2:27" ht="12.75" customHeight="1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2:27" ht="12.75" customHeight="1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2:27" ht="12.75" customHeight="1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2:27" ht="12.75" customHeight="1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2:27" ht="12.75" customHeight="1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2:27" ht="12.75" customHeight="1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2:27" ht="12.75" customHeight="1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2:27" ht="12.75" customHeight="1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2:27" ht="12.75" customHeight="1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2:27" ht="12.75" customHeight="1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2:27" ht="12.75" customHeight="1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2:27" ht="12.75" customHeight="1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2:27" ht="12.75" customHeight="1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2:27" ht="12.75" customHeight="1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2:27" ht="12.75" customHeight="1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2:27" ht="12.75" customHeight="1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2:27" ht="12.75" customHeight="1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2:27" ht="12.75" customHeight="1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2:27" ht="12.75" customHeight="1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2:27" ht="12.75" customHeight="1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2:27" ht="12.75" customHeight="1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2:27" ht="12.75" customHeight="1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2:27" ht="12.75" customHeight="1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2:27" ht="12.75" customHeight="1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2:27" ht="12.75" customHeight="1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2:27" ht="12.75" customHeight="1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2:27" ht="12.75" customHeight="1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2:27" ht="12.75" customHeight="1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2:27" ht="12.75" customHeight="1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2:27" ht="12.75" customHeight="1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2:27" ht="12.75" customHeight="1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2:27" ht="12.75" customHeight="1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2:27" ht="12.75" customHeight="1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2:27" ht="12.75" customHeight="1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2:27" ht="12.75" customHeight="1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2:27" ht="12.75" customHeight="1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2:27" ht="12.75" customHeight="1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2:27" ht="12.75" customHeight="1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2:27" ht="12.75" customHeight="1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2:27" ht="12.75" customHeight="1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2:27" ht="12.75" customHeight="1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2:27" ht="12.75" customHeight="1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2:27" ht="12.75" customHeight="1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2:27" ht="12.75" customHeight="1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2:27" ht="12.75" customHeight="1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2:27" ht="12.75" customHeight="1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2:27" ht="12.75" customHeight="1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2:27" ht="12.75" customHeight="1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2:27" ht="12.75" customHeight="1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2:27" ht="12.75" customHeight="1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2:27" ht="12.75" customHeight="1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2:27" ht="12.75" customHeight="1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2:27" ht="12.75" customHeight="1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2:27" ht="12.75" customHeight="1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2:27" ht="12.75" customHeight="1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2:27" ht="12.75" customHeight="1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2:27" ht="12.75" customHeight="1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2:27" ht="12.75" customHeight="1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2:27" ht="12.75" customHeight="1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2:27" ht="12.75" customHeight="1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2:27" ht="12.75" customHeight="1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2:27" ht="12.75" customHeight="1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2:27" ht="12.75" customHeight="1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2:27" ht="12.75" customHeight="1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2:27" ht="12.75" customHeight="1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2:27" ht="12.75" customHeight="1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2:27" ht="12.75" customHeight="1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2:27" ht="12.75" customHeight="1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2:27" ht="12.75" customHeight="1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2:27" ht="12.75" customHeight="1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2:27" ht="12.75" customHeight="1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2:27" ht="12.75" customHeight="1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2:27" ht="12.75" customHeight="1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2:27" ht="12.75" customHeight="1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2:27" ht="12.75" customHeight="1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2:27" ht="12.75" customHeight="1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2:27" ht="12.75" customHeight="1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2:27" ht="12.75" customHeight="1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2:27" ht="12.75" customHeight="1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2:27" ht="12.75" customHeight="1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2:27" ht="12.75" customHeight="1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2:27" ht="12.75" customHeight="1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2:27" ht="12.75" customHeight="1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2:27" ht="12.75" customHeight="1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2:27" ht="12.75" customHeight="1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2:27" ht="12.75" customHeight="1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2:27" ht="12.75" customHeight="1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2:27" ht="12.75" customHeight="1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2:27" ht="12.75" customHeight="1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2:27" ht="12.75" customHeight="1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2:27" ht="12.75" customHeight="1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2:27" ht="12.75" customHeight="1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2:27" ht="12.75" customHeight="1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2:27" ht="12.75" customHeight="1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2:27" ht="12.75" customHeight="1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2:27" ht="12.75" customHeight="1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2:27" ht="12.75" customHeight="1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2:27" ht="12.75" customHeight="1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2:27" ht="12.75" customHeight="1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2:27" ht="12.75" customHeight="1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2:27" ht="12.75" customHeight="1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2:27" ht="12.75" customHeight="1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2:27" ht="12.75" customHeight="1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2:27" ht="12.75" customHeight="1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2:27" ht="12.75" customHeight="1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2:27" ht="12.75" customHeight="1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2:27" ht="12.75" customHeight="1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2:27" ht="12.75" customHeight="1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2:27" ht="12.75" customHeight="1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2:27" ht="12.75" customHeight="1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2:27" ht="12.75" customHeight="1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2:27" ht="12.75" customHeight="1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2:27" ht="12.75" customHeight="1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2:27" ht="12.75" customHeight="1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2:27" ht="12.75" customHeight="1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2:27" ht="12.75" customHeight="1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2:27" ht="12.75" customHeight="1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2:27" ht="12.75" customHeight="1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2:27" ht="12.75" customHeight="1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2:27" ht="12.75" customHeight="1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2:27" ht="12.75" customHeight="1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2:27" ht="12.75" customHeight="1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2:27" ht="12.75" customHeight="1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2:27" ht="12.75" customHeight="1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2:27" ht="12.75" customHeight="1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2:27" ht="12.75" customHeight="1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2:27" ht="12.75" customHeight="1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2:27" ht="12.75" customHeight="1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2:27" ht="12.75" customHeight="1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2:27" ht="12.75" customHeight="1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2:27" ht="12.75" customHeight="1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2:27" ht="12.75" customHeight="1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2:27" ht="12.75" customHeight="1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2:27" ht="12.75" customHeight="1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2:27" ht="12.75" customHeight="1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2:27" ht="12.75" customHeight="1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2:27" ht="12.75" customHeight="1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2:27" ht="12.75" customHeight="1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2:27" ht="12.75" customHeight="1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2:27" ht="12.75" customHeight="1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2:27" ht="12.75" customHeight="1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2:27" ht="12.75" customHeight="1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2:27" ht="12.75" customHeight="1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2:27" ht="12.75" customHeight="1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2:27" ht="12.75" customHeight="1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2:27" ht="12.75" customHeight="1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2:27" ht="12.75" customHeight="1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2:27" ht="12.75" customHeight="1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2:27" ht="12.75" customHeight="1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2:27" ht="12.75" customHeight="1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2:27" ht="12.75" customHeight="1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2:27" ht="12.75" customHeight="1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2:27" ht="12.75" customHeight="1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2:27" ht="12.75" customHeight="1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2:27" ht="12.75" customHeight="1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2:27" ht="12.75" customHeight="1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2:27" ht="12.75" customHeight="1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2:27" ht="12.75" customHeight="1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2:27" ht="12.75" customHeight="1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2:27" ht="12.75" customHeight="1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2:27" ht="12.75" customHeight="1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2:27" ht="12.75" customHeight="1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2:27" ht="12.75" customHeight="1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2:27" ht="12.75" customHeight="1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2:27" ht="12.75" customHeight="1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2:27" ht="12.75" customHeight="1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2:27" ht="12.75" customHeight="1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2:27" ht="12.75" customHeight="1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2:27" ht="12.75" customHeight="1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2:27" ht="12.75" customHeight="1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2:27" ht="12.75" customHeight="1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2:27" ht="12.75" customHeight="1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2:27" ht="12.75" customHeight="1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2:27" ht="12.75" customHeight="1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2:27" ht="12.75" customHeight="1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2:27" ht="12.75" customHeight="1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2:27" ht="12.75" customHeight="1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2:27" ht="12.75" customHeight="1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2:27" ht="12.75" customHeight="1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2:27" ht="12.75" customHeight="1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2:27" ht="12.75" customHeight="1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2:27" ht="12.75" customHeight="1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2:27" ht="12.75" customHeight="1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2:27" ht="12.75" customHeight="1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2:27" ht="12.75" customHeight="1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2:27" ht="12.75" customHeight="1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2:27" ht="12.75" customHeight="1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2:27" ht="12.75" customHeight="1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2:27" ht="12.75" customHeight="1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2:27" ht="12.75" customHeight="1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2:27" ht="12.75" customHeight="1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2:27" ht="12.75" customHeight="1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2:27" ht="12.75" customHeight="1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2:27" ht="12.75" customHeight="1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2:27" ht="12.75" customHeight="1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2:27" ht="12.75" customHeight="1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2:27" ht="12.75" customHeight="1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2:27" ht="12.75" customHeight="1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2:27" ht="12.75" customHeight="1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2:27" ht="12.75" customHeight="1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2:27" ht="12.75" customHeight="1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2:27" ht="12.75" customHeight="1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2:27" ht="12.75" customHeight="1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2:27" ht="12.75" customHeight="1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2:27" ht="12.75" customHeight="1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2:27" ht="12.75" customHeight="1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2:27" ht="12.75" customHeight="1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2:27" ht="12.75" customHeight="1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2:27" ht="12.75" customHeight="1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2:27" ht="12.75" customHeight="1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2:27" ht="12.75" customHeight="1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2:27" ht="12.75" customHeight="1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2:27" ht="12.75" customHeight="1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2:27" ht="12.75" customHeight="1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2:27" ht="12.75" customHeight="1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2:27" ht="12.75" customHeight="1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2:27" ht="12.75" customHeight="1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2:27" ht="12.75" customHeight="1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2:27" ht="12.75" customHeight="1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2:27" ht="12.75" customHeight="1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2:27" ht="12.75" customHeight="1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2:27" ht="12.75" customHeight="1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2:27" ht="12.75" customHeight="1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2:27" ht="12.75" customHeight="1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2:27" ht="12.75" customHeight="1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2:27" ht="12.75" customHeight="1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2:27" ht="12.75" customHeight="1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2:27" ht="12.75" customHeight="1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2:27" ht="12.75" customHeight="1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2:27" ht="12.75" customHeight="1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2:27" ht="12.75" customHeight="1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2:27" ht="12.75" customHeight="1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2:27" ht="12.75" customHeight="1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2:27" ht="12.75" customHeight="1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2:27" ht="12.75" customHeight="1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2:27" ht="12.75" customHeight="1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2:27" ht="12.75" customHeight="1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2:27" ht="12.75" customHeight="1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2:27" ht="12.75" customHeight="1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2:27" ht="12.75" customHeight="1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2:27" ht="12.75" customHeight="1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2:27" ht="12.75" customHeight="1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2:27" ht="12.75" customHeight="1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2:27" ht="12.75" customHeight="1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2:27" ht="12.75" customHeight="1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2:27" ht="12.75" customHeight="1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2:27" ht="12.75" customHeight="1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2:27" ht="12.75" customHeight="1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2:27" ht="12.75" customHeight="1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2:27" ht="12.75" customHeight="1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2:27" ht="12.75" customHeight="1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2:27" ht="12.75" customHeight="1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2:27" ht="12.75" customHeight="1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2:27" ht="12.75" customHeight="1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2:27" ht="12.75" customHeight="1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2:27" ht="12.75" customHeight="1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2:27" ht="12.75" customHeight="1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2:27" ht="12.75" customHeight="1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2:27" ht="12.75" customHeight="1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2:27" ht="12.75" customHeight="1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2:27" ht="12.75" customHeight="1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2:27" ht="12.75" customHeight="1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2:27" ht="12.75" customHeight="1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2:27" ht="12.75" customHeight="1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2:27" ht="12.75" customHeight="1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2:27" ht="12.75" customHeight="1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2:27" ht="12.75" customHeight="1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2:27" ht="12.75" customHeight="1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2:27" ht="12.75" customHeight="1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2:27" ht="12.75" customHeight="1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2:27" ht="12.75" customHeight="1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2:27" ht="12.75" customHeight="1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2:27" ht="12.75" customHeight="1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2:27" ht="12.75" customHeight="1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2:27" ht="12.75" customHeight="1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2:27" ht="12.75" customHeight="1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2:27" ht="12.75" customHeight="1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2:27" ht="12.75" customHeight="1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2:27" ht="12.75" customHeight="1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2:27" ht="12.75" customHeight="1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2:27" ht="12.75" customHeight="1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2:27" ht="12.75" customHeight="1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2:27" ht="12.75" customHeight="1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2:27" ht="12.75" customHeight="1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2:27" ht="12.75" customHeight="1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2:27" ht="12.75" customHeight="1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2:27" ht="12.75" customHeight="1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2:27" ht="12.75" customHeight="1"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2:27" ht="15" customHeight="1"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</row>
    <row r="1003" spans="2:27" ht="15" customHeight="1"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</row>
    <row r="1004" spans="2:27" ht="15" customHeight="1"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</row>
  </sheetData>
  <pageMargins left="0.5" right="0.5" top="0.5" bottom="0.5" header="0" footer="0"/>
  <pageSetup scale="8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11752"/>
  </sheetPr>
  <dimension ref="A1:Z1000"/>
  <sheetViews>
    <sheetView showGridLines="0" workbookViewId="0"/>
  </sheetViews>
  <sheetFormatPr defaultColWidth="14.42578125" defaultRowHeight="15" customHeight="1"/>
  <cols>
    <col min="1" max="26" width="8.5703125" customWidth="1"/>
  </cols>
  <sheetData>
    <row r="1" spans="1:26" ht="12.7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" footer="0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B3DBF-5405-D145-BBFD-F72166202723}">
  <dimension ref="A1:I57"/>
  <sheetViews>
    <sheetView showGridLines="0" topLeftCell="A8" zoomScale="68" zoomScaleNormal="68" workbookViewId="0">
      <selection activeCell="E26" sqref="E26"/>
    </sheetView>
  </sheetViews>
  <sheetFormatPr defaultColWidth="9.140625" defaultRowHeight="14.45"/>
  <cols>
    <col min="1" max="1" width="32.85546875" customWidth="1"/>
  </cols>
  <sheetData>
    <row r="1" spans="1:9">
      <c r="A1" s="28" t="s">
        <v>337</v>
      </c>
      <c r="B1" s="28"/>
      <c r="C1" s="28"/>
      <c r="D1" s="28"/>
      <c r="E1" s="28"/>
      <c r="F1" s="28"/>
      <c r="G1" s="28"/>
      <c r="H1" s="28"/>
      <c r="I1" s="28"/>
    </row>
    <row r="2" spans="1:9">
      <c r="A2" s="28" t="s">
        <v>338</v>
      </c>
      <c r="B2" s="28"/>
      <c r="C2" s="28"/>
      <c r="D2" s="28"/>
      <c r="E2" s="28"/>
      <c r="F2" s="28"/>
      <c r="G2" s="28"/>
      <c r="H2" s="28"/>
      <c r="I2" s="28"/>
    </row>
    <row r="3" spans="1:9">
      <c r="A3" s="28" t="s">
        <v>339</v>
      </c>
      <c r="B3" s="28"/>
      <c r="C3" s="28"/>
      <c r="D3" s="28"/>
      <c r="E3" s="28"/>
      <c r="F3" s="28"/>
      <c r="G3" s="28"/>
      <c r="H3" s="28"/>
      <c r="I3" s="28"/>
    </row>
    <row r="4" spans="1:9">
      <c r="A4" s="28"/>
      <c r="B4" s="28" t="s">
        <v>340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  <c r="H4" s="28" t="s">
        <v>346</v>
      </c>
      <c r="I4" s="28" t="s">
        <v>347</v>
      </c>
    </row>
    <row r="5" spans="1:9">
      <c r="A5" s="29" t="s">
        <v>348</v>
      </c>
      <c r="B5" s="29"/>
      <c r="C5" s="29"/>
      <c r="D5" s="29"/>
      <c r="E5" s="29"/>
      <c r="F5" s="29"/>
      <c r="G5" s="29"/>
      <c r="H5" s="29"/>
      <c r="I5" s="29"/>
    </row>
    <row r="6" spans="1:9">
      <c r="A6" s="30" t="s">
        <v>349</v>
      </c>
      <c r="B6" s="31">
        <v>127.050555</v>
      </c>
      <c r="C6" s="31">
        <v>437.77100300000001</v>
      </c>
      <c r="D6" s="31">
        <v>584.364104</v>
      </c>
      <c r="E6" s="31">
        <v>1235.0566719999999</v>
      </c>
      <c r="F6" s="31">
        <v>1974.093656</v>
      </c>
      <c r="G6" s="31">
        <v>3514.899856</v>
      </c>
      <c r="H6" s="31">
        <v>4790.2859390000003</v>
      </c>
      <c r="I6" s="31">
        <v>6856.5696760000001</v>
      </c>
    </row>
    <row r="7" spans="1:9">
      <c r="A7" s="32" t="s">
        <v>350</v>
      </c>
      <c r="B7" s="33">
        <v>96.555217999999996</v>
      </c>
      <c r="C7" s="33">
        <v>294.53687600000001</v>
      </c>
      <c r="D7" s="33">
        <v>359.13022799999999</v>
      </c>
      <c r="E7" s="33">
        <v>568.10861299999999</v>
      </c>
      <c r="F7" s="33">
        <v>827.31447100000003</v>
      </c>
      <c r="G7" s="33">
        <v>1622.688439</v>
      </c>
      <c r="H7" s="33">
        <v>2126.681114</v>
      </c>
      <c r="I7" s="33">
        <v>2829.656113</v>
      </c>
    </row>
    <row r="8" spans="1:9">
      <c r="A8" s="34" t="s">
        <v>351</v>
      </c>
      <c r="B8" s="35">
        <v>80.431624999999997</v>
      </c>
      <c r="C8" s="35">
        <v>234.92882</v>
      </c>
      <c r="D8" s="35">
        <v>289.09189300000003</v>
      </c>
      <c r="E8" s="35">
        <v>391.61136399999998</v>
      </c>
      <c r="F8" s="35">
        <v>642.19582700000001</v>
      </c>
      <c r="G8" s="35">
        <v>1339.869539</v>
      </c>
      <c r="H8" s="35">
        <v>1637.304251</v>
      </c>
      <c r="I8" s="35">
        <v>2613.0053160000002</v>
      </c>
    </row>
    <row r="9" spans="1:9">
      <c r="A9" s="36" t="s">
        <v>352</v>
      </c>
      <c r="B9" s="33">
        <v>16.123593</v>
      </c>
      <c r="C9" s="33">
        <v>59.608055999999998</v>
      </c>
      <c r="D9" s="33">
        <v>70.038335000000004</v>
      </c>
      <c r="E9" s="33">
        <v>176.49724900000001</v>
      </c>
      <c r="F9" s="33">
        <v>185.11864499999999</v>
      </c>
      <c r="G9" s="33">
        <v>282.81890099999998</v>
      </c>
      <c r="H9" s="33">
        <v>489.37686200000002</v>
      </c>
      <c r="I9" s="33">
        <v>216.65079700000001</v>
      </c>
    </row>
    <row r="10" spans="1:9">
      <c r="A10" s="37" t="s">
        <v>214</v>
      </c>
      <c r="B10" s="35">
        <v>16.123593</v>
      </c>
      <c r="C10" s="35">
        <v>59.608055999999998</v>
      </c>
      <c r="D10" s="35">
        <v>70.038335000000004</v>
      </c>
      <c r="E10" s="35">
        <v>176.49724900000001</v>
      </c>
      <c r="F10" s="35">
        <v>185.11864499999999</v>
      </c>
      <c r="G10" s="35">
        <v>282.81890099999998</v>
      </c>
      <c r="H10" s="35">
        <v>489.37686200000002</v>
      </c>
      <c r="I10" s="35">
        <v>216.65079700000001</v>
      </c>
    </row>
    <row r="11" spans="1:9">
      <c r="A11" s="38" t="s">
        <v>353</v>
      </c>
      <c r="B11" s="33">
        <v>30.495336999999999</v>
      </c>
      <c r="C11" s="33">
        <v>143.234127</v>
      </c>
      <c r="D11" s="33">
        <v>225.23387600000001</v>
      </c>
      <c r="E11" s="33">
        <v>666.94805899999994</v>
      </c>
      <c r="F11" s="33">
        <v>1146.7791850000001</v>
      </c>
      <c r="G11" s="33">
        <v>1892.2114160000001</v>
      </c>
      <c r="H11" s="33">
        <v>2663.6048249999999</v>
      </c>
      <c r="I11" s="33">
        <v>4026.9135630000001</v>
      </c>
    </row>
    <row r="12" spans="1:9">
      <c r="A12" s="39" t="s">
        <v>354</v>
      </c>
      <c r="B12" s="31">
        <v>257.21580899999998</v>
      </c>
      <c r="C12" s="31">
        <v>567.44608900000003</v>
      </c>
      <c r="D12" s="31">
        <v>519.42368399999998</v>
      </c>
      <c r="E12" s="31">
        <v>692.03225999999995</v>
      </c>
      <c r="F12" s="31">
        <v>925.62262699999997</v>
      </c>
      <c r="G12" s="31">
        <v>1452.9729629999999</v>
      </c>
      <c r="H12" s="31">
        <v>2181.8698129999998</v>
      </c>
      <c r="I12" s="31">
        <v>3307.167805</v>
      </c>
    </row>
    <row r="13" spans="1:9">
      <c r="A13" s="40" t="s">
        <v>355</v>
      </c>
      <c r="B13" s="29"/>
      <c r="C13" s="29"/>
      <c r="D13" s="29"/>
      <c r="E13" s="41">
        <v>39.025278</v>
      </c>
      <c r="F13" s="41">
        <v>44.757618000000001</v>
      </c>
      <c r="G13" s="41">
        <v>47.822389999999999</v>
      </c>
      <c r="H13" s="41">
        <v>68.619913999999994</v>
      </c>
      <c r="I13" s="29"/>
    </row>
    <row r="14" spans="1:9">
      <c r="A14" s="34" t="s">
        <v>356</v>
      </c>
      <c r="B14" s="35">
        <v>257.21580899999998</v>
      </c>
      <c r="C14" s="35">
        <v>567.44608900000003</v>
      </c>
      <c r="D14" s="35">
        <v>519.42368399999998</v>
      </c>
      <c r="E14" s="35">
        <v>653.00698199999999</v>
      </c>
      <c r="F14" s="35">
        <v>880.86500899999999</v>
      </c>
      <c r="G14" s="35">
        <v>1405.150574</v>
      </c>
      <c r="H14" s="35">
        <v>2113.2498989999999</v>
      </c>
      <c r="I14" s="35">
        <v>3307.167805</v>
      </c>
    </row>
    <row r="15" spans="1:9">
      <c r="A15" s="38" t="s">
        <v>357</v>
      </c>
      <c r="B15" s="33">
        <v>-226.72047000000001</v>
      </c>
      <c r="C15" s="33">
        <v>-424.21195999999998</v>
      </c>
      <c r="D15" s="33">
        <v>-294.18981000000002</v>
      </c>
      <c r="E15" s="33">
        <v>-25.084199999999999</v>
      </c>
      <c r="F15" s="33">
        <v>221.15656000000001</v>
      </c>
      <c r="G15" s="33">
        <v>439.23845</v>
      </c>
      <c r="H15" s="33">
        <v>481.73500999999999</v>
      </c>
      <c r="I15" s="33">
        <v>719.74576000000002</v>
      </c>
    </row>
    <row r="16" spans="1:9">
      <c r="A16" s="39" t="s">
        <v>358</v>
      </c>
      <c r="B16" s="31">
        <v>-12.625484999999999</v>
      </c>
      <c r="C16" s="31">
        <v>3.0858780000000001</v>
      </c>
      <c r="D16" s="31">
        <v>-0.55648600000000004</v>
      </c>
      <c r="E16" s="31">
        <v>29.390370000000001</v>
      </c>
      <c r="F16" s="31">
        <v>17.858194000000001</v>
      </c>
      <c r="G16" s="31">
        <v>9.0681399999999996</v>
      </c>
      <c r="H16" s="31">
        <v>12.583475</v>
      </c>
      <c r="I16" s="31">
        <v>21.879413</v>
      </c>
    </row>
    <row r="17" spans="1:9">
      <c r="A17" s="40" t="s">
        <v>359</v>
      </c>
      <c r="B17" s="41">
        <v>1.3472850000000001</v>
      </c>
      <c r="C17" s="41">
        <v>11.491847999999999</v>
      </c>
      <c r="D17" s="41">
        <v>19.662184</v>
      </c>
      <c r="E17" s="41">
        <v>15.85398</v>
      </c>
      <c r="F17" s="41">
        <v>12.611613999999999</v>
      </c>
      <c r="G17" s="41">
        <v>15.33967</v>
      </c>
      <c r="H17" s="41">
        <v>12.393673</v>
      </c>
      <c r="I17" s="41">
        <v>26.240713</v>
      </c>
    </row>
    <row r="18" spans="1:9">
      <c r="A18" s="34" t="s">
        <v>360</v>
      </c>
      <c r="B18" s="35">
        <v>0</v>
      </c>
      <c r="C18" s="35">
        <v>0</v>
      </c>
      <c r="D18" s="35">
        <v>0</v>
      </c>
      <c r="E18" s="35">
        <v>0</v>
      </c>
      <c r="F18" s="35">
        <v>0</v>
      </c>
      <c r="G18" s="35">
        <v>0</v>
      </c>
      <c r="H18" s="35">
        <v>12.575003000000001</v>
      </c>
      <c r="I18" s="42"/>
    </row>
    <row r="19" spans="1:9">
      <c r="A19" s="40" t="s">
        <v>361</v>
      </c>
      <c r="B19" s="43">
        <v>-13.972770000000001</v>
      </c>
      <c r="C19" s="43">
        <v>-8.4059699999999999</v>
      </c>
      <c r="D19" s="43">
        <v>-20.218669999999999</v>
      </c>
      <c r="E19" s="41">
        <v>13.536390000000001</v>
      </c>
      <c r="F19" s="41">
        <v>5.2465799999999998</v>
      </c>
      <c r="G19" s="43">
        <v>-6.2715300000000003</v>
      </c>
      <c r="H19" s="43">
        <v>-12.385199999999999</v>
      </c>
      <c r="I19" s="43">
        <v>-4.3613</v>
      </c>
    </row>
    <row r="20" spans="1:9">
      <c r="A20" s="39" t="s">
        <v>86</v>
      </c>
      <c r="B20" s="31">
        <v>2.436296</v>
      </c>
      <c r="C20" s="31">
        <v>4.5773760000000001</v>
      </c>
      <c r="D20" s="31">
        <v>16.874390999999999</v>
      </c>
      <c r="E20" s="31">
        <v>5.5028730000000001</v>
      </c>
      <c r="F20" s="31">
        <v>3.4875259999999999</v>
      </c>
      <c r="G20" s="31">
        <v>0</v>
      </c>
      <c r="H20" s="31">
        <v>0.54524099999999998</v>
      </c>
      <c r="I20" s="31">
        <v>1.7389000000000002E-2</v>
      </c>
    </row>
    <row r="21" spans="1:9">
      <c r="A21" s="40" t="s">
        <v>362</v>
      </c>
      <c r="B21" s="41">
        <v>2.436296</v>
      </c>
      <c r="C21" s="41">
        <v>4.5773760000000001</v>
      </c>
      <c r="D21" s="41">
        <v>16.874390999999999</v>
      </c>
      <c r="E21" s="41">
        <v>5.5028730000000001</v>
      </c>
      <c r="F21" s="41">
        <v>3.4875259999999999</v>
      </c>
      <c r="G21" s="41">
        <v>0</v>
      </c>
      <c r="H21" s="41">
        <v>0.54524099999999998</v>
      </c>
      <c r="I21" s="41">
        <v>1.7389000000000002E-2</v>
      </c>
    </row>
    <row r="22" spans="1:9">
      <c r="A22" s="39" t="s">
        <v>363</v>
      </c>
      <c r="B22" s="31">
        <v>2.913097</v>
      </c>
      <c r="C22" s="31">
        <v>31.487058999999999</v>
      </c>
      <c r="D22" s="31">
        <v>592.54899</v>
      </c>
      <c r="E22" s="31">
        <v>-97.720574999999997</v>
      </c>
      <c r="F22" s="31">
        <v>68.197581</v>
      </c>
      <c r="G22" s="31">
        <v>9.7255780000000005</v>
      </c>
      <c r="H22" s="31">
        <v>-19.544471999999999</v>
      </c>
      <c r="I22" s="31">
        <v>7.0716239999999999</v>
      </c>
    </row>
    <row r="23" spans="1:9">
      <c r="A23" s="36" t="s">
        <v>364</v>
      </c>
      <c r="B23" s="38"/>
      <c r="C23" s="33">
        <v>30.282692000000001</v>
      </c>
      <c r="D23" s="33">
        <v>175.518091</v>
      </c>
      <c r="E23" s="33">
        <v>3.3131979999999999</v>
      </c>
      <c r="F23" s="33">
        <v>32.940216999999997</v>
      </c>
      <c r="G23" s="33">
        <v>0.738035</v>
      </c>
      <c r="H23" s="33">
        <v>1.2401310000000001</v>
      </c>
      <c r="I23" s="33">
        <v>1.1817569999999999</v>
      </c>
    </row>
    <row r="24" spans="1:9">
      <c r="A24" s="37" t="s">
        <v>365</v>
      </c>
      <c r="B24" s="42"/>
      <c r="C24" s="35">
        <v>30.282692000000001</v>
      </c>
      <c r="D24" s="35">
        <v>10.354183000000001</v>
      </c>
      <c r="E24" s="35">
        <v>3.3131979999999999</v>
      </c>
      <c r="F24" s="35">
        <v>32.940216999999997</v>
      </c>
      <c r="G24" s="35">
        <v>0.738035</v>
      </c>
      <c r="H24" s="35">
        <v>1.2401310000000001</v>
      </c>
      <c r="I24" s="35">
        <v>1.1817569999999999</v>
      </c>
    </row>
    <row r="25" spans="1:9">
      <c r="A25" s="44" t="s">
        <v>366</v>
      </c>
      <c r="B25" s="29"/>
      <c r="C25" s="29"/>
      <c r="D25" s="41">
        <v>165.16390799999999</v>
      </c>
      <c r="E25" s="41">
        <v>0</v>
      </c>
      <c r="F25" s="41">
        <v>0</v>
      </c>
      <c r="G25" s="29"/>
      <c r="H25" s="29"/>
      <c r="I25" s="29"/>
    </row>
    <row r="26" spans="1:9">
      <c r="A26" s="34" t="s">
        <v>367</v>
      </c>
      <c r="B26" s="35">
        <v>0</v>
      </c>
      <c r="C26" s="35">
        <v>0</v>
      </c>
      <c r="D26" s="35">
        <v>0</v>
      </c>
      <c r="E26" s="35">
        <v>0</v>
      </c>
      <c r="F26" s="35">
        <v>0</v>
      </c>
      <c r="G26" s="35">
        <v>0</v>
      </c>
      <c r="H26" s="35">
        <v>0</v>
      </c>
      <c r="I26" s="35">
        <v>0.97559300000000004</v>
      </c>
    </row>
    <row r="27" spans="1:9">
      <c r="A27" s="40" t="s">
        <v>368</v>
      </c>
      <c r="B27" s="29"/>
      <c r="C27" s="29"/>
      <c r="D27" s="41">
        <v>417.03089899999998</v>
      </c>
      <c r="E27" s="43">
        <v>-101.033773</v>
      </c>
      <c r="F27" s="41">
        <v>52.745187000000001</v>
      </c>
      <c r="G27" s="41">
        <v>8.9875430000000005</v>
      </c>
      <c r="H27" s="43">
        <v>-20.784604000000002</v>
      </c>
      <c r="I27" s="41">
        <v>4.9142739999999998</v>
      </c>
    </row>
    <row r="28" spans="1:9">
      <c r="A28" s="45" t="s">
        <v>369</v>
      </c>
      <c r="B28" s="31">
        <v>-2.913097</v>
      </c>
      <c r="C28" s="31">
        <v>-1.204367</v>
      </c>
      <c r="D28" s="31">
        <v>0</v>
      </c>
      <c r="E28" s="31">
        <v>0</v>
      </c>
      <c r="F28" s="31">
        <v>-0.94762000000000002</v>
      </c>
      <c r="G28" s="31">
        <v>0</v>
      </c>
      <c r="H28" s="31">
        <v>0</v>
      </c>
      <c r="I28" s="30"/>
    </row>
    <row r="29" spans="1:9">
      <c r="A29" s="44" t="s">
        <v>370</v>
      </c>
      <c r="B29" s="43">
        <v>-2.913097</v>
      </c>
      <c r="C29" s="43">
        <v>-1.204367</v>
      </c>
      <c r="D29" s="41">
        <v>0</v>
      </c>
      <c r="E29" s="41">
        <v>0</v>
      </c>
      <c r="F29" s="43">
        <v>-0.94762000000000002</v>
      </c>
      <c r="G29" s="41">
        <v>0</v>
      </c>
      <c r="H29" s="41">
        <v>0</v>
      </c>
      <c r="I29" s="29"/>
    </row>
    <row r="30" spans="1:9">
      <c r="A30" s="34" t="s">
        <v>371</v>
      </c>
      <c r="B30" s="42"/>
      <c r="C30" s="42"/>
      <c r="D30" s="42"/>
      <c r="E30" s="42"/>
      <c r="F30" s="46">
        <v>-18.435442999999999</v>
      </c>
      <c r="G30" s="35">
        <v>0</v>
      </c>
      <c r="H30" s="35">
        <v>0</v>
      </c>
      <c r="I30" s="42"/>
    </row>
    <row r="31" spans="1:9">
      <c r="A31" s="38" t="s">
        <v>372</v>
      </c>
      <c r="B31" s="33">
        <v>-244.69535400000001</v>
      </c>
      <c r="C31" s="33">
        <v>-457.19051400000001</v>
      </c>
      <c r="D31" s="33">
        <v>-904.16967499999998</v>
      </c>
      <c r="E31" s="33">
        <v>96.523866999999996</v>
      </c>
      <c r="F31" s="33">
        <v>167.32964999999999</v>
      </c>
      <c r="G31" s="33">
        <v>438.58100999999999</v>
      </c>
      <c r="H31" s="33">
        <v>513.317722</v>
      </c>
      <c r="I31" s="33">
        <v>734.53615500000001</v>
      </c>
    </row>
    <row r="32" spans="1:9">
      <c r="A32" s="39" t="s">
        <v>373</v>
      </c>
      <c r="B32" s="31">
        <v>0</v>
      </c>
      <c r="C32" s="31">
        <v>0.20072799999999999</v>
      </c>
      <c r="D32" s="31">
        <v>-92.405005000000003</v>
      </c>
      <c r="E32" s="31">
        <v>-9.9019150000000007</v>
      </c>
      <c r="F32" s="31">
        <v>94.821967000000001</v>
      </c>
      <c r="G32" s="31">
        <v>36.616084000000001</v>
      </c>
      <c r="H32" s="31">
        <v>105.956694</v>
      </c>
      <c r="I32" s="31">
        <v>233.679507</v>
      </c>
    </row>
    <row r="33" spans="1:9">
      <c r="A33" s="40" t="s">
        <v>374</v>
      </c>
      <c r="B33" s="41">
        <v>0</v>
      </c>
      <c r="C33" s="29"/>
      <c r="D33" s="29"/>
      <c r="E33" s="41">
        <v>5.5820000000000002E-2</v>
      </c>
      <c r="F33" s="41">
        <v>21.389682000000001</v>
      </c>
      <c r="G33" s="41">
        <v>56.603724</v>
      </c>
      <c r="H33" s="41">
        <v>95.051736000000005</v>
      </c>
      <c r="I33" s="29"/>
    </row>
    <row r="34" spans="1:9">
      <c r="A34" s="34" t="s">
        <v>375</v>
      </c>
      <c r="B34" s="35">
        <v>0</v>
      </c>
      <c r="C34" s="42"/>
      <c r="D34" s="42"/>
      <c r="E34" s="46">
        <v>-9.9577349999999996</v>
      </c>
      <c r="F34" s="35">
        <v>73.432284999999993</v>
      </c>
      <c r="G34" s="46">
        <v>-19.987639999999999</v>
      </c>
      <c r="H34" s="35">
        <v>10.904959</v>
      </c>
      <c r="I34" s="42"/>
    </row>
    <row r="35" spans="1:9">
      <c r="A35" s="47" t="s">
        <v>376</v>
      </c>
      <c r="B35" s="43">
        <v>-237.44585699999999</v>
      </c>
      <c r="C35" s="43">
        <v>-80.198937000000001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29"/>
    </row>
    <row r="36" spans="1:9">
      <c r="A36" s="30" t="s">
        <v>377</v>
      </c>
      <c r="B36" s="31">
        <v>-482.141211</v>
      </c>
      <c r="C36" s="31">
        <v>-537.59017900000003</v>
      </c>
      <c r="D36" s="31">
        <v>-811.76467000000002</v>
      </c>
      <c r="E36" s="31">
        <v>106.425782</v>
      </c>
      <c r="F36" s="31">
        <v>72.507683</v>
      </c>
      <c r="G36" s="31">
        <v>401.96492599999999</v>
      </c>
      <c r="H36" s="31">
        <v>407.36102799999998</v>
      </c>
      <c r="I36" s="31">
        <v>500.85664800000001</v>
      </c>
    </row>
    <row r="37" spans="1:9">
      <c r="A37" s="47" t="s">
        <v>378</v>
      </c>
      <c r="B37" s="41">
        <v>0</v>
      </c>
      <c r="C37" s="43">
        <v>-0.300151</v>
      </c>
      <c r="D37" s="43">
        <v>-2.0116670000000001</v>
      </c>
      <c r="E37" s="41">
        <v>1.6746E-2</v>
      </c>
      <c r="F37" s="41">
        <v>0</v>
      </c>
      <c r="G37" s="41">
        <v>0</v>
      </c>
      <c r="H37" s="41">
        <v>0</v>
      </c>
      <c r="I37" s="29"/>
    </row>
    <row r="38" spans="1:9">
      <c r="A38" s="30" t="s">
        <v>379</v>
      </c>
      <c r="B38" s="31">
        <v>-482.141211</v>
      </c>
      <c r="C38" s="31">
        <v>-537.29002800000001</v>
      </c>
      <c r="D38" s="31">
        <v>-809.75300300000004</v>
      </c>
      <c r="E38" s="31">
        <v>106.409036</v>
      </c>
      <c r="F38" s="31">
        <v>72.507683</v>
      </c>
      <c r="G38" s="31">
        <v>401.96492599999999</v>
      </c>
      <c r="H38" s="31">
        <v>407.36102799999998</v>
      </c>
      <c r="I38" s="31">
        <v>500.85664800000001</v>
      </c>
    </row>
    <row r="39" spans="1:9">
      <c r="A39" s="47" t="s">
        <v>380</v>
      </c>
      <c r="B39" s="43">
        <v>-482.141211</v>
      </c>
      <c r="C39" s="43">
        <v>-537.29002800000001</v>
      </c>
      <c r="D39" s="43">
        <v>-809.75300300000004</v>
      </c>
      <c r="E39" s="41">
        <v>106.409036</v>
      </c>
      <c r="F39" s="41">
        <v>72.507683</v>
      </c>
      <c r="G39" s="41">
        <v>401.96492599999999</v>
      </c>
      <c r="H39" s="41">
        <v>407.36102799999998</v>
      </c>
      <c r="I39" s="41">
        <v>500.85664800000001</v>
      </c>
    </row>
    <row r="40" spans="1:9">
      <c r="A40" s="30" t="s">
        <v>381</v>
      </c>
      <c r="B40" s="30"/>
      <c r="C40" s="30"/>
      <c r="D40" s="30"/>
      <c r="E40" s="30"/>
      <c r="F40" s="30"/>
      <c r="G40" s="30"/>
      <c r="H40" s="30"/>
      <c r="I40" s="30"/>
    </row>
    <row r="41" spans="1:9">
      <c r="A41" s="47" t="s">
        <v>382</v>
      </c>
      <c r="B41" s="48">
        <v>-1.997698</v>
      </c>
      <c r="C41" s="48">
        <v>-2.1221410000000001</v>
      </c>
      <c r="D41" s="48">
        <v>-1.560236</v>
      </c>
      <c r="E41" s="49">
        <v>0.14235</v>
      </c>
      <c r="F41" s="49">
        <v>0.382299</v>
      </c>
      <c r="G41" s="49">
        <v>1.2912539999999999</v>
      </c>
      <c r="H41" s="49">
        <v>1.236043</v>
      </c>
      <c r="I41" s="29"/>
    </row>
    <row r="42" spans="1:9">
      <c r="A42" s="39" t="s">
        <v>383</v>
      </c>
      <c r="B42" s="50">
        <v>-2.0062000000000002</v>
      </c>
      <c r="C42" s="50">
        <v>-2.2128999999999999</v>
      </c>
      <c r="D42" s="50">
        <v>-3.1987000000000001</v>
      </c>
      <c r="E42" s="50">
        <v>0.42030000000000001</v>
      </c>
      <c r="F42" s="50">
        <v>0.23449999999999999</v>
      </c>
      <c r="G42" s="50">
        <v>1.27</v>
      </c>
      <c r="H42" s="50">
        <v>1.28</v>
      </c>
      <c r="I42" s="50">
        <v>1.5620000000000001</v>
      </c>
    </row>
    <row r="43" spans="1:9">
      <c r="A43" s="40" t="s">
        <v>384</v>
      </c>
      <c r="B43" s="49">
        <v>240.32761400000001</v>
      </c>
      <c r="C43" s="49">
        <v>242.79685000000001</v>
      </c>
      <c r="D43" s="49">
        <v>253.14685</v>
      </c>
      <c r="E43" s="49">
        <v>253.17084299999999</v>
      </c>
      <c r="F43" s="49">
        <v>309.13480099999998</v>
      </c>
      <c r="G43" s="49">
        <v>316.51371399999999</v>
      </c>
      <c r="H43" s="49">
        <v>318.24610200000001</v>
      </c>
      <c r="I43" s="49">
        <v>320.64233200000001</v>
      </c>
    </row>
    <row r="44" spans="1:9">
      <c r="A44" s="34" t="s">
        <v>385</v>
      </c>
      <c r="B44" s="51">
        <v>41.841864000000001</v>
      </c>
      <c r="C44" s="51">
        <v>83.085965999999999</v>
      </c>
      <c r="D44" s="51">
        <v>235.049531</v>
      </c>
      <c r="E44" s="51">
        <v>243.80717300000001</v>
      </c>
      <c r="F44" s="51">
        <v>259.97524399999998</v>
      </c>
      <c r="G44" s="51">
        <v>261.66004199999998</v>
      </c>
      <c r="H44" s="51">
        <v>265.58691900000002</v>
      </c>
      <c r="I44" s="42"/>
    </row>
    <row r="45" spans="1:9">
      <c r="A45" s="32" t="s">
        <v>386</v>
      </c>
      <c r="B45" s="52">
        <v>-2.0062000000000002</v>
      </c>
      <c r="C45" s="52">
        <v>-2.2128999999999999</v>
      </c>
      <c r="D45" s="52">
        <v>-3.1987000000000001</v>
      </c>
      <c r="E45" s="52">
        <v>0.39860000000000001</v>
      </c>
      <c r="F45" s="52">
        <v>0.23050000000000001</v>
      </c>
      <c r="G45" s="52">
        <v>1.2698</v>
      </c>
      <c r="H45" s="52">
        <v>1.2789999999999999</v>
      </c>
      <c r="I45" s="52">
        <v>1.5581</v>
      </c>
    </row>
    <row r="46" spans="1:9">
      <c r="A46" s="34" t="s">
        <v>387</v>
      </c>
      <c r="B46" s="51">
        <v>240.32761400000001</v>
      </c>
      <c r="C46" s="51">
        <v>242.79685000000001</v>
      </c>
      <c r="D46" s="51">
        <v>253.14685</v>
      </c>
      <c r="E46" s="51">
        <v>266.98053199999998</v>
      </c>
      <c r="F46" s="51">
        <v>314.53420299999999</v>
      </c>
      <c r="G46" s="51">
        <v>316.57041299999997</v>
      </c>
      <c r="H46" s="51">
        <v>318.50025599999998</v>
      </c>
      <c r="I46" s="51">
        <v>321.02163000000002</v>
      </c>
    </row>
    <row r="47" spans="1:9">
      <c r="A47" s="40" t="s">
        <v>385</v>
      </c>
      <c r="B47" s="49">
        <v>41.841864000000001</v>
      </c>
      <c r="C47" s="49">
        <v>83.085965999999999</v>
      </c>
      <c r="D47" s="49">
        <v>235.049531</v>
      </c>
      <c r="E47" s="49">
        <v>243.80717300000001</v>
      </c>
      <c r="F47" s="49">
        <v>259.97524399999998</v>
      </c>
      <c r="G47" s="49">
        <v>261.66004199999998</v>
      </c>
      <c r="H47" s="49">
        <v>265.58691900000002</v>
      </c>
      <c r="I47" s="29"/>
    </row>
    <row r="48" spans="1:9">
      <c r="A48" s="53" t="s">
        <v>388</v>
      </c>
      <c r="B48" s="42"/>
      <c r="C48" s="51">
        <v>57.488</v>
      </c>
      <c r="D48" s="51">
        <v>32.375999999999998</v>
      </c>
      <c r="E48" s="51">
        <v>54.405999999999999</v>
      </c>
      <c r="F48" s="51">
        <v>67.674000000000007</v>
      </c>
      <c r="G48" s="51">
        <v>61.951000000000001</v>
      </c>
      <c r="H48" s="51">
        <v>80.427000000000007</v>
      </c>
      <c r="I48" s="51">
        <v>72.802000000000007</v>
      </c>
    </row>
    <row r="49" spans="1:9">
      <c r="A49" s="38" t="s">
        <v>222</v>
      </c>
      <c r="B49" s="38"/>
      <c r="C49" s="38"/>
      <c r="D49" s="38"/>
      <c r="E49" s="38"/>
      <c r="F49" s="38"/>
      <c r="G49" s="38"/>
      <c r="H49" s="38"/>
      <c r="I49" s="38"/>
    </row>
    <row r="50" spans="1:9">
      <c r="A50" s="39" t="s">
        <v>222</v>
      </c>
      <c r="B50" s="31">
        <v>-210.59688</v>
      </c>
      <c r="C50" s="31">
        <v>-364.60390000000001</v>
      </c>
      <c r="D50" s="31">
        <v>-224.15147999999999</v>
      </c>
      <c r="E50" s="31">
        <v>151.41305</v>
      </c>
      <c r="F50" s="31">
        <v>406.27519999999998</v>
      </c>
      <c r="G50" s="31">
        <v>722.05735000000004</v>
      </c>
      <c r="H50" s="31">
        <v>971.11186999999995</v>
      </c>
      <c r="I50" s="31">
        <v>936.39656000000002</v>
      </c>
    </row>
    <row r="51" spans="1:9">
      <c r="A51" s="40" t="s">
        <v>56</v>
      </c>
      <c r="B51" s="43">
        <v>-226.72047000000001</v>
      </c>
      <c r="C51" s="43">
        <v>-424.21195999999998</v>
      </c>
      <c r="D51" s="43">
        <v>-294.18981000000002</v>
      </c>
      <c r="E51" s="43">
        <v>-25.084199999999999</v>
      </c>
      <c r="F51" s="41">
        <v>221.15656000000001</v>
      </c>
      <c r="G51" s="41">
        <v>439.23845</v>
      </c>
      <c r="H51" s="41">
        <v>481.73500999999999</v>
      </c>
      <c r="I51" s="41">
        <v>719.74576000000002</v>
      </c>
    </row>
    <row r="52" spans="1:9">
      <c r="A52" s="34" t="s">
        <v>352</v>
      </c>
      <c r="B52" s="35">
        <v>16.123593</v>
      </c>
      <c r="C52" s="35">
        <v>59.608055999999998</v>
      </c>
      <c r="D52" s="35">
        <v>70.038335000000004</v>
      </c>
      <c r="E52" s="35">
        <v>176.49724900000001</v>
      </c>
      <c r="F52" s="35">
        <v>185.11864499999999</v>
      </c>
      <c r="G52" s="35">
        <v>282.81890099999998</v>
      </c>
      <c r="H52" s="35">
        <v>489.37686200000002</v>
      </c>
      <c r="I52" s="35">
        <v>216.65079700000001</v>
      </c>
    </row>
    <row r="53" spans="1:9">
      <c r="A53" s="29" t="s">
        <v>389</v>
      </c>
      <c r="B53" s="29"/>
      <c r="C53" s="29"/>
      <c r="D53" s="29"/>
      <c r="E53" s="29"/>
      <c r="F53" s="29"/>
      <c r="G53" s="29"/>
      <c r="H53" s="29"/>
      <c r="I53" s="29"/>
    </row>
    <row r="54" spans="1:9">
      <c r="A54" s="42" t="s">
        <v>390</v>
      </c>
      <c r="B54" s="51">
        <v>38.359158999999998</v>
      </c>
      <c r="C54" s="51">
        <v>92.902822</v>
      </c>
      <c r="D54" s="51">
        <v>103.597323</v>
      </c>
      <c r="E54" s="51">
        <v>98.807193999999996</v>
      </c>
      <c r="F54" s="51">
        <v>130.04012399999999</v>
      </c>
      <c r="G54" s="51">
        <v>203.53001800000001</v>
      </c>
      <c r="H54" s="51">
        <v>340.99877900000001</v>
      </c>
      <c r="I54" s="42"/>
    </row>
    <row r="55" spans="1:9">
      <c r="A55" s="29" t="s">
        <v>391</v>
      </c>
      <c r="B55" s="29"/>
      <c r="C55" s="49">
        <v>16.529109999999999</v>
      </c>
      <c r="D55" s="49">
        <v>2.3936809999999999</v>
      </c>
      <c r="E55" s="49">
        <v>29.482351999999999</v>
      </c>
      <c r="F55" s="49">
        <v>35.297274999999999</v>
      </c>
      <c r="G55" s="49">
        <v>25.353390999999998</v>
      </c>
      <c r="H55" s="49">
        <v>38.021597</v>
      </c>
      <c r="I55" s="49">
        <v>62.988132999999998</v>
      </c>
    </row>
    <row r="56" spans="1:9">
      <c r="A56" s="42" t="s">
        <v>392</v>
      </c>
      <c r="B56" s="51">
        <v>1.9817100000000001</v>
      </c>
      <c r="C56" s="51">
        <v>2.8715510000000002</v>
      </c>
      <c r="D56" s="54">
        <v>-10.277397000000001</v>
      </c>
      <c r="E56" s="51">
        <v>18.632241</v>
      </c>
      <c r="F56" s="51">
        <v>1.5832269999999999</v>
      </c>
      <c r="G56" s="51">
        <v>0.41891200000000001</v>
      </c>
      <c r="H56" s="54">
        <v>-1.8395630000000001</v>
      </c>
      <c r="I56" s="54">
        <v>-3.720831</v>
      </c>
    </row>
    <row r="57" spans="1:9">
      <c r="A57" s="29" t="s">
        <v>150</v>
      </c>
      <c r="B57" s="29"/>
      <c r="C57" s="29"/>
      <c r="D57" s="29"/>
      <c r="E57" s="48">
        <v>-10.258514999999999</v>
      </c>
      <c r="F57" s="49">
        <v>56.667760999999999</v>
      </c>
      <c r="G57" s="49">
        <v>8.3487620000000007</v>
      </c>
      <c r="H57" s="49">
        <v>20.641542000000001</v>
      </c>
      <c r="I57" s="49">
        <v>31.813206999999998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B8159-2278-3742-900F-9AC1CDEE7CA5}">
  <dimension ref="A1:I71"/>
  <sheetViews>
    <sheetView showGridLines="0" topLeftCell="A32" zoomScale="92" workbookViewId="0">
      <selection activeCell="B13" sqref="B13"/>
    </sheetView>
  </sheetViews>
  <sheetFormatPr defaultRowHeight="14.45"/>
  <cols>
    <col min="1" max="1" width="34.140625" customWidth="1"/>
  </cols>
  <sheetData>
    <row r="1" spans="1:9">
      <c r="A1" s="28" t="s">
        <v>337</v>
      </c>
      <c r="B1" s="28"/>
      <c r="C1" s="28"/>
      <c r="D1" s="28"/>
      <c r="E1" s="28"/>
      <c r="F1" s="28"/>
      <c r="G1" s="28"/>
      <c r="H1" s="28"/>
      <c r="I1" s="28"/>
    </row>
    <row r="2" spans="1:9">
      <c r="A2" s="28" t="s">
        <v>338</v>
      </c>
      <c r="B2" s="28"/>
      <c r="C2" s="28"/>
      <c r="D2" s="28"/>
      <c r="E2" s="28"/>
      <c r="F2" s="28"/>
      <c r="G2" s="28"/>
      <c r="H2" s="28"/>
      <c r="I2" s="28"/>
    </row>
    <row r="3" spans="1:9">
      <c r="A3" s="28" t="s">
        <v>339</v>
      </c>
      <c r="B3" s="28"/>
      <c r="C3" s="28"/>
      <c r="D3" s="28"/>
      <c r="E3" s="28"/>
      <c r="F3" s="28"/>
      <c r="G3" s="28"/>
      <c r="H3" s="28"/>
      <c r="I3" s="28"/>
    </row>
    <row r="4" spans="1:9">
      <c r="A4" s="28"/>
      <c r="B4" s="28" t="s">
        <v>340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  <c r="H4" s="28" t="s">
        <v>346</v>
      </c>
      <c r="I4" s="28" t="s">
        <v>347</v>
      </c>
    </row>
    <row r="5" spans="1:9">
      <c r="A5" s="38" t="s">
        <v>393</v>
      </c>
      <c r="B5" s="38"/>
      <c r="C5" s="38"/>
      <c r="D5" s="38"/>
      <c r="E5" s="38"/>
      <c r="F5" s="38"/>
      <c r="G5" s="38"/>
      <c r="H5" s="38"/>
      <c r="I5" s="38"/>
    </row>
    <row r="6" spans="1:9">
      <c r="A6" s="39" t="s">
        <v>394</v>
      </c>
      <c r="B6" s="31">
        <v>256.48994299999998</v>
      </c>
      <c r="C6" s="31">
        <v>784.89168400000005</v>
      </c>
      <c r="D6" s="31">
        <v>789.93593099999998</v>
      </c>
      <c r="E6" s="31">
        <v>1025.4945990000001</v>
      </c>
      <c r="F6" s="31">
        <v>509.53924899999998</v>
      </c>
      <c r="G6" s="31">
        <v>501.36882800000001</v>
      </c>
      <c r="H6" s="31">
        <v>786.87961099999995</v>
      </c>
      <c r="I6" s="31">
        <v>1174.4019519999999</v>
      </c>
    </row>
    <row r="7" spans="1:9">
      <c r="A7" s="40" t="s">
        <v>395</v>
      </c>
      <c r="B7" s="41">
        <v>237.555238</v>
      </c>
      <c r="C7" s="41">
        <v>713.11138900000003</v>
      </c>
      <c r="D7" s="41">
        <v>751.70846200000005</v>
      </c>
      <c r="E7" s="41">
        <v>1025.4945990000001</v>
      </c>
      <c r="F7" s="41">
        <v>509.53924899999998</v>
      </c>
      <c r="G7" s="41">
        <v>421.84216500000002</v>
      </c>
      <c r="H7" s="41">
        <v>598.15597500000001</v>
      </c>
      <c r="I7" s="41">
        <v>329.05332600000003</v>
      </c>
    </row>
    <row r="8" spans="1:9">
      <c r="A8" s="34" t="s">
        <v>396</v>
      </c>
      <c r="B8" s="35">
        <v>18.934704</v>
      </c>
      <c r="C8" s="35">
        <v>71.780294999999995</v>
      </c>
      <c r="D8" s="35">
        <v>38.227468999999999</v>
      </c>
      <c r="E8" s="35">
        <v>0</v>
      </c>
      <c r="F8" s="35">
        <v>0</v>
      </c>
      <c r="G8" s="35">
        <v>79.526662999999999</v>
      </c>
      <c r="H8" s="35">
        <v>188.723636</v>
      </c>
      <c r="I8" s="35">
        <v>845.34862599999997</v>
      </c>
    </row>
    <row r="9" spans="1:9">
      <c r="A9" s="32" t="s">
        <v>233</v>
      </c>
      <c r="B9" s="33">
        <v>49.627859999999998</v>
      </c>
      <c r="C9" s="33">
        <v>76.935843000000006</v>
      </c>
      <c r="D9" s="33">
        <v>100.24832600000001</v>
      </c>
      <c r="E9" s="33">
        <v>133.59536199999999</v>
      </c>
      <c r="F9" s="33">
        <v>137.80442199999999</v>
      </c>
      <c r="G9" s="33">
        <v>199.09604899999999</v>
      </c>
      <c r="H9" s="33">
        <v>275.91232000000002</v>
      </c>
      <c r="I9" s="33">
        <v>105.44808</v>
      </c>
    </row>
    <row r="10" spans="1:9">
      <c r="A10" s="45" t="s">
        <v>397</v>
      </c>
      <c r="B10" s="31">
        <v>0.67130800000000002</v>
      </c>
      <c r="C10" s="31">
        <v>5.5975710000000003</v>
      </c>
      <c r="D10" s="31">
        <v>6.5917919999999999</v>
      </c>
      <c r="E10" s="31">
        <v>32.975906999999999</v>
      </c>
      <c r="F10" s="31">
        <v>30.309708000000001</v>
      </c>
      <c r="G10" s="31">
        <v>41.570740000000001</v>
      </c>
      <c r="H10" s="31">
        <v>75.310339999999997</v>
      </c>
      <c r="I10" s="31">
        <v>22.370728</v>
      </c>
    </row>
    <row r="11" spans="1:9">
      <c r="A11" s="44" t="s">
        <v>398</v>
      </c>
      <c r="B11" s="41">
        <v>0.67130800000000002</v>
      </c>
      <c r="C11" s="41">
        <v>5.5975710000000003</v>
      </c>
      <c r="D11" s="41">
        <v>6.5917919999999999</v>
      </c>
      <c r="E11" s="41">
        <v>32.975906999999999</v>
      </c>
      <c r="F11" s="41">
        <v>30.309708000000001</v>
      </c>
      <c r="G11" s="41">
        <v>41.570740000000001</v>
      </c>
      <c r="H11" s="41">
        <v>75.310339999999997</v>
      </c>
      <c r="I11" s="41">
        <v>22.370728</v>
      </c>
    </row>
    <row r="12" spans="1:9">
      <c r="A12" s="34" t="s">
        <v>399</v>
      </c>
      <c r="B12" s="35">
        <v>48.956552000000002</v>
      </c>
      <c r="C12" s="35">
        <v>71.338272000000003</v>
      </c>
      <c r="D12" s="35">
        <v>93.656533999999994</v>
      </c>
      <c r="E12" s="35">
        <v>100.619454</v>
      </c>
      <c r="F12" s="35">
        <v>107.494714</v>
      </c>
      <c r="G12" s="35">
        <v>157.52530899999999</v>
      </c>
      <c r="H12" s="35">
        <v>200.60198</v>
      </c>
      <c r="I12" s="35">
        <v>83.077352000000005</v>
      </c>
    </row>
    <row r="13" spans="1:9">
      <c r="A13" s="32" t="s">
        <v>400</v>
      </c>
      <c r="B13" s="33">
        <v>21.849920999999998</v>
      </c>
      <c r="C13" s="33">
        <v>55.348923999999997</v>
      </c>
      <c r="D13" s="33">
        <v>42.137067999999999</v>
      </c>
      <c r="E13" s="33">
        <v>93.097037</v>
      </c>
      <c r="F13" s="33">
        <v>173.54992300000001</v>
      </c>
      <c r="G13" s="33">
        <v>310.763938</v>
      </c>
      <c r="H13" s="33">
        <v>338.855773</v>
      </c>
      <c r="I13" s="33">
        <v>424.50519800000001</v>
      </c>
    </row>
    <row r="14" spans="1:9">
      <c r="A14" s="34" t="s">
        <v>401</v>
      </c>
      <c r="B14" s="35">
        <v>2.8021910000000001</v>
      </c>
      <c r="C14" s="35">
        <v>3.0723400000000001</v>
      </c>
      <c r="D14" s="35">
        <v>3.2684489999999999</v>
      </c>
      <c r="E14" s="35">
        <v>3.7079399999999998</v>
      </c>
      <c r="F14" s="35">
        <v>4.400938</v>
      </c>
      <c r="G14" s="35">
        <v>9.1847379999999994</v>
      </c>
      <c r="H14" s="35">
        <v>5.0162690000000003</v>
      </c>
      <c r="I14" s="42"/>
    </row>
    <row r="15" spans="1:9">
      <c r="A15" s="40" t="s">
        <v>402</v>
      </c>
      <c r="B15" s="41">
        <v>11.184002</v>
      </c>
      <c r="C15" s="41">
        <v>52.276584</v>
      </c>
      <c r="D15" s="41">
        <v>38.86862</v>
      </c>
      <c r="E15" s="41">
        <v>89.389097000000007</v>
      </c>
      <c r="F15" s="41">
        <v>169.14898500000001</v>
      </c>
      <c r="G15" s="41">
        <v>301.57920000000001</v>
      </c>
      <c r="H15" s="41">
        <v>333.83950399999998</v>
      </c>
      <c r="I15" s="29"/>
    </row>
    <row r="16" spans="1:9">
      <c r="A16" s="34" t="s">
        <v>403</v>
      </c>
      <c r="B16" s="35">
        <v>7.8637280000000001</v>
      </c>
      <c r="C16" s="35">
        <v>0</v>
      </c>
      <c r="D16" s="35">
        <v>0</v>
      </c>
      <c r="E16" s="35">
        <v>0</v>
      </c>
      <c r="F16" s="35">
        <v>0</v>
      </c>
      <c r="G16" s="35">
        <v>0</v>
      </c>
      <c r="H16" s="35">
        <v>0</v>
      </c>
      <c r="I16" s="42"/>
    </row>
    <row r="17" spans="1:9">
      <c r="A17" s="32" t="s">
        <v>241</v>
      </c>
      <c r="B17" s="33">
        <v>25.772753999999999</v>
      </c>
      <c r="C17" s="33">
        <v>167.04825099999999</v>
      </c>
      <c r="D17" s="33">
        <v>49.390194999999999</v>
      </c>
      <c r="E17" s="33">
        <v>63.188746999999999</v>
      </c>
      <c r="F17" s="33">
        <v>47.534847999999997</v>
      </c>
      <c r="G17" s="33">
        <v>60.308084999999998</v>
      </c>
      <c r="H17" s="33">
        <v>64.912148999999999</v>
      </c>
      <c r="I17" s="33">
        <v>360.70447799999999</v>
      </c>
    </row>
    <row r="18" spans="1:9">
      <c r="A18" s="34" t="s">
        <v>239</v>
      </c>
      <c r="B18" s="35">
        <v>24.373042999999999</v>
      </c>
      <c r="C18" s="35">
        <v>26.221342</v>
      </c>
      <c r="D18" s="35">
        <v>39.969876999999997</v>
      </c>
      <c r="E18" s="35">
        <v>49.301701999999999</v>
      </c>
      <c r="F18" s="35">
        <v>40.007911999999997</v>
      </c>
      <c r="G18" s="35">
        <v>57.559148999999998</v>
      </c>
      <c r="H18" s="35">
        <v>59.783676</v>
      </c>
      <c r="I18" s="42"/>
    </row>
    <row r="19" spans="1:9">
      <c r="A19" s="40" t="s">
        <v>404</v>
      </c>
      <c r="B19" s="41">
        <v>1.3997120000000001</v>
      </c>
      <c r="C19" s="41">
        <v>140.826909</v>
      </c>
      <c r="D19" s="41">
        <v>9.4203189999999992</v>
      </c>
      <c r="E19" s="41">
        <v>13.887045000000001</v>
      </c>
      <c r="F19" s="41">
        <v>7.5269360000000001</v>
      </c>
      <c r="G19" s="41">
        <v>2.7489349999999999</v>
      </c>
      <c r="H19" s="41">
        <v>5.1284720000000004</v>
      </c>
      <c r="I19" s="41">
        <v>360.70447799999999</v>
      </c>
    </row>
    <row r="20" spans="1:9">
      <c r="A20" s="53" t="s">
        <v>405</v>
      </c>
      <c r="B20" s="35">
        <v>353.740478</v>
      </c>
      <c r="C20" s="35">
        <v>1084.2247010000001</v>
      </c>
      <c r="D20" s="35">
        <v>981.71151999999995</v>
      </c>
      <c r="E20" s="35">
        <v>1315.3757439999999</v>
      </c>
      <c r="F20" s="35">
        <v>868.42844200000002</v>
      </c>
      <c r="G20" s="35">
        <v>1071.5369000000001</v>
      </c>
      <c r="H20" s="35">
        <v>1466.5598520000001</v>
      </c>
      <c r="I20" s="35">
        <v>2065.0597079999998</v>
      </c>
    </row>
    <row r="21" spans="1:9">
      <c r="A21" s="32" t="s">
        <v>406</v>
      </c>
      <c r="B21" s="33">
        <v>131.81350800000001</v>
      </c>
      <c r="C21" s="33">
        <v>292.77258599999999</v>
      </c>
      <c r="D21" s="33">
        <v>320.52600999999999</v>
      </c>
      <c r="E21" s="33">
        <v>480.07735300000002</v>
      </c>
      <c r="F21" s="33">
        <v>574.01556500000004</v>
      </c>
      <c r="G21" s="33">
        <v>1369.1098669999999</v>
      </c>
      <c r="H21" s="33">
        <v>1544.8362500000001</v>
      </c>
      <c r="I21" s="33">
        <v>1992.9889889999999</v>
      </c>
    </row>
    <row r="22" spans="1:9">
      <c r="A22" s="45" t="s">
        <v>407</v>
      </c>
      <c r="B22" s="31">
        <v>147.486636</v>
      </c>
      <c r="C22" s="31">
        <v>391.55476099999998</v>
      </c>
      <c r="D22" s="31">
        <v>508.59689900000001</v>
      </c>
      <c r="E22" s="31">
        <v>688.04882799999996</v>
      </c>
      <c r="F22" s="31">
        <v>821.842715</v>
      </c>
      <c r="G22" s="31">
        <v>1658.7637119999999</v>
      </c>
      <c r="H22" s="31">
        <v>1975.135939</v>
      </c>
      <c r="I22" s="30"/>
    </row>
    <row r="23" spans="1:9">
      <c r="A23" s="44" t="s">
        <v>408</v>
      </c>
      <c r="B23" s="29"/>
      <c r="C23" s="41">
        <v>96.828458999999995</v>
      </c>
      <c r="D23" s="41">
        <v>103.288786</v>
      </c>
      <c r="E23" s="41">
        <v>125.31196300000001</v>
      </c>
      <c r="F23" s="41">
        <v>116.757915</v>
      </c>
      <c r="G23" s="41">
        <v>67.791657999999998</v>
      </c>
      <c r="H23" s="41">
        <v>94.454224999999994</v>
      </c>
      <c r="I23" s="29"/>
    </row>
    <row r="24" spans="1:9">
      <c r="A24" s="37" t="s">
        <v>409</v>
      </c>
      <c r="B24" s="35">
        <v>46.821008999999997</v>
      </c>
      <c r="C24" s="35">
        <v>123.128759</v>
      </c>
      <c r="D24" s="35">
        <v>196.82727299999999</v>
      </c>
      <c r="E24" s="35">
        <v>209.888834</v>
      </c>
      <c r="F24" s="35">
        <v>204.497893</v>
      </c>
      <c r="G24" s="35">
        <v>352.52530899999999</v>
      </c>
      <c r="H24" s="35">
        <v>475.73504100000002</v>
      </c>
      <c r="I24" s="42"/>
    </row>
    <row r="25" spans="1:9">
      <c r="A25" s="44" t="s">
        <v>410</v>
      </c>
      <c r="B25" s="29"/>
      <c r="C25" s="41">
        <v>20.123462</v>
      </c>
      <c r="D25" s="41">
        <v>33.296125000000004</v>
      </c>
      <c r="E25" s="41">
        <v>5.0083549999999999</v>
      </c>
      <c r="F25" s="41">
        <v>24.758261000000001</v>
      </c>
      <c r="G25" s="41">
        <v>98.687149000000005</v>
      </c>
      <c r="H25" s="41">
        <v>58.384081000000002</v>
      </c>
      <c r="I25" s="29"/>
    </row>
    <row r="26" spans="1:9">
      <c r="A26" s="37" t="s">
        <v>411</v>
      </c>
      <c r="B26" s="35">
        <v>25.561851000000001</v>
      </c>
      <c r="C26" s="35">
        <v>9.5727639999999994</v>
      </c>
      <c r="D26" s="35">
        <v>0</v>
      </c>
      <c r="E26" s="42"/>
      <c r="F26" s="42"/>
      <c r="G26" s="42"/>
      <c r="H26" s="42"/>
      <c r="I26" s="42"/>
    </row>
    <row r="27" spans="1:9">
      <c r="A27" s="44" t="s">
        <v>412</v>
      </c>
      <c r="B27" s="41">
        <v>75.103776999999994</v>
      </c>
      <c r="C27" s="41">
        <v>141.90131600000001</v>
      </c>
      <c r="D27" s="41">
        <v>175.18471500000001</v>
      </c>
      <c r="E27" s="41">
        <v>153.63505799999999</v>
      </c>
      <c r="F27" s="41">
        <v>187.55426700000001</v>
      </c>
      <c r="G27" s="41">
        <v>408.413186</v>
      </c>
      <c r="H27" s="41">
        <v>533.18272400000001</v>
      </c>
      <c r="I27" s="29"/>
    </row>
    <row r="28" spans="1:9">
      <c r="A28" s="37" t="s">
        <v>413</v>
      </c>
      <c r="B28" s="42"/>
      <c r="C28" s="42"/>
      <c r="D28" s="42"/>
      <c r="E28" s="35">
        <v>194.20461800000001</v>
      </c>
      <c r="F28" s="35">
        <v>288.27437900000001</v>
      </c>
      <c r="G28" s="35">
        <v>731.34640899999999</v>
      </c>
      <c r="H28" s="35">
        <v>813.37986799999999</v>
      </c>
      <c r="I28" s="35">
        <v>1092.895831</v>
      </c>
    </row>
    <row r="29" spans="1:9">
      <c r="A29" s="40" t="s">
        <v>414</v>
      </c>
      <c r="B29" s="41">
        <v>15.673128999999999</v>
      </c>
      <c r="C29" s="41">
        <v>98.782176000000007</v>
      </c>
      <c r="D29" s="41">
        <v>188.07088899999999</v>
      </c>
      <c r="E29" s="41">
        <v>207.971475</v>
      </c>
      <c r="F29" s="41">
        <v>247.82714999999999</v>
      </c>
      <c r="G29" s="41">
        <v>289.65384499999999</v>
      </c>
      <c r="H29" s="41">
        <v>430.299688</v>
      </c>
      <c r="I29" s="29"/>
    </row>
    <row r="30" spans="1:9">
      <c r="A30" s="39" t="s">
        <v>415</v>
      </c>
      <c r="B30" s="31">
        <v>0</v>
      </c>
      <c r="C30" s="31">
        <v>2.025496</v>
      </c>
      <c r="D30" s="31">
        <v>3.5202909999999998</v>
      </c>
      <c r="E30" s="31">
        <v>3.049887</v>
      </c>
      <c r="F30" s="31">
        <v>5.1433460000000002</v>
      </c>
      <c r="G30" s="31">
        <v>7.0189789999999999</v>
      </c>
      <c r="H30" s="31">
        <v>6.6132819999999999</v>
      </c>
      <c r="I30" s="31">
        <v>108.391921</v>
      </c>
    </row>
    <row r="31" spans="1:9">
      <c r="A31" s="40" t="s">
        <v>416</v>
      </c>
      <c r="B31" s="41">
        <v>0</v>
      </c>
      <c r="C31" s="41">
        <v>2.025496</v>
      </c>
      <c r="D31" s="41">
        <v>3.5202909999999998</v>
      </c>
      <c r="E31" s="41">
        <v>3.049887</v>
      </c>
      <c r="F31" s="41">
        <v>5.1433460000000002</v>
      </c>
      <c r="G31" s="41">
        <v>6.6064129999999999</v>
      </c>
      <c r="H31" s="41">
        <v>5.5615300000000003</v>
      </c>
      <c r="I31" s="41">
        <v>108.391921</v>
      </c>
    </row>
    <row r="32" spans="1:9">
      <c r="A32" s="34" t="s">
        <v>417</v>
      </c>
      <c r="B32" s="42"/>
      <c r="C32" s="42"/>
      <c r="D32" s="42"/>
      <c r="E32" s="42"/>
      <c r="F32" s="42"/>
      <c r="G32" s="35">
        <v>0.41256599999999999</v>
      </c>
      <c r="H32" s="35">
        <v>1.051752</v>
      </c>
      <c r="I32" s="42"/>
    </row>
    <row r="33" spans="1:9">
      <c r="A33" s="47" t="s">
        <v>418</v>
      </c>
      <c r="B33" s="29"/>
      <c r="C33" s="29"/>
      <c r="D33" s="41">
        <v>97.666595000000001</v>
      </c>
      <c r="E33" s="41">
        <v>110.293802</v>
      </c>
      <c r="F33" s="41">
        <v>29.988204</v>
      </c>
      <c r="G33" s="41">
        <v>49.361552000000003</v>
      </c>
      <c r="H33" s="41">
        <v>37.209439000000003</v>
      </c>
      <c r="I33" s="41">
        <v>31.057718999999999</v>
      </c>
    </row>
    <row r="34" spans="1:9">
      <c r="A34" s="39" t="s">
        <v>419</v>
      </c>
      <c r="B34" s="31">
        <v>22.052810000000001</v>
      </c>
      <c r="C34" s="31">
        <v>22.45316</v>
      </c>
      <c r="D34" s="31">
        <v>22.062449999999998</v>
      </c>
      <c r="E34" s="31">
        <v>23.074210000000001</v>
      </c>
      <c r="F34" s="31">
        <v>30.02647</v>
      </c>
      <c r="G34" s="31">
        <v>82.141080000000002</v>
      </c>
      <c r="H34" s="31">
        <v>109.3685</v>
      </c>
      <c r="I34" s="31">
        <v>138.63983999999999</v>
      </c>
    </row>
    <row r="35" spans="1:9">
      <c r="A35" s="40" t="s">
        <v>420</v>
      </c>
      <c r="B35" s="41">
        <v>9.6105280000000004</v>
      </c>
      <c r="C35" s="41">
        <v>5.583933</v>
      </c>
      <c r="D35" s="41">
        <v>5.9258689999999996</v>
      </c>
      <c r="E35" s="41">
        <v>1.0900080000000001</v>
      </c>
      <c r="F35" s="41">
        <v>3.751744</v>
      </c>
      <c r="G35" s="41">
        <v>4.5049489999999999</v>
      </c>
      <c r="H35" s="41">
        <v>20.040140999999998</v>
      </c>
      <c r="I35" s="29"/>
    </row>
    <row r="36" spans="1:9">
      <c r="A36" s="34" t="s">
        <v>421</v>
      </c>
      <c r="B36" s="35">
        <v>12.442285999999999</v>
      </c>
      <c r="C36" s="35">
        <v>16.869230999999999</v>
      </c>
      <c r="D36" s="35">
        <v>16.136579000000001</v>
      </c>
      <c r="E36" s="35">
        <v>21.984200000000001</v>
      </c>
      <c r="F36" s="35">
        <v>26.274723999999999</v>
      </c>
      <c r="G36" s="35">
        <v>77.636134999999996</v>
      </c>
      <c r="H36" s="35">
        <v>89.328355999999999</v>
      </c>
      <c r="I36" s="35">
        <v>138.63983999999999</v>
      </c>
    </row>
    <row r="37" spans="1:9">
      <c r="A37" s="47" t="s">
        <v>422</v>
      </c>
      <c r="B37" s="41">
        <v>507.60679900000002</v>
      </c>
      <c r="C37" s="41">
        <v>1401.475946</v>
      </c>
      <c r="D37" s="41">
        <v>1425.4868650000001</v>
      </c>
      <c r="E37" s="41">
        <v>1931.8709940000001</v>
      </c>
      <c r="F37" s="41">
        <v>1507.6020249999999</v>
      </c>
      <c r="G37" s="41">
        <v>2579.1683819999998</v>
      </c>
      <c r="H37" s="41">
        <v>3164.587321</v>
      </c>
      <c r="I37" s="41">
        <v>4336.1381769999998</v>
      </c>
    </row>
    <row r="38" spans="1:9">
      <c r="A38" s="30" t="s">
        <v>423</v>
      </c>
      <c r="B38" s="30"/>
      <c r="C38" s="30"/>
      <c r="D38" s="30"/>
      <c r="E38" s="30"/>
      <c r="F38" s="30"/>
      <c r="G38" s="30"/>
      <c r="H38" s="30"/>
      <c r="I38" s="30"/>
    </row>
    <row r="39" spans="1:9">
      <c r="A39" s="32" t="s">
        <v>281</v>
      </c>
      <c r="B39" s="38"/>
      <c r="C39" s="38"/>
      <c r="D39" s="38"/>
      <c r="E39" s="38"/>
      <c r="F39" s="38"/>
      <c r="G39" s="38"/>
      <c r="H39" s="38"/>
      <c r="I39" s="38"/>
    </row>
    <row r="40" spans="1:9">
      <c r="A40" s="34" t="s">
        <v>424</v>
      </c>
      <c r="B40" s="35">
        <v>27.593836</v>
      </c>
      <c r="C40" s="35">
        <v>52.879682000000003</v>
      </c>
      <c r="D40" s="35">
        <v>0</v>
      </c>
      <c r="E40" s="35">
        <v>553.78380300000003</v>
      </c>
      <c r="F40" s="35">
        <v>126.71332200000001</v>
      </c>
      <c r="G40" s="35">
        <v>261.03465799999998</v>
      </c>
      <c r="H40" s="35">
        <v>362.145015</v>
      </c>
      <c r="I40" s="35">
        <v>421.90751499999999</v>
      </c>
    </row>
    <row r="41" spans="1:9">
      <c r="A41" s="40" t="s">
        <v>425</v>
      </c>
      <c r="B41" s="41">
        <v>25.737214999999999</v>
      </c>
      <c r="C41" s="41">
        <v>77.248086999999998</v>
      </c>
      <c r="D41" s="41">
        <v>32.064436000000001</v>
      </c>
      <c r="E41" s="41">
        <v>46.082515000000001</v>
      </c>
      <c r="F41" s="41">
        <v>63.491807999999999</v>
      </c>
      <c r="G41" s="41">
        <v>114.866332</v>
      </c>
      <c r="H41" s="41">
        <v>101.199027</v>
      </c>
      <c r="I41" s="41">
        <v>157.948384</v>
      </c>
    </row>
    <row r="42" spans="1:9">
      <c r="A42" s="45" t="s">
        <v>246</v>
      </c>
      <c r="B42" s="31">
        <v>60.406804999999999</v>
      </c>
      <c r="C42" s="31">
        <v>488.529222</v>
      </c>
      <c r="D42" s="31">
        <v>120.996208</v>
      </c>
      <c r="E42" s="31">
        <v>434.383017</v>
      </c>
      <c r="F42" s="31">
        <v>216.72209699999999</v>
      </c>
      <c r="G42" s="31">
        <v>394.336454</v>
      </c>
      <c r="H42" s="31">
        <v>452.14384999999999</v>
      </c>
      <c r="I42" s="31">
        <v>637.43623100000002</v>
      </c>
    </row>
    <row r="43" spans="1:9">
      <c r="A43" s="44" t="s">
        <v>426</v>
      </c>
      <c r="B43" s="41">
        <v>11.979986999999999</v>
      </c>
      <c r="C43" s="41">
        <v>27.227414</v>
      </c>
      <c r="D43" s="41">
        <v>23.769075999999998</v>
      </c>
      <c r="E43" s="41">
        <v>40.822643999999997</v>
      </c>
      <c r="F43" s="41">
        <v>53.626451000000003</v>
      </c>
      <c r="G43" s="41">
        <v>105.212064</v>
      </c>
      <c r="H43" s="41">
        <v>145.123266</v>
      </c>
      <c r="I43" s="29"/>
    </row>
    <row r="44" spans="1:9">
      <c r="A44" s="37" t="s">
        <v>427</v>
      </c>
      <c r="B44" s="35">
        <v>48.426817</v>
      </c>
      <c r="C44" s="35">
        <v>461.301807</v>
      </c>
      <c r="D44" s="35">
        <v>97.227131999999997</v>
      </c>
      <c r="E44" s="35">
        <v>393.56037199999997</v>
      </c>
      <c r="F44" s="35">
        <v>163.09564599999999</v>
      </c>
      <c r="G44" s="35">
        <v>289.12439000000001</v>
      </c>
      <c r="H44" s="35">
        <v>307.02058399999999</v>
      </c>
      <c r="I44" s="35">
        <v>637.43623100000002</v>
      </c>
    </row>
    <row r="45" spans="1:9">
      <c r="A45" s="40" t="s">
        <v>428</v>
      </c>
      <c r="B45" s="41">
        <v>113.73785599999999</v>
      </c>
      <c r="C45" s="41">
        <v>618.65699099999995</v>
      </c>
      <c r="D45" s="41">
        <v>153.060644</v>
      </c>
      <c r="E45" s="41">
        <v>1034.249335</v>
      </c>
      <c r="F45" s="41">
        <v>406.92722600000002</v>
      </c>
      <c r="G45" s="41">
        <v>770.23744399999998</v>
      </c>
      <c r="H45" s="41">
        <v>915.48789299999999</v>
      </c>
      <c r="I45" s="41">
        <v>1217.29213</v>
      </c>
    </row>
    <row r="46" spans="1:9">
      <c r="A46" s="39" t="s">
        <v>429</v>
      </c>
      <c r="B46" s="30"/>
      <c r="C46" s="30"/>
      <c r="D46" s="30"/>
      <c r="E46" s="30"/>
      <c r="F46" s="30"/>
      <c r="G46" s="30"/>
      <c r="H46" s="30"/>
      <c r="I46" s="30"/>
    </row>
    <row r="47" spans="1:9">
      <c r="A47" s="36" t="s">
        <v>430</v>
      </c>
      <c r="B47" s="33">
        <v>33.058391999999998</v>
      </c>
      <c r="C47" s="33">
        <v>44.554746999999999</v>
      </c>
      <c r="D47" s="33">
        <v>458.95899000000003</v>
      </c>
      <c r="E47" s="33">
        <v>90.228843999999995</v>
      </c>
      <c r="F47" s="33">
        <v>147.34151399999999</v>
      </c>
      <c r="G47" s="33">
        <v>439.19446699999997</v>
      </c>
      <c r="H47" s="33">
        <v>460.88693999999998</v>
      </c>
      <c r="I47" s="33">
        <v>617.58949099999995</v>
      </c>
    </row>
    <row r="48" spans="1:9">
      <c r="A48" s="37" t="s">
        <v>431</v>
      </c>
      <c r="B48" s="35">
        <v>33.058391999999998</v>
      </c>
      <c r="C48" s="35">
        <v>44.554746999999999</v>
      </c>
      <c r="D48" s="35">
        <v>458.95899000000003</v>
      </c>
      <c r="E48" s="35">
        <v>0</v>
      </c>
      <c r="F48" s="35">
        <v>0</v>
      </c>
      <c r="G48" s="35">
        <v>0</v>
      </c>
      <c r="H48" s="35">
        <v>4.6032130000000002</v>
      </c>
      <c r="I48" s="35">
        <v>0</v>
      </c>
    </row>
    <row r="49" spans="1:9">
      <c r="A49" s="44" t="s">
        <v>432</v>
      </c>
      <c r="B49" s="41">
        <v>0</v>
      </c>
      <c r="C49" s="41">
        <v>0</v>
      </c>
      <c r="D49" s="41">
        <v>0</v>
      </c>
      <c r="E49" s="41">
        <v>90.228843999999995</v>
      </c>
      <c r="F49" s="41">
        <v>147.34151399999999</v>
      </c>
      <c r="G49" s="41">
        <v>439.19446699999997</v>
      </c>
      <c r="H49" s="41">
        <v>456.283728</v>
      </c>
      <c r="I49" s="41">
        <v>617.58949099999995</v>
      </c>
    </row>
    <row r="50" spans="1:9">
      <c r="A50" s="34" t="s">
        <v>433</v>
      </c>
      <c r="B50" s="35">
        <v>0</v>
      </c>
      <c r="C50" s="35">
        <v>0</v>
      </c>
      <c r="D50" s="35">
        <v>366.66840000000002</v>
      </c>
      <c r="E50" s="35">
        <v>0</v>
      </c>
      <c r="F50" s="35">
        <v>0</v>
      </c>
      <c r="G50" s="35">
        <v>0</v>
      </c>
      <c r="H50" s="35">
        <v>0</v>
      </c>
      <c r="I50" s="35">
        <v>0</v>
      </c>
    </row>
    <row r="51" spans="1:9">
      <c r="A51" s="40" t="s">
        <v>434</v>
      </c>
      <c r="B51" s="29"/>
      <c r="C51" s="29"/>
      <c r="D51" s="29"/>
      <c r="E51" s="29"/>
      <c r="F51" s="29"/>
      <c r="G51" s="29"/>
      <c r="H51" s="29"/>
      <c r="I51" s="41">
        <v>48.624743000000002</v>
      </c>
    </row>
    <row r="52" spans="1:9">
      <c r="A52" s="45" t="s">
        <v>435</v>
      </c>
      <c r="B52" s="31">
        <v>18.42041</v>
      </c>
      <c r="C52" s="31">
        <v>0</v>
      </c>
      <c r="D52" s="31">
        <v>30.137160000000002</v>
      </c>
      <c r="E52" s="31">
        <v>0</v>
      </c>
      <c r="F52" s="31">
        <v>0</v>
      </c>
      <c r="G52" s="31">
        <v>0</v>
      </c>
      <c r="H52" s="31">
        <v>0</v>
      </c>
      <c r="I52" s="31">
        <v>0</v>
      </c>
    </row>
    <row r="53" spans="1:9">
      <c r="A53" s="44" t="s">
        <v>436</v>
      </c>
      <c r="B53" s="41">
        <v>0</v>
      </c>
      <c r="C53" s="41">
        <v>0</v>
      </c>
      <c r="D53" s="41">
        <v>30.137160000000002</v>
      </c>
      <c r="E53" s="41">
        <v>0</v>
      </c>
      <c r="F53" s="41">
        <v>0</v>
      </c>
      <c r="G53" s="41">
        <v>0</v>
      </c>
      <c r="H53" s="41">
        <v>0</v>
      </c>
      <c r="I53" s="41">
        <v>0</v>
      </c>
    </row>
    <row r="54" spans="1:9">
      <c r="A54" s="37" t="s">
        <v>437</v>
      </c>
      <c r="B54" s="35">
        <v>18.420408999999999</v>
      </c>
      <c r="C54" s="35">
        <v>0</v>
      </c>
      <c r="D54" s="42"/>
      <c r="E54" s="42"/>
      <c r="F54" s="42"/>
      <c r="G54" s="42"/>
      <c r="H54" s="42"/>
      <c r="I54" s="42"/>
    </row>
    <row r="55" spans="1:9">
      <c r="A55" s="40" t="s">
        <v>438</v>
      </c>
      <c r="B55" s="41">
        <v>165.216657</v>
      </c>
      <c r="C55" s="41">
        <v>663.21173799999997</v>
      </c>
      <c r="D55" s="41">
        <v>1008.825193</v>
      </c>
      <c r="E55" s="41">
        <v>1124.478179</v>
      </c>
      <c r="F55" s="41">
        <v>554.26873999999998</v>
      </c>
      <c r="G55" s="41">
        <v>1209.4319109999999</v>
      </c>
      <c r="H55" s="41">
        <v>1376.3748330000001</v>
      </c>
      <c r="I55" s="41">
        <v>1883.5063640000001</v>
      </c>
    </row>
    <row r="56" spans="1:9">
      <c r="A56" s="39" t="s">
        <v>149</v>
      </c>
      <c r="B56" s="30"/>
      <c r="C56" s="30"/>
      <c r="D56" s="30"/>
      <c r="E56" s="30"/>
      <c r="F56" s="30"/>
      <c r="G56" s="30"/>
      <c r="H56" s="30"/>
      <c r="I56" s="30"/>
    </row>
    <row r="57" spans="1:9">
      <c r="A57" s="36" t="s">
        <v>439</v>
      </c>
      <c r="B57" s="33">
        <v>623.14709400000004</v>
      </c>
      <c r="C57" s="33">
        <v>0</v>
      </c>
      <c r="D57" s="33">
        <v>0</v>
      </c>
      <c r="E57" s="33">
        <v>237.655236</v>
      </c>
      <c r="F57" s="33">
        <v>227.00058999999999</v>
      </c>
      <c r="G57" s="33">
        <v>222.50359499999999</v>
      </c>
      <c r="H57" s="33">
        <v>207.50899100000001</v>
      </c>
      <c r="I57" s="33">
        <v>216.74692200000001</v>
      </c>
    </row>
    <row r="58" spans="1:9">
      <c r="A58" s="37" t="s">
        <v>440</v>
      </c>
      <c r="B58" s="35">
        <v>623.14709400000004</v>
      </c>
      <c r="C58" s="35">
        <v>0</v>
      </c>
      <c r="D58" s="35">
        <v>0</v>
      </c>
      <c r="E58" s="35">
        <v>237.655236</v>
      </c>
      <c r="F58" s="35">
        <v>227.00058999999999</v>
      </c>
      <c r="G58" s="35">
        <v>222.50359499999999</v>
      </c>
      <c r="H58" s="35">
        <v>207.50899100000001</v>
      </c>
      <c r="I58" s="35">
        <v>216.74692200000001</v>
      </c>
    </row>
    <row r="59" spans="1:9">
      <c r="A59" s="36" t="s">
        <v>441</v>
      </c>
      <c r="B59" s="33">
        <v>-280.75695100000002</v>
      </c>
      <c r="C59" s="33">
        <v>726.43438600000002</v>
      </c>
      <c r="D59" s="33">
        <v>406.18459300000001</v>
      </c>
      <c r="E59" s="33">
        <v>569.73757899999998</v>
      </c>
      <c r="F59" s="33">
        <v>726.33269600000006</v>
      </c>
      <c r="G59" s="33">
        <v>1147.232876</v>
      </c>
      <c r="H59" s="33">
        <v>1580.703497</v>
      </c>
      <c r="I59" s="33">
        <v>2235.8848910000002</v>
      </c>
    </row>
    <row r="60" spans="1:9">
      <c r="A60" s="37" t="s">
        <v>442</v>
      </c>
      <c r="B60" s="35">
        <v>182.965757</v>
      </c>
      <c r="C60" s="35">
        <v>3.0149999999999999E-3</v>
      </c>
      <c r="D60" s="35">
        <v>3.3639999999999998E-3</v>
      </c>
      <c r="E60" s="35">
        <v>3.6089999999999998E-3</v>
      </c>
      <c r="F60" s="35">
        <v>3.5959999999999998E-3</v>
      </c>
      <c r="G60" s="35">
        <v>3.5249999999999999E-3</v>
      </c>
      <c r="H60" s="35">
        <v>3.5620000000000001E-3</v>
      </c>
      <c r="I60" s="35">
        <v>3.7209999999999999E-3</v>
      </c>
    </row>
    <row r="61" spans="1:9">
      <c r="A61" s="44" t="s">
        <v>443</v>
      </c>
      <c r="B61" s="41">
        <v>9.467352</v>
      </c>
      <c r="C61" s="41">
        <v>1700.6072610000001</v>
      </c>
      <c r="D61" s="41">
        <v>2254.5902019999999</v>
      </c>
      <c r="E61" s="41">
        <v>2359.511403</v>
      </c>
      <c r="F61" s="41">
        <v>2306.9761349999999</v>
      </c>
      <c r="G61" s="41">
        <v>2295.0552720000001</v>
      </c>
      <c r="H61" s="41">
        <v>2288.624174</v>
      </c>
      <c r="I61" s="41">
        <v>2472.5272070000001</v>
      </c>
    </row>
    <row r="62" spans="1:9">
      <c r="A62" s="37" t="s">
        <v>444</v>
      </c>
      <c r="B62" s="46">
        <v>-472.88768800000003</v>
      </c>
      <c r="C62" s="46">
        <v>-985.34174599999994</v>
      </c>
      <c r="D62" s="46">
        <v>-1904.168629</v>
      </c>
      <c r="E62" s="46">
        <v>-1846.536908</v>
      </c>
      <c r="F62" s="46">
        <v>-1642.9283479999999</v>
      </c>
      <c r="G62" s="46">
        <v>-1227.5117729999999</v>
      </c>
      <c r="H62" s="46">
        <v>-818.13597300000004</v>
      </c>
      <c r="I62" s="46">
        <v>-349.01726500000001</v>
      </c>
    </row>
    <row r="63" spans="1:9">
      <c r="A63" s="44" t="s">
        <v>445</v>
      </c>
      <c r="B63" s="43">
        <v>-0.302373</v>
      </c>
      <c r="C63" s="41">
        <v>11.105416999999999</v>
      </c>
      <c r="D63" s="41">
        <v>55.667451999999997</v>
      </c>
      <c r="E63" s="41">
        <v>56.348858999999997</v>
      </c>
      <c r="F63" s="41">
        <v>57.152064000000003</v>
      </c>
      <c r="G63" s="41">
        <v>55.969093000000001</v>
      </c>
      <c r="H63" s="41">
        <v>60.079597</v>
      </c>
      <c r="I63" s="29"/>
    </row>
    <row r="64" spans="1:9">
      <c r="A64" s="37" t="s">
        <v>446</v>
      </c>
      <c r="B64" s="42"/>
      <c r="C64" s="35">
        <v>6.0439E-2</v>
      </c>
      <c r="D64" s="35">
        <v>9.2204999999999995E-2</v>
      </c>
      <c r="E64" s="35">
        <v>0.41061599999999998</v>
      </c>
      <c r="F64" s="35">
        <v>5.1292489999999997</v>
      </c>
      <c r="G64" s="35">
        <v>23.716759</v>
      </c>
      <c r="H64" s="35">
        <v>50.132137</v>
      </c>
      <c r="I64" s="35">
        <v>112.371228</v>
      </c>
    </row>
    <row r="65" spans="1:9">
      <c r="A65" s="40" t="s">
        <v>447</v>
      </c>
      <c r="B65" s="41">
        <v>342.39014200000003</v>
      </c>
      <c r="C65" s="41">
        <v>726.43438600000002</v>
      </c>
      <c r="D65" s="41">
        <v>406.18459300000001</v>
      </c>
      <c r="E65" s="41">
        <v>807.39281500000004</v>
      </c>
      <c r="F65" s="41">
        <v>953.33328500000005</v>
      </c>
      <c r="G65" s="41">
        <v>1369.7364709999999</v>
      </c>
      <c r="H65" s="41">
        <v>1788.2124879999999</v>
      </c>
      <c r="I65" s="41">
        <v>2452.6318120000001</v>
      </c>
    </row>
    <row r="66" spans="1:9">
      <c r="A66" s="34" t="s">
        <v>448</v>
      </c>
      <c r="B66" s="35">
        <v>0</v>
      </c>
      <c r="C66" s="35">
        <v>11.829822999999999</v>
      </c>
      <c r="D66" s="35">
        <v>10.477079</v>
      </c>
      <c r="E66" s="35">
        <v>0</v>
      </c>
      <c r="F66" s="35">
        <v>0</v>
      </c>
      <c r="G66" s="35">
        <v>0</v>
      </c>
      <c r="H66" s="35">
        <v>0</v>
      </c>
      <c r="I66" s="42"/>
    </row>
    <row r="67" spans="1:9">
      <c r="A67" s="40" t="s">
        <v>449</v>
      </c>
      <c r="B67" s="41">
        <v>342.39014200000003</v>
      </c>
      <c r="C67" s="41">
        <v>738.26420900000005</v>
      </c>
      <c r="D67" s="41">
        <v>416.66167200000001</v>
      </c>
      <c r="E67" s="41">
        <v>807.39281500000004</v>
      </c>
      <c r="F67" s="41">
        <v>953.33328500000005</v>
      </c>
      <c r="G67" s="41">
        <v>1369.7364709999999</v>
      </c>
      <c r="H67" s="41">
        <v>1788.2124879999999</v>
      </c>
      <c r="I67" s="41">
        <v>2452.6318120000001</v>
      </c>
    </row>
    <row r="68" spans="1:9">
      <c r="A68" s="53" t="s">
        <v>450</v>
      </c>
      <c r="B68" s="35">
        <v>507.60679900000002</v>
      </c>
      <c r="C68" s="35">
        <v>1401.475946</v>
      </c>
      <c r="D68" s="35">
        <v>1425.4868650000001</v>
      </c>
      <c r="E68" s="35">
        <v>1931.8709940000001</v>
      </c>
      <c r="F68" s="35">
        <v>1507.6020249999999</v>
      </c>
      <c r="G68" s="35">
        <v>2579.1683819999998</v>
      </c>
      <c r="H68" s="35">
        <v>3164.587321</v>
      </c>
      <c r="I68" s="35">
        <v>4336.1381769999998</v>
      </c>
    </row>
    <row r="69" spans="1:9">
      <c r="A69" s="38" t="s">
        <v>381</v>
      </c>
      <c r="B69" s="38"/>
      <c r="C69" s="38"/>
      <c r="D69" s="38"/>
      <c r="E69" s="38"/>
      <c r="F69" s="38"/>
      <c r="G69" s="38"/>
      <c r="H69" s="38"/>
      <c r="I69" s="38"/>
    </row>
    <row r="70" spans="1:9">
      <c r="A70" s="53" t="s">
        <v>451</v>
      </c>
      <c r="B70" s="54">
        <v>-1.16822</v>
      </c>
      <c r="C70" s="51">
        <v>2.99194</v>
      </c>
      <c r="D70" s="51">
        <v>1.6045400000000001</v>
      </c>
      <c r="E70" s="51">
        <v>2.17536</v>
      </c>
      <c r="F70" s="51">
        <v>2.6120199999999998</v>
      </c>
      <c r="G70" s="51">
        <v>4.1008100000000001</v>
      </c>
      <c r="H70" s="51">
        <v>5.5720499999999999</v>
      </c>
      <c r="I70" s="42"/>
    </row>
    <row r="71" spans="1:9">
      <c r="A71" s="47" t="s">
        <v>452</v>
      </c>
      <c r="B71" s="48">
        <v>-6.7099529999999996</v>
      </c>
      <c r="C71" s="49">
        <v>8.7431660000000004</v>
      </c>
      <c r="D71" s="49">
        <v>1.728081</v>
      </c>
      <c r="E71" s="49">
        <v>2.3368370000000001</v>
      </c>
      <c r="F71" s="49">
        <v>2.7938529999999999</v>
      </c>
      <c r="G71" s="49">
        <v>4.3844399999999997</v>
      </c>
      <c r="H71" s="49">
        <v>5.9517369999999996</v>
      </c>
      <c r="I71" s="2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20C22-E681-824A-8675-883184B2AA8B}">
  <dimension ref="A1:I51"/>
  <sheetViews>
    <sheetView showGridLines="0" topLeftCell="A4" zoomScale="89" workbookViewId="0">
      <selection activeCell="H25" sqref="H25"/>
    </sheetView>
  </sheetViews>
  <sheetFormatPr defaultRowHeight="14.45"/>
  <cols>
    <col min="1" max="1" width="39.5703125" customWidth="1"/>
  </cols>
  <sheetData>
    <row r="1" spans="1:9">
      <c r="A1" s="28" t="s">
        <v>337</v>
      </c>
      <c r="B1" s="28"/>
      <c r="C1" s="28"/>
      <c r="D1" s="28"/>
      <c r="E1" s="28"/>
      <c r="F1" s="28"/>
      <c r="G1" s="28"/>
      <c r="H1" s="28"/>
      <c r="I1" s="28"/>
    </row>
    <row r="2" spans="1:9">
      <c r="A2" s="28" t="s">
        <v>338</v>
      </c>
      <c r="B2" s="28"/>
      <c r="C2" s="28"/>
      <c r="D2" s="28"/>
      <c r="E2" s="28"/>
      <c r="F2" s="28"/>
      <c r="G2" s="28"/>
      <c r="H2" s="28"/>
      <c r="I2" s="28"/>
    </row>
    <row r="3" spans="1:9">
      <c r="A3" s="28" t="s">
        <v>339</v>
      </c>
      <c r="B3" s="28"/>
      <c r="C3" s="28"/>
      <c r="D3" s="28"/>
      <c r="E3" s="28"/>
      <c r="F3" s="28"/>
      <c r="G3" s="28"/>
      <c r="H3" s="28"/>
      <c r="I3" s="28"/>
    </row>
    <row r="4" spans="1:9">
      <c r="A4" s="28"/>
      <c r="B4" s="28" t="s">
        <v>340</v>
      </c>
      <c r="C4" s="28" t="s">
        <v>341</v>
      </c>
      <c r="D4" s="28" t="s">
        <v>342</v>
      </c>
      <c r="E4" s="28" t="s">
        <v>343</v>
      </c>
      <c r="F4" s="28" t="s">
        <v>344</v>
      </c>
      <c r="G4" s="28" t="s">
        <v>345</v>
      </c>
      <c r="H4" s="28" t="s">
        <v>346</v>
      </c>
      <c r="I4" s="28" t="s">
        <v>347</v>
      </c>
    </row>
    <row r="5" spans="1:9">
      <c r="A5" s="38" t="s">
        <v>453</v>
      </c>
      <c r="B5" s="38"/>
      <c r="C5" s="38"/>
      <c r="D5" s="38"/>
      <c r="E5" s="38"/>
      <c r="F5" s="38"/>
      <c r="G5" s="38"/>
      <c r="H5" s="38"/>
      <c r="I5" s="38"/>
    </row>
    <row r="6" spans="1:9">
      <c r="A6" s="53" t="s">
        <v>454</v>
      </c>
      <c r="B6" s="46">
        <v>-719.58706900000004</v>
      </c>
      <c r="C6" s="46">
        <v>-457.39124199999998</v>
      </c>
      <c r="D6" s="46">
        <v>-811.76467000000002</v>
      </c>
      <c r="E6" s="35">
        <v>106.425782</v>
      </c>
      <c r="F6" s="35">
        <v>72.507683</v>
      </c>
      <c r="G6" s="35">
        <v>401.96492599999999</v>
      </c>
      <c r="H6" s="35">
        <v>407.36102799999998</v>
      </c>
      <c r="I6" s="42"/>
    </row>
    <row r="7" spans="1:9">
      <c r="A7" s="32" t="s">
        <v>455</v>
      </c>
      <c r="B7" s="33">
        <v>16.123593</v>
      </c>
      <c r="C7" s="33">
        <v>59.608055999999998</v>
      </c>
      <c r="D7" s="33">
        <v>70.038335000000004</v>
      </c>
      <c r="E7" s="33">
        <v>176.49724900000001</v>
      </c>
      <c r="F7" s="33">
        <v>185.12547599999999</v>
      </c>
      <c r="G7" s="33">
        <v>282.82130000000001</v>
      </c>
      <c r="H7" s="33">
        <v>489.37686200000002</v>
      </c>
      <c r="I7" s="38"/>
    </row>
    <row r="8" spans="1:9">
      <c r="A8" s="34" t="s">
        <v>456</v>
      </c>
      <c r="B8" s="35">
        <v>16.123593</v>
      </c>
      <c r="C8" s="35">
        <v>59.608055999999998</v>
      </c>
      <c r="D8" s="35">
        <v>70.038335000000004</v>
      </c>
      <c r="E8" s="35">
        <v>176.49724900000001</v>
      </c>
      <c r="F8" s="35">
        <v>185.12547599999999</v>
      </c>
      <c r="G8" s="35">
        <v>282.82130000000001</v>
      </c>
      <c r="H8" s="35">
        <v>489.37686200000002</v>
      </c>
      <c r="I8" s="42"/>
    </row>
    <row r="9" spans="1:9">
      <c r="A9" s="32" t="s">
        <v>457</v>
      </c>
      <c r="B9" s="33">
        <v>0</v>
      </c>
      <c r="C9" s="33">
        <v>0</v>
      </c>
      <c r="D9" s="33">
        <v>-92.538150000000002</v>
      </c>
      <c r="E9" s="33">
        <v>-9.9577349999999996</v>
      </c>
      <c r="F9" s="33">
        <v>73.432284999999993</v>
      </c>
      <c r="G9" s="33">
        <v>-19.987639999999999</v>
      </c>
      <c r="H9" s="33">
        <v>10.904959</v>
      </c>
      <c r="I9" s="38"/>
    </row>
    <row r="10" spans="1:9">
      <c r="A10" s="34" t="s">
        <v>458</v>
      </c>
      <c r="B10" s="35">
        <v>0</v>
      </c>
      <c r="C10" s="35">
        <v>0</v>
      </c>
      <c r="D10" s="46">
        <v>-92.538150000000002</v>
      </c>
      <c r="E10" s="46">
        <v>-9.9577349999999996</v>
      </c>
      <c r="F10" s="35">
        <v>73.432284999999993</v>
      </c>
      <c r="G10" s="46">
        <v>-19.987639999999999</v>
      </c>
      <c r="H10" s="35">
        <v>10.904959</v>
      </c>
      <c r="I10" s="42"/>
    </row>
    <row r="11" spans="1:9">
      <c r="A11" s="47" t="s">
        <v>459</v>
      </c>
      <c r="B11" s="41">
        <v>482.81840499999998</v>
      </c>
      <c r="C11" s="41">
        <v>59.650458999999998</v>
      </c>
      <c r="D11" s="41">
        <v>570.57277299999998</v>
      </c>
      <c r="E11" s="43">
        <v>-114.51433900000001</v>
      </c>
      <c r="F11" s="41">
        <v>80.075721000000001</v>
      </c>
      <c r="G11" s="41">
        <v>38.649244000000003</v>
      </c>
      <c r="H11" s="41">
        <v>53.631483000000003</v>
      </c>
      <c r="I11" s="29"/>
    </row>
    <row r="12" spans="1:9">
      <c r="A12" s="53" t="s">
        <v>460</v>
      </c>
      <c r="B12" s="46">
        <v>-220.645071</v>
      </c>
      <c r="C12" s="46">
        <v>-338.13272799999999</v>
      </c>
      <c r="D12" s="46">
        <v>-263.69171299999999</v>
      </c>
      <c r="E12" s="35">
        <v>158.45095800000001</v>
      </c>
      <c r="F12" s="35">
        <v>411.141165</v>
      </c>
      <c r="G12" s="35">
        <v>703.44783099999995</v>
      </c>
      <c r="H12" s="35">
        <v>961.27433199999996</v>
      </c>
      <c r="I12" s="42"/>
    </row>
    <row r="13" spans="1:9">
      <c r="A13" s="32" t="s">
        <v>461</v>
      </c>
      <c r="B13" s="33">
        <v>12.239966000000001</v>
      </c>
      <c r="C13" s="33">
        <v>3.8232349999999999</v>
      </c>
      <c r="D13" s="33">
        <v>-81.774388999999999</v>
      </c>
      <c r="E13" s="33">
        <v>-139.30998399999999</v>
      </c>
      <c r="F13" s="33">
        <v>-408.19806399999999</v>
      </c>
      <c r="G13" s="33">
        <v>-290.89197999999999</v>
      </c>
      <c r="H13" s="33">
        <v>-372.21507600000001</v>
      </c>
      <c r="I13" s="38"/>
    </row>
    <row r="14" spans="1:9">
      <c r="A14" s="34" t="s">
        <v>462</v>
      </c>
      <c r="B14" s="46">
        <v>-0.69472400000000001</v>
      </c>
      <c r="C14" s="46">
        <v>-4.9888170000000001</v>
      </c>
      <c r="D14" s="46">
        <v>-0.58357899999999996</v>
      </c>
      <c r="E14" s="46">
        <v>-26.090192999999999</v>
      </c>
      <c r="F14" s="46">
        <v>-0.20107800000000001</v>
      </c>
      <c r="G14" s="46">
        <v>-11.845541000000001</v>
      </c>
      <c r="H14" s="46">
        <v>-35.382862000000003</v>
      </c>
      <c r="I14" s="42"/>
    </row>
    <row r="15" spans="1:9">
      <c r="A15" s="40" t="s">
        <v>400</v>
      </c>
      <c r="B15" s="43">
        <v>-22.157888</v>
      </c>
      <c r="C15" s="43">
        <v>-34.085956000000003</v>
      </c>
      <c r="D15" s="41">
        <v>15.933391</v>
      </c>
      <c r="E15" s="43">
        <v>-49.101474000000003</v>
      </c>
      <c r="F15" s="43">
        <v>-89.706068000000002</v>
      </c>
      <c r="G15" s="43">
        <v>-139.494426</v>
      </c>
      <c r="H15" s="43">
        <v>-33.974739</v>
      </c>
      <c r="I15" s="29"/>
    </row>
    <row r="16" spans="1:9">
      <c r="A16" s="34" t="s">
        <v>425</v>
      </c>
      <c r="B16" s="35">
        <v>26.704502000000002</v>
      </c>
      <c r="C16" s="35">
        <v>53.166964999999998</v>
      </c>
      <c r="D16" s="46">
        <v>-48.078344000000001</v>
      </c>
      <c r="E16" s="35">
        <v>13.025327000000001</v>
      </c>
      <c r="F16" s="35">
        <v>21.93084</v>
      </c>
      <c r="G16" s="35">
        <v>52.674875999999998</v>
      </c>
      <c r="H16" s="46">
        <v>-10.588569</v>
      </c>
      <c r="I16" s="42"/>
    </row>
    <row r="17" spans="1:9">
      <c r="A17" s="40" t="s">
        <v>463</v>
      </c>
      <c r="B17" s="41">
        <v>54.576146999999999</v>
      </c>
      <c r="C17" s="41">
        <v>68.961364000000003</v>
      </c>
      <c r="D17" s="43">
        <v>-1.798548</v>
      </c>
      <c r="E17" s="41">
        <v>39.398338000000003</v>
      </c>
      <c r="F17" s="41">
        <v>15.904299</v>
      </c>
      <c r="G17" s="41">
        <v>95.315494000000001</v>
      </c>
      <c r="H17" s="41">
        <v>93.077391000000006</v>
      </c>
      <c r="I17" s="29"/>
    </row>
    <row r="18" spans="1:9">
      <c r="A18" s="34" t="s">
        <v>464</v>
      </c>
      <c r="B18" s="46">
        <v>-46.188071000000001</v>
      </c>
      <c r="C18" s="46">
        <v>-79.230321000000004</v>
      </c>
      <c r="D18" s="46">
        <v>-47.247309000000001</v>
      </c>
      <c r="E18" s="46">
        <v>-116.541982</v>
      </c>
      <c r="F18" s="46">
        <v>-356.126057</v>
      </c>
      <c r="G18" s="46">
        <v>-287.54238199999998</v>
      </c>
      <c r="H18" s="46">
        <v>-385.34629699999999</v>
      </c>
      <c r="I18" s="42"/>
    </row>
    <row r="19" spans="1:9">
      <c r="A19" s="47" t="s">
        <v>465</v>
      </c>
      <c r="B19" s="43">
        <v>-208.40510499999999</v>
      </c>
      <c r="C19" s="43">
        <v>-334.30949199999998</v>
      </c>
      <c r="D19" s="43">
        <v>-345.46610199999998</v>
      </c>
      <c r="E19" s="41">
        <v>19.140974</v>
      </c>
      <c r="F19" s="41">
        <v>2.943101</v>
      </c>
      <c r="G19" s="41">
        <v>412.55585100000002</v>
      </c>
      <c r="H19" s="41">
        <v>589.059256</v>
      </c>
      <c r="I19" s="41">
        <v>847.34033699999998</v>
      </c>
    </row>
    <row r="20" spans="1:9">
      <c r="A20" s="30" t="s">
        <v>466</v>
      </c>
      <c r="B20" s="30"/>
      <c r="C20" s="30"/>
      <c r="D20" s="30"/>
      <c r="E20" s="30"/>
      <c r="F20" s="30"/>
      <c r="G20" s="30"/>
      <c r="H20" s="30"/>
      <c r="I20" s="30"/>
    </row>
    <row r="21" spans="1:9">
      <c r="A21" s="32" t="s">
        <v>250</v>
      </c>
      <c r="B21" s="33">
        <v>-151.980842</v>
      </c>
      <c r="C21" s="33">
        <v>-233.61403100000001</v>
      </c>
      <c r="D21" s="33">
        <v>-119.14011600000001</v>
      </c>
      <c r="E21" s="33">
        <v>-26.858021000000001</v>
      </c>
      <c r="F21" s="33">
        <v>-118.956642</v>
      </c>
      <c r="G21" s="33">
        <v>-389.08777300000003</v>
      </c>
      <c r="H21" s="33">
        <v>-336.03019399999999</v>
      </c>
      <c r="I21" s="38"/>
    </row>
    <row r="22" spans="1:9">
      <c r="A22" s="34" t="s">
        <v>467</v>
      </c>
      <c r="B22" s="46">
        <v>-151.980842</v>
      </c>
      <c r="C22" s="46">
        <v>-227.35485499999999</v>
      </c>
      <c r="D22" s="46">
        <v>-119.14011600000001</v>
      </c>
      <c r="E22" s="46">
        <v>-26.858021000000001</v>
      </c>
      <c r="F22" s="46">
        <v>-116.083933</v>
      </c>
      <c r="G22" s="46">
        <v>-388.173451</v>
      </c>
      <c r="H22" s="46">
        <v>-319.834563</v>
      </c>
      <c r="I22" s="42"/>
    </row>
    <row r="23" spans="1:9">
      <c r="A23" s="40" t="s">
        <v>468</v>
      </c>
      <c r="B23" s="29"/>
      <c r="C23" s="43">
        <v>-6.2591770000000002</v>
      </c>
      <c r="D23" s="41">
        <v>0</v>
      </c>
      <c r="E23" s="41">
        <v>0</v>
      </c>
      <c r="F23" s="43">
        <v>-2.872709</v>
      </c>
      <c r="G23" s="43">
        <v>-0.91432199999999997</v>
      </c>
      <c r="H23" s="43">
        <v>-16.195630999999999</v>
      </c>
      <c r="I23" s="29"/>
    </row>
    <row r="24" spans="1:9">
      <c r="A24" s="53" t="s">
        <v>469</v>
      </c>
      <c r="B24" s="35">
        <v>0</v>
      </c>
      <c r="C24" s="35">
        <v>0</v>
      </c>
      <c r="D24" s="35">
        <v>0</v>
      </c>
      <c r="E24" s="46">
        <v>-12.084303</v>
      </c>
      <c r="F24" s="35">
        <v>0</v>
      </c>
      <c r="G24" s="35">
        <v>0</v>
      </c>
      <c r="H24" s="35">
        <v>0</v>
      </c>
      <c r="I24" s="42"/>
    </row>
    <row r="25" spans="1:9">
      <c r="A25" s="47" t="s">
        <v>470</v>
      </c>
      <c r="B25" s="29"/>
      <c r="C25" s="41">
        <v>15.234329000000001</v>
      </c>
      <c r="D25" s="41">
        <v>0</v>
      </c>
      <c r="E25" s="41">
        <v>0.23103099999999999</v>
      </c>
      <c r="F25" s="41">
        <v>0.441658</v>
      </c>
      <c r="G25" s="41">
        <v>0.27974500000000002</v>
      </c>
      <c r="H25" s="41">
        <v>5.6552999999999999E-2</v>
      </c>
      <c r="I25" s="29"/>
    </row>
    <row r="26" spans="1:9">
      <c r="A26" s="39" t="s">
        <v>471</v>
      </c>
      <c r="B26" s="31">
        <v>-19.646331</v>
      </c>
      <c r="C26" s="31">
        <v>-53.546711999999999</v>
      </c>
      <c r="D26" s="31">
        <v>-128.94375299999999</v>
      </c>
      <c r="E26" s="31">
        <v>38.763545999999998</v>
      </c>
      <c r="F26" s="31">
        <v>0</v>
      </c>
      <c r="G26" s="31">
        <v>-100.906862</v>
      </c>
      <c r="H26" s="31">
        <v>-111.430503</v>
      </c>
      <c r="I26" s="30"/>
    </row>
    <row r="27" spans="1:9">
      <c r="A27" s="40" t="s">
        <v>472</v>
      </c>
      <c r="B27" s="41">
        <v>554.17161199999998</v>
      </c>
      <c r="C27" s="41">
        <v>149.06246999999999</v>
      </c>
      <c r="D27" s="41">
        <v>231.14312200000001</v>
      </c>
      <c r="E27" s="41">
        <v>0</v>
      </c>
      <c r="F27" s="41">
        <v>0</v>
      </c>
      <c r="G27" s="41">
        <v>311.576301</v>
      </c>
      <c r="H27" s="41">
        <v>222.173202</v>
      </c>
      <c r="I27" s="29"/>
    </row>
    <row r="28" spans="1:9">
      <c r="A28" s="34" t="s">
        <v>473</v>
      </c>
      <c r="B28" s="35">
        <v>534.52528099999995</v>
      </c>
      <c r="C28" s="35">
        <v>95.515756999999994</v>
      </c>
      <c r="D28" s="35">
        <v>102.199369</v>
      </c>
      <c r="E28" s="35">
        <v>38.763545999999998</v>
      </c>
      <c r="F28" s="35">
        <v>0</v>
      </c>
      <c r="G28" s="35">
        <v>210.66943900000001</v>
      </c>
      <c r="H28" s="35">
        <v>110.742699</v>
      </c>
      <c r="I28" s="42"/>
    </row>
    <row r="29" spans="1:9">
      <c r="A29" s="32" t="s">
        <v>459</v>
      </c>
      <c r="B29" s="33">
        <v>-22.299945999999998</v>
      </c>
      <c r="C29" s="33">
        <v>21.354863000000002</v>
      </c>
      <c r="D29" s="33">
        <v>0</v>
      </c>
      <c r="E29" s="33">
        <v>0</v>
      </c>
      <c r="F29" s="33">
        <v>0</v>
      </c>
      <c r="G29" s="33">
        <v>0</v>
      </c>
      <c r="H29" s="33">
        <v>0</v>
      </c>
      <c r="I29" s="38"/>
    </row>
    <row r="30" spans="1:9">
      <c r="A30" s="34" t="s">
        <v>30</v>
      </c>
      <c r="B30" s="46">
        <v>-22.299945999999998</v>
      </c>
      <c r="C30" s="46">
        <v>-44.330744000000003</v>
      </c>
      <c r="D30" s="35">
        <v>0</v>
      </c>
      <c r="E30" s="35">
        <v>0</v>
      </c>
      <c r="F30" s="35">
        <v>0</v>
      </c>
      <c r="G30" s="35">
        <v>0</v>
      </c>
      <c r="H30" s="35">
        <v>0</v>
      </c>
      <c r="I30" s="42"/>
    </row>
    <row r="31" spans="1:9">
      <c r="A31" s="40" t="s">
        <v>474</v>
      </c>
      <c r="B31" s="41">
        <v>0</v>
      </c>
      <c r="C31" s="41">
        <v>65.685607000000005</v>
      </c>
      <c r="D31" s="41">
        <v>0</v>
      </c>
      <c r="E31" s="41">
        <v>0</v>
      </c>
      <c r="F31" s="29"/>
      <c r="G31" s="41">
        <v>0</v>
      </c>
      <c r="H31" s="41">
        <v>0</v>
      </c>
      <c r="I31" s="29"/>
    </row>
    <row r="32" spans="1:9">
      <c r="A32" s="53" t="s">
        <v>255</v>
      </c>
      <c r="B32" s="46">
        <v>-193.927119</v>
      </c>
      <c r="C32" s="46">
        <v>-250.571551</v>
      </c>
      <c r="D32" s="46">
        <v>-248.083868</v>
      </c>
      <c r="E32" s="35">
        <v>5.2253000000000001E-2</v>
      </c>
      <c r="F32" s="46">
        <v>-118.514984</v>
      </c>
      <c r="G32" s="46">
        <v>-489.71489000000003</v>
      </c>
      <c r="H32" s="46">
        <v>-447.40414399999997</v>
      </c>
      <c r="I32" s="46">
        <v>-1083.19667</v>
      </c>
    </row>
    <row r="33" spans="1:9">
      <c r="A33" s="38" t="s">
        <v>475</v>
      </c>
      <c r="B33" s="38"/>
      <c r="C33" s="38"/>
      <c r="D33" s="38"/>
      <c r="E33" s="38"/>
      <c r="F33" s="38"/>
      <c r="G33" s="38"/>
      <c r="H33" s="38"/>
      <c r="I33" s="38"/>
    </row>
    <row r="34" spans="1:9">
      <c r="A34" s="39" t="s">
        <v>476</v>
      </c>
      <c r="B34" s="31">
        <v>543.509548</v>
      </c>
      <c r="C34" s="31">
        <v>811.63067599999999</v>
      </c>
      <c r="D34" s="31">
        <v>416.79416400000002</v>
      </c>
      <c r="E34" s="31">
        <v>234.85437300000001</v>
      </c>
      <c r="F34" s="31">
        <v>9.4123389999999993</v>
      </c>
      <c r="G34" s="31">
        <v>0</v>
      </c>
      <c r="H34" s="31">
        <v>0</v>
      </c>
      <c r="I34" s="30"/>
    </row>
    <row r="35" spans="1:9">
      <c r="A35" s="36" t="s">
        <v>477</v>
      </c>
      <c r="B35" s="33">
        <v>543.509548</v>
      </c>
      <c r="C35" s="33">
        <v>811.63067599999999</v>
      </c>
      <c r="D35" s="33">
        <v>416.79416400000002</v>
      </c>
      <c r="E35" s="33">
        <v>234.85437300000001</v>
      </c>
      <c r="F35" s="33">
        <v>9.4123389999999993</v>
      </c>
      <c r="G35" s="33">
        <v>0</v>
      </c>
      <c r="H35" s="33">
        <v>0</v>
      </c>
      <c r="I35" s="38"/>
    </row>
    <row r="36" spans="1:9">
      <c r="A36" s="37" t="s">
        <v>478</v>
      </c>
      <c r="B36" s="35">
        <v>543.509548</v>
      </c>
      <c r="C36" s="35">
        <v>811.63067599999999</v>
      </c>
      <c r="D36" s="35">
        <v>416.79416400000002</v>
      </c>
      <c r="E36" s="35">
        <v>234.85437300000001</v>
      </c>
      <c r="F36" s="35">
        <v>9.4123389999999993</v>
      </c>
      <c r="G36" s="35">
        <v>0</v>
      </c>
      <c r="H36" s="35">
        <v>0</v>
      </c>
      <c r="I36" s="42"/>
    </row>
    <row r="37" spans="1:9">
      <c r="A37" s="32" t="s">
        <v>479</v>
      </c>
      <c r="B37" s="33">
        <v>69.565843999999998</v>
      </c>
      <c r="C37" s="33">
        <v>46.602572000000002</v>
      </c>
      <c r="D37" s="33">
        <v>365.994237</v>
      </c>
      <c r="E37" s="33">
        <v>0</v>
      </c>
      <c r="F37" s="33">
        <v>-347.45164599999998</v>
      </c>
      <c r="G37" s="33">
        <v>0</v>
      </c>
      <c r="H37" s="33">
        <v>46.353822000000001</v>
      </c>
      <c r="I37" s="38"/>
    </row>
    <row r="38" spans="1:9">
      <c r="A38" s="34" t="s">
        <v>480</v>
      </c>
      <c r="B38" s="35">
        <v>24.681533999999999</v>
      </c>
      <c r="C38" s="35">
        <v>7.1613660000000001</v>
      </c>
      <c r="D38" s="35">
        <v>9.3012999999999998E-2</v>
      </c>
      <c r="E38" s="35">
        <v>0</v>
      </c>
      <c r="F38" s="35">
        <v>0</v>
      </c>
      <c r="G38" s="35">
        <v>0</v>
      </c>
      <c r="H38" s="35">
        <v>41.685091999999997</v>
      </c>
      <c r="I38" s="42"/>
    </row>
    <row r="39" spans="1:9">
      <c r="A39" s="36" t="s">
        <v>481</v>
      </c>
      <c r="B39" s="33">
        <v>44.884309999999999</v>
      </c>
      <c r="C39" s="33">
        <v>39.441206000000001</v>
      </c>
      <c r="D39" s="33">
        <v>365.90122400000001</v>
      </c>
      <c r="E39" s="33">
        <v>0</v>
      </c>
      <c r="F39" s="33">
        <v>-347.45164599999998</v>
      </c>
      <c r="G39" s="33">
        <v>0</v>
      </c>
      <c r="H39" s="33">
        <v>4.66873</v>
      </c>
      <c r="I39" s="38"/>
    </row>
    <row r="40" spans="1:9">
      <c r="A40" s="37" t="s">
        <v>482</v>
      </c>
      <c r="B40" s="35">
        <v>45.337687000000003</v>
      </c>
      <c r="C40" s="35">
        <v>50.601643000000003</v>
      </c>
      <c r="D40" s="35">
        <v>458.97731599999997</v>
      </c>
      <c r="E40" s="35">
        <v>0</v>
      </c>
      <c r="F40" s="35">
        <v>0</v>
      </c>
      <c r="G40" s="35">
        <v>0</v>
      </c>
      <c r="H40" s="35">
        <v>4.66873</v>
      </c>
      <c r="I40" s="42"/>
    </row>
    <row r="41" spans="1:9">
      <c r="A41" s="44" t="s">
        <v>483</v>
      </c>
      <c r="B41" s="43">
        <v>-0.45337699999999997</v>
      </c>
      <c r="C41" s="43">
        <v>-11.160437</v>
      </c>
      <c r="D41" s="43">
        <v>-93.076092000000003</v>
      </c>
      <c r="E41" s="41">
        <v>0</v>
      </c>
      <c r="F41" s="43">
        <v>-347.45164599999998</v>
      </c>
      <c r="G41" s="41">
        <v>0</v>
      </c>
      <c r="H41" s="41">
        <v>0</v>
      </c>
      <c r="I41" s="29"/>
    </row>
    <row r="42" spans="1:9">
      <c r="A42" s="39" t="s">
        <v>459</v>
      </c>
      <c r="B42" s="31">
        <v>0</v>
      </c>
      <c r="C42" s="31">
        <v>198.131809</v>
      </c>
      <c r="D42" s="31">
        <v>-197.945032</v>
      </c>
      <c r="E42" s="31">
        <v>0</v>
      </c>
      <c r="F42" s="31">
        <v>0</v>
      </c>
      <c r="G42" s="31">
        <v>0</v>
      </c>
      <c r="H42" s="31">
        <v>0</v>
      </c>
      <c r="I42" s="30"/>
    </row>
    <row r="43" spans="1:9">
      <c r="A43" s="40" t="s">
        <v>30</v>
      </c>
      <c r="B43" s="43">
        <v>-9.0675369999999997</v>
      </c>
      <c r="C43" s="43">
        <v>-143.66047499999999</v>
      </c>
      <c r="D43" s="43">
        <v>-334.54485599999998</v>
      </c>
      <c r="E43" s="41">
        <v>0</v>
      </c>
      <c r="F43" s="41">
        <v>0</v>
      </c>
      <c r="G43" s="41">
        <v>0</v>
      </c>
      <c r="H43" s="41">
        <v>0</v>
      </c>
      <c r="I43" s="29"/>
    </row>
    <row r="44" spans="1:9">
      <c r="A44" s="34" t="s">
        <v>474</v>
      </c>
      <c r="B44" s="35">
        <v>9.0675369999999997</v>
      </c>
      <c r="C44" s="35">
        <v>341.792284</v>
      </c>
      <c r="D44" s="35">
        <v>136.59982400000001</v>
      </c>
      <c r="E44" s="35">
        <v>0</v>
      </c>
      <c r="F44" s="35">
        <v>0</v>
      </c>
      <c r="G44" s="35">
        <v>0</v>
      </c>
      <c r="H44" s="35">
        <v>0</v>
      </c>
      <c r="I44" s="42"/>
    </row>
    <row r="45" spans="1:9">
      <c r="A45" s="47" t="s">
        <v>484</v>
      </c>
      <c r="B45" s="41">
        <v>613.07539199999997</v>
      </c>
      <c r="C45" s="41">
        <v>1056.365057</v>
      </c>
      <c r="D45" s="41">
        <v>584.84336900000005</v>
      </c>
      <c r="E45" s="41">
        <v>234.85437300000001</v>
      </c>
      <c r="F45" s="43">
        <v>-338.03930700000001</v>
      </c>
      <c r="G45" s="41">
        <v>0</v>
      </c>
      <c r="H45" s="41">
        <v>46.353822000000001</v>
      </c>
      <c r="I45" s="43">
        <v>-46.407792000000001</v>
      </c>
    </row>
    <row r="46" spans="1:9">
      <c r="A46" s="30" t="s">
        <v>485</v>
      </c>
      <c r="B46" s="30"/>
      <c r="C46" s="30"/>
      <c r="D46" s="30"/>
      <c r="E46" s="30"/>
      <c r="F46" s="30"/>
      <c r="G46" s="30"/>
      <c r="H46" s="30"/>
      <c r="I46" s="30"/>
    </row>
    <row r="47" spans="1:9">
      <c r="A47" s="47" t="s">
        <v>486</v>
      </c>
      <c r="B47" s="41">
        <v>2.6291319999999998</v>
      </c>
      <c r="C47" s="41">
        <v>13.395360999999999</v>
      </c>
      <c r="D47" s="41">
        <v>2.5659809999999998</v>
      </c>
      <c r="E47" s="43">
        <v>-3.4445290000000002</v>
      </c>
      <c r="F47" s="41">
        <v>11.454749</v>
      </c>
      <c r="G47" s="41">
        <v>1.0441739999999999</v>
      </c>
      <c r="H47" s="41">
        <v>2.0809199999999999</v>
      </c>
      <c r="I47" s="43">
        <v>-2.8811499999999999</v>
      </c>
    </row>
    <row r="48" spans="1:9">
      <c r="A48" s="53" t="s">
        <v>487</v>
      </c>
      <c r="B48" s="35">
        <v>213.37230099999999</v>
      </c>
      <c r="C48" s="35">
        <v>484.87937399999998</v>
      </c>
      <c r="D48" s="46">
        <v>-6.1406200000000002</v>
      </c>
      <c r="E48" s="35">
        <v>250.603072</v>
      </c>
      <c r="F48" s="46">
        <v>-442.15644200000003</v>
      </c>
      <c r="G48" s="46">
        <v>-76.114866000000006</v>
      </c>
      <c r="H48" s="35">
        <v>190.089854</v>
      </c>
      <c r="I48" s="46">
        <v>-285.14527500000003</v>
      </c>
    </row>
    <row r="49" spans="1:9">
      <c r="A49" s="32" t="s">
        <v>488</v>
      </c>
      <c r="B49" s="33">
        <v>-360.38594999999998</v>
      </c>
      <c r="C49" s="33">
        <v>-561.66435000000001</v>
      </c>
      <c r="D49" s="33">
        <v>-464.60622000000001</v>
      </c>
      <c r="E49" s="33">
        <v>-7.7170500000000004</v>
      </c>
      <c r="F49" s="33">
        <v>-113.14082999999999</v>
      </c>
      <c r="G49" s="33">
        <v>24.382400000000001</v>
      </c>
      <c r="H49" s="33">
        <v>269.22469000000001</v>
      </c>
      <c r="I49" s="38"/>
    </row>
    <row r="50" spans="1:9">
      <c r="A50" s="34" t="s">
        <v>489</v>
      </c>
      <c r="B50" s="46">
        <v>-1.4995609999999999</v>
      </c>
      <c r="C50" s="46">
        <v>-2.31331</v>
      </c>
      <c r="D50" s="46">
        <v>-1.835323</v>
      </c>
      <c r="E50" s="46">
        <v>-2.8905E-2</v>
      </c>
      <c r="F50" s="46">
        <v>-0.359709</v>
      </c>
      <c r="G50" s="35">
        <v>7.7020000000000005E-2</v>
      </c>
      <c r="H50" s="35">
        <v>0.84528899999999996</v>
      </c>
      <c r="I50" s="42"/>
    </row>
    <row r="51" spans="1:9">
      <c r="A51" s="40" t="s">
        <v>490</v>
      </c>
      <c r="B51" s="29"/>
      <c r="C51" s="48">
        <v>-5.8773119999999999</v>
      </c>
      <c r="D51" s="48">
        <v>-21.592034000000002</v>
      </c>
      <c r="E51" s="48">
        <v>-0.30619400000000002</v>
      </c>
      <c r="F51" s="48">
        <v>-1.633556</v>
      </c>
      <c r="G51" s="49">
        <v>0.282333</v>
      </c>
      <c r="H51" s="49">
        <v>3.2929050000000002</v>
      </c>
      <c r="I51" s="29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6A9E5-E09C-48C1-866E-C34EA9736D85}">
  <dimension ref="A1:S12"/>
  <sheetViews>
    <sheetView workbookViewId="0">
      <selection activeCell="I13" sqref="I13"/>
    </sheetView>
  </sheetViews>
  <sheetFormatPr defaultRowHeight="14.45"/>
  <cols>
    <col min="1" max="1" width="31.5703125" customWidth="1"/>
    <col min="2" max="2" width="17.42578125" customWidth="1"/>
    <col min="3" max="3" width="15.140625" customWidth="1"/>
  </cols>
  <sheetData>
    <row r="1" spans="1:19">
      <c r="A1" s="28"/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 t="s">
        <v>491</v>
      </c>
      <c r="N1" s="28"/>
      <c r="O1" s="28"/>
      <c r="P1" s="28" t="s">
        <v>492</v>
      </c>
      <c r="Q1" s="28"/>
      <c r="R1" s="28"/>
      <c r="S1" s="28" t="s">
        <v>493</v>
      </c>
    </row>
    <row r="2" spans="1:19">
      <c r="A2" s="28" t="s">
        <v>288</v>
      </c>
      <c r="B2" s="28"/>
      <c r="C2" s="28" t="s">
        <v>494</v>
      </c>
      <c r="D2" s="28"/>
      <c r="E2" s="28" t="s">
        <v>495</v>
      </c>
      <c r="F2" s="28" t="s">
        <v>149</v>
      </c>
      <c r="G2" s="28" t="s">
        <v>287</v>
      </c>
      <c r="H2" s="28"/>
      <c r="I2" s="28"/>
      <c r="J2" s="28"/>
      <c r="K2" s="28" t="s">
        <v>56</v>
      </c>
      <c r="L2" s="28" t="s">
        <v>496</v>
      </c>
      <c r="M2" s="28" t="s">
        <v>35</v>
      </c>
      <c r="N2" s="28" t="s">
        <v>497</v>
      </c>
      <c r="O2" s="28" t="s">
        <v>62</v>
      </c>
      <c r="P2" s="28" t="s">
        <v>498</v>
      </c>
      <c r="Q2" s="28" t="s">
        <v>499</v>
      </c>
      <c r="R2" s="28" t="s">
        <v>500</v>
      </c>
      <c r="S2" s="28" t="s">
        <v>501</v>
      </c>
    </row>
    <row r="3" spans="1:19">
      <c r="A3" s="28" t="s">
        <v>502</v>
      </c>
      <c r="B3" s="28" t="s">
        <v>289</v>
      </c>
      <c r="C3" s="28" t="s">
        <v>117</v>
      </c>
      <c r="D3" s="28" t="s">
        <v>290</v>
      </c>
      <c r="E3" s="28" t="s">
        <v>503</v>
      </c>
      <c r="F3" s="28" t="s">
        <v>504</v>
      </c>
      <c r="G3" s="28" t="s">
        <v>504</v>
      </c>
      <c r="H3" s="28" t="s">
        <v>349</v>
      </c>
      <c r="I3" s="28" t="s">
        <v>222</v>
      </c>
      <c r="J3" s="28" t="s">
        <v>56</v>
      </c>
      <c r="K3" s="28" t="s">
        <v>505</v>
      </c>
      <c r="L3" s="28" t="s">
        <v>506</v>
      </c>
      <c r="M3" s="28" t="s">
        <v>507</v>
      </c>
      <c r="N3" s="28" t="s">
        <v>504</v>
      </c>
      <c r="O3" s="28" t="s">
        <v>27</v>
      </c>
      <c r="P3" s="28" t="s">
        <v>508</v>
      </c>
      <c r="Q3" s="28" t="s">
        <v>290</v>
      </c>
      <c r="R3" s="28" t="s">
        <v>509</v>
      </c>
      <c r="S3" s="28" t="s">
        <v>27</v>
      </c>
    </row>
    <row r="4" spans="1:19">
      <c r="A4" s="42" t="s">
        <v>510</v>
      </c>
      <c r="B4" s="42" t="s">
        <v>511</v>
      </c>
      <c r="C4" s="42" t="s">
        <v>512</v>
      </c>
      <c r="D4" s="51">
        <v>33.720001000000003</v>
      </c>
      <c r="E4" s="198">
        <v>-22.731435999999999</v>
      </c>
      <c r="F4" s="35">
        <v>2452.6318120000001</v>
      </c>
      <c r="G4" s="35">
        <v>9521.3662110000005</v>
      </c>
      <c r="H4" s="35">
        <v>6856.5696760000001</v>
      </c>
      <c r="I4" s="35">
        <v>936.39656000000002</v>
      </c>
      <c r="J4" s="35">
        <v>719.74576000000002</v>
      </c>
      <c r="K4" s="199">
        <v>11.488491</v>
      </c>
      <c r="L4" s="199">
        <v>26.82189</v>
      </c>
      <c r="M4" s="42" t="s">
        <v>300</v>
      </c>
      <c r="N4" s="35">
        <v>9551.2922479999997</v>
      </c>
      <c r="O4" s="35">
        <v>0</v>
      </c>
      <c r="P4" s="51">
        <v>0.34921200000000002</v>
      </c>
      <c r="Q4" s="51">
        <v>43.639999000000003</v>
      </c>
      <c r="R4" s="199">
        <v>27.588574999999999</v>
      </c>
      <c r="S4" s="35">
        <v>0</v>
      </c>
    </row>
    <row r="5" spans="1:19">
      <c r="A5" s="29" t="s">
        <v>513</v>
      </c>
      <c r="B5" s="29" t="s">
        <v>514</v>
      </c>
      <c r="C5" s="29" t="s">
        <v>515</v>
      </c>
      <c r="D5" s="49">
        <v>92.699996999999996</v>
      </c>
      <c r="E5" s="200">
        <v>-11.562681</v>
      </c>
      <c r="F5" s="43">
        <v>-8096.6</v>
      </c>
      <c r="G5" s="41">
        <v>127493.109375</v>
      </c>
      <c r="H5" s="41">
        <v>37161.9</v>
      </c>
      <c r="I5" s="41">
        <v>5232.8</v>
      </c>
      <c r="J5" s="41">
        <v>3461.3</v>
      </c>
      <c r="K5" s="201">
        <v>8.8513400000000004</v>
      </c>
      <c r="L5" s="29" t="s">
        <v>300</v>
      </c>
      <c r="M5" s="41">
        <v>2336.9</v>
      </c>
      <c r="N5" s="41">
        <v>105613.111049</v>
      </c>
      <c r="O5" s="41">
        <v>16080.400390999999</v>
      </c>
      <c r="P5" s="49">
        <v>1.1630990000000001</v>
      </c>
      <c r="Q5" s="49">
        <v>104.82</v>
      </c>
      <c r="R5" s="201">
        <v>39.151887000000002</v>
      </c>
      <c r="S5" s="41">
        <v>16080.400390999999</v>
      </c>
    </row>
    <row r="6" spans="1:19">
      <c r="A6" s="42" t="s">
        <v>516</v>
      </c>
      <c r="B6" s="42" t="s">
        <v>517</v>
      </c>
      <c r="C6" s="42" t="s">
        <v>518</v>
      </c>
      <c r="D6" s="51">
        <v>159.16000399999999</v>
      </c>
      <c r="E6" s="198">
        <v>-6.0393150000000002</v>
      </c>
      <c r="F6" s="46">
        <v>-7325</v>
      </c>
      <c r="G6" s="35">
        <v>56284.617187999997</v>
      </c>
      <c r="H6" s="35">
        <v>8214</v>
      </c>
      <c r="I6" s="35">
        <v>2794</v>
      </c>
      <c r="J6" s="35">
        <v>2538</v>
      </c>
      <c r="K6" s="199">
        <v>30.898465999999999</v>
      </c>
      <c r="L6" s="42" t="s">
        <v>300</v>
      </c>
      <c r="M6" s="35">
        <v>1639</v>
      </c>
      <c r="N6" s="35">
        <v>43996.618074999998</v>
      </c>
      <c r="O6" s="35">
        <v>11910</v>
      </c>
      <c r="P6" s="51">
        <v>0.439666</v>
      </c>
      <c r="Q6" s="51">
        <v>169.38999899999999</v>
      </c>
      <c r="R6" s="199">
        <v>24.939817000000001</v>
      </c>
      <c r="S6" s="35">
        <v>11908</v>
      </c>
    </row>
    <row r="7" spans="1:19">
      <c r="A7" s="29" t="s">
        <v>519</v>
      </c>
      <c r="B7" s="29" t="s">
        <v>520</v>
      </c>
      <c r="C7" s="29" t="s">
        <v>518</v>
      </c>
      <c r="D7" s="49">
        <v>51.330002</v>
      </c>
      <c r="E7" s="200">
        <v>-34.090907999999999</v>
      </c>
      <c r="F7" s="41">
        <v>680.81799999999998</v>
      </c>
      <c r="G7" s="41">
        <v>9482.7734380000002</v>
      </c>
      <c r="H7" s="41">
        <v>1638.1590000000001</v>
      </c>
      <c r="I7" s="41">
        <v>330.21899999999999</v>
      </c>
      <c r="J7" s="41">
        <v>161.18</v>
      </c>
      <c r="K7" s="201">
        <v>9.8390939999999993</v>
      </c>
      <c r="L7" s="201">
        <v>154.031621</v>
      </c>
      <c r="M7" s="41">
        <v>54.411000000000001</v>
      </c>
      <c r="N7" s="41">
        <v>8446.1045940000004</v>
      </c>
      <c r="O7" s="41">
        <v>200.175995</v>
      </c>
      <c r="P7" s="49">
        <v>1.84128</v>
      </c>
      <c r="Q7" s="49">
        <v>77.879997000000003</v>
      </c>
      <c r="R7" s="201">
        <v>13.528679</v>
      </c>
      <c r="S7" s="41">
        <v>200.175995</v>
      </c>
    </row>
    <row r="8" spans="1:19">
      <c r="A8" s="42" t="s">
        <v>307</v>
      </c>
      <c r="B8" s="42" t="s">
        <v>521</v>
      </c>
      <c r="C8" s="42" t="s">
        <v>522</v>
      </c>
      <c r="D8" s="51">
        <v>20.924999</v>
      </c>
      <c r="E8" s="198">
        <v>-30.940591999999999</v>
      </c>
      <c r="F8" s="35">
        <v>840.92525999999998</v>
      </c>
      <c r="G8" s="35">
        <v>2650.9860840000001</v>
      </c>
      <c r="H8" s="35">
        <v>2835.045529</v>
      </c>
      <c r="I8" s="35">
        <v>453.74961999999999</v>
      </c>
      <c r="J8" s="35">
        <v>242.09644</v>
      </c>
      <c r="K8" s="199">
        <v>9.1325000000000003</v>
      </c>
      <c r="L8" s="199">
        <v>69.437610000000006</v>
      </c>
      <c r="M8" s="46">
        <v>-14.12285</v>
      </c>
      <c r="N8" s="35">
        <v>2076.9464109999999</v>
      </c>
      <c r="O8" s="42" t="s">
        <v>300</v>
      </c>
      <c r="P8" s="51">
        <v>0.58556399999999997</v>
      </c>
      <c r="Q8" s="51">
        <v>30.299999</v>
      </c>
      <c r="R8" s="199">
        <v>25.093049000000001</v>
      </c>
      <c r="S8" s="42" t="s">
        <v>300</v>
      </c>
    </row>
    <row r="9" spans="1:19">
      <c r="A9" s="29" t="s">
        <v>523</v>
      </c>
      <c r="B9" s="29" t="s">
        <v>524</v>
      </c>
      <c r="C9" s="29" t="s">
        <v>512</v>
      </c>
      <c r="D9" s="49">
        <v>10.119999999999999</v>
      </c>
      <c r="E9" s="200">
        <v>-75.789473999999998</v>
      </c>
      <c r="F9" s="41">
        <v>491.51554800000002</v>
      </c>
      <c r="G9" s="41">
        <v>764.02404799999999</v>
      </c>
      <c r="H9" s="41">
        <v>1723.7479410000001</v>
      </c>
      <c r="I9" s="41">
        <v>409.55372</v>
      </c>
      <c r="J9" s="41">
        <v>401.09115000000003</v>
      </c>
      <c r="K9" s="201">
        <v>15.254946</v>
      </c>
      <c r="L9" s="201">
        <v>8.0958349999999992</v>
      </c>
      <c r="M9" s="29" t="s">
        <v>300</v>
      </c>
      <c r="N9" s="41">
        <v>1879.8151780000001</v>
      </c>
      <c r="O9" s="29" t="s">
        <v>300</v>
      </c>
      <c r="P9" s="49">
        <v>1.0624690000000001</v>
      </c>
      <c r="Q9" s="49">
        <v>41.799999</v>
      </c>
      <c r="R9" s="201">
        <v>20.076612000000001</v>
      </c>
      <c r="S9" s="29" t="s">
        <v>300</v>
      </c>
    </row>
    <row r="10" spans="1:19">
      <c r="A10" s="42" t="s">
        <v>525</v>
      </c>
      <c r="B10" s="42"/>
      <c r="C10" s="42"/>
      <c r="D10" s="42"/>
      <c r="E10" s="198">
        <v>-30.192401</v>
      </c>
      <c r="F10" s="42"/>
      <c r="G10" s="42"/>
      <c r="H10" s="42"/>
      <c r="I10" s="42"/>
      <c r="J10" s="42"/>
      <c r="K10" s="199">
        <v>14.24414</v>
      </c>
      <c r="L10" s="199">
        <v>64.596738999999999</v>
      </c>
      <c r="M10" s="42"/>
      <c r="N10" s="42"/>
      <c r="O10" s="35">
        <v>7047.6440970000003</v>
      </c>
      <c r="P10" s="51">
        <v>0.90688199999999997</v>
      </c>
      <c r="Q10" s="42"/>
      <c r="R10" s="199">
        <v>25.063103000000002</v>
      </c>
      <c r="S10" s="35">
        <v>7047.1440970000003</v>
      </c>
    </row>
    <row r="11" spans="1:19">
      <c r="A11" s="29" t="s">
        <v>313</v>
      </c>
      <c r="B11" s="29"/>
      <c r="C11" s="29"/>
      <c r="D11" s="29"/>
      <c r="E11" s="200">
        <v>-26.836013999999999</v>
      </c>
      <c r="F11" s="29"/>
      <c r="G11" s="29"/>
      <c r="H11" s="29"/>
      <c r="I11" s="29"/>
      <c r="J11" s="29"/>
      <c r="K11" s="201">
        <v>10.663792000000001</v>
      </c>
      <c r="L11" s="201">
        <v>48.129750000000001</v>
      </c>
      <c r="M11" s="29"/>
      <c r="N11" s="29"/>
      <c r="O11" s="41">
        <v>6055.0879969999996</v>
      </c>
      <c r="P11" s="49">
        <v>0.824017</v>
      </c>
      <c r="Q11" s="29"/>
      <c r="R11" s="201">
        <v>25.016432999999999</v>
      </c>
      <c r="S11" s="41">
        <v>6054.0879969999996</v>
      </c>
    </row>
    <row r="12" spans="1:19">
      <c r="A12" s="197" t="s">
        <v>526</v>
      </c>
      <c r="B12" s="196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D589CED3A06E479A109998C02F4E5E" ma:contentTypeVersion="5" ma:contentTypeDescription="Create a new document." ma:contentTypeScope="" ma:versionID="a04da67be9e4c411e06746a62a1ec587">
  <xsd:schema xmlns:xsd="http://www.w3.org/2001/XMLSchema" xmlns:xs="http://www.w3.org/2001/XMLSchema" xmlns:p="http://schemas.microsoft.com/office/2006/metadata/properties" xmlns:ns3="5a900d02-bfa4-4031-90cf-f140c05c2832" targetNamespace="http://schemas.microsoft.com/office/2006/metadata/properties" ma:root="true" ma:fieldsID="fef140ca7880a354a0e51644bba34970" ns3:_="">
    <xsd:import namespace="5a900d02-bfa4-4031-90cf-f140c05c283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900d02-bfa4-4031-90cf-f140c05c283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a900d02-bfa4-4031-90cf-f140c05c28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23ABABF-9396-45D7-8762-FF739018B3E9}"/>
</file>

<file path=customXml/itemProps2.xml><?xml version="1.0" encoding="utf-8"?>
<ds:datastoreItem xmlns:ds="http://schemas.openxmlformats.org/officeDocument/2006/customXml" ds:itemID="{9FD8F9B3-AE37-4015-9FAF-A53B626DB60F}"/>
</file>

<file path=customXml/itemProps3.xml><?xml version="1.0" encoding="utf-8"?>
<ds:datastoreItem xmlns:ds="http://schemas.openxmlformats.org/officeDocument/2006/customXml" ds:itemID="{714BD508-7539-431F-A3A6-30DC5BE8A5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Jeanette Cheung</dc:creator>
  <cp:keywords/>
  <dc:description/>
  <cp:lastModifiedBy/>
  <cp:revision/>
  <dcterms:created xsi:type="dcterms:W3CDTF">2022-03-15T03:19:17Z</dcterms:created>
  <dcterms:modified xsi:type="dcterms:W3CDTF">2026-03-28T01:59:41Z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0x010100FDD589CED3A06E479A109998C02F4E5E</vt:lpwstr>
  </property>
</Properties>
</file>